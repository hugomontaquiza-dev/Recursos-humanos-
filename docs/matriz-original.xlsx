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Base de Personas" sheetId="2" state="visible" r:id="rId4"/>
    <sheet name="Detalle de Periodos" sheetId="3" state="visible" r:id="rId5"/>
    <sheet name="Registro de Comisión" sheetId="4" state="visible" r:id="rId6"/>
    <sheet name="Instrucciones y Macro VB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6" authorId="0">
      <text>
        <r>
          <rPr>
            <sz val="10"/>
            <rFont val="Arial"/>
            <family val="2"/>
          </rPr>
          <t xml:space="preserve">Supuesto: se proyectan 72 meses (6 años) desde la fecha de inicio de la primera comisión, asumiendo continuidad. Si la columna "Continuidad" indica interrupciones, verifique manualmente contra "Días Acumulados en Comisión".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Escriba la cédula (10 dígitos). Si la persona ya existe, las columnas B a H se llenan solas. Si es nueva, escriba usted esos datos.</t>
        </r>
      </text>
    </comment>
    <comment ref="A32" authorId="0">
      <text>
        <r>
          <rPr>
            <sz val="10"/>
            <rFont val="Arial"/>
            <family val="2"/>
          </rPr>
          <t xml:space="preserve">Desde aquí (fila 32) en adelante: registre nuevas personas o renovaciones/extensiones. Las filas de arriba son el historial ya cargado de las 15 personas.</t>
        </r>
      </text>
    </comment>
    <comment ref="K4" authorId="0">
      <text>
        <r>
          <rPr>
            <sz val="10"/>
            <rFont val="Arial"/>
            <family val="2"/>
          </rPr>
          <t xml:space="preserve">Fecha en que termina este período. "Base de Personas" y sus alertas se recalculan automáticamente.</t>
        </r>
      </text>
    </comment>
  </commentList>
</comments>
</file>

<file path=xl/sharedStrings.xml><?xml version="1.0" encoding="utf-8"?>
<sst xmlns="http://schemas.openxmlformats.org/spreadsheetml/2006/main" count="453" uniqueCount="268">
  <si>
    <t xml:space="preserve">REGISTRO DE COMISIONES DE SERVICIOS SIN RMU — SEPS</t>
  </si>
  <si>
    <t xml:space="preserve">Otorgadas hacia otras instituciones del Estado  |  Control de límite legal (LOSEP: máx. 6 años fuera de la institución)</t>
  </si>
  <si>
    <t xml:space="preserve">Panel de control</t>
  </si>
  <si>
    <t xml:space="preserve">Personas en comisión</t>
  </si>
  <si>
    <t xml:space="preserve">Comisiones vencidas o por vencer (≤90 días)</t>
  </si>
  <si>
    <t xml:space="preserve">Cerca o sobre el límite legal de 6 años</t>
  </si>
  <si>
    <t xml:space="preserve">Partidas con servidor inactivo/sin registrar</t>
  </si>
  <si>
    <t xml:space="preserve">RMU mensual total comprometido (referencial)</t>
  </si>
  <si>
    <t xml:space="preserve">Instituciones distintas receptoras</t>
  </si>
  <si>
    <t xml:space="preserve">Cómo usar este libro</t>
  </si>
  <si>
    <t xml:space="preserve">1. Base de Personas</t>
  </si>
  <si>
    <t xml:space="preserve">Una fila por servidor público en comisión. Use el cuadro de búsqueda (celda C4 de esa hoja) para escribir cédula o nombre: las filas coincidentes se resaltan en amarillo. También puede usar las flechas de filtro de la tabla.</t>
  </si>
  <si>
    <t xml:space="preserve">2. Detalle de Períodos</t>
  </si>
  <si>
    <t xml:space="preserve">Historial completo de cada renovación de comisión por persona (fecha de inicio y fin de cada período), base para los cálculos acumulados.</t>
  </si>
  <si>
    <t xml:space="preserve">3. Estadísticas</t>
  </si>
  <si>
    <t xml:space="preserve">Indicadores y gráficos: distribución por institución, por grupo ocupacional, estado de comisiones y línea de tiempo (Gantt) de todas las comisiones vigentes.</t>
  </si>
  <si>
    <t xml:space="preserve">4. Instrucciones y Macro VBA</t>
  </si>
  <si>
    <t xml:space="preserve">Guía de colores/semáforos y código VBA opcional para búsqueda rápida por InputBox y exportación automática de alertas.</t>
  </si>
  <si>
    <t xml:space="preserve">Alertas automáticas</t>
  </si>
  <si>
    <t xml:space="preserve">🟢 Vigente / dentro del límite   🟡 Vigilar (≤1 año o ≤180 días)   🟠 Próximo a vencer (≤90–180 días)   🔴 Vencida o superó el límite legal de 6 años.</t>
  </si>
  <si>
    <t xml:space="preserve">Importante</t>
  </si>
  <si>
    <t xml:space="preserve">El "límite legal" se calcula sumando los días efectivos de comisión (columna "Días Acumulados") y proyectando 6 años desde la fecha de inicio de la primera comisión. Si la comisión tuvo interrupciones (regresos a la institución), revise manualmente la columna "Continuidad".</t>
  </si>
  <si>
    <t xml:space="preserve">BASE DE PERSONAS EN COMISIÓN DE SERVICIOS SIN RMU</t>
  </si>
  <si>
    <t xml:space="preserve">Una fila por servidor público. Columnas J en adelante se calculan automáticamente a partir de la hoja "Detalle de Periodos".</t>
  </si>
  <si>
    <t xml:space="preserve">🔍 Buscar (cédula o nombre):</t>
  </si>
  <si>
    <t xml:space="preserve">No.</t>
  </si>
  <si>
    <t xml:space="preserve">Cédula</t>
  </si>
  <si>
    <t xml:space="preserve">Nombres Completos</t>
  </si>
  <si>
    <t xml:space="preserve">Ciudad</t>
  </si>
  <si>
    <t xml:space="preserve">Intendencia de Origen</t>
  </si>
  <si>
    <t xml:space="preserve">Dirección de Origen</t>
  </si>
  <si>
    <t xml:space="preserve">Cargo</t>
  </si>
  <si>
    <t xml:space="preserve">Grupo Ocupacional</t>
  </si>
  <si>
    <t xml:space="preserve">RMU</t>
  </si>
  <si>
    <t xml:space="preserve">Institución Actual (Destino)</t>
  </si>
  <si>
    <t xml:space="preserve">Fecha Inicio
(1ra Comisión)</t>
  </si>
  <si>
    <t xml:space="preserve">Fecha Fin
Comisión Actual</t>
  </si>
  <si>
    <t xml:space="preserve">N° Períodos
/Renovaciones</t>
  </si>
  <si>
    <t xml:space="preserve">Días Acumulados
en Comisión</t>
  </si>
  <si>
    <t xml:space="preserve">Años Acumulados
(aprox.)</t>
  </si>
  <si>
    <t xml:space="preserve">Fecha Límite Legal
(6 años)</t>
  </si>
  <si>
    <t xml:space="preserve">Días Restantes
al Límite Legal</t>
  </si>
  <si>
    <t xml:space="preserve">Estado Límite
Legal (6 años)</t>
  </si>
  <si>
    <t xml:space="preserve">Días Restantes
Comisión Actual</t>
  </si>
  <si>
    <t xml:space="preserve">Estado Comisión
Actual</t>
  </si>
  <si>
    <t xml:space="preserve">Continuidad</t>
  </si>
  <si>
    <t xml:space="preserve">Servidor que Ocupa
la Partida</t>
  </si>
  <si>
    <t xml:space="preserve">Dirección del Servidor
que Ocupa</t>
  </si>
  <si>
    <t xml:space="preserve">1713260295</t>
  </si>
  <si>
    <t xml:space="preserve">DUQUE VINUEZA GIOVANNY XAVIER</t>
  </si>
  <si>
    <t xml:space="preserve">QUITO</t>
  </si>
  <si>
    <t xml:space="preserve">INTENDENTE NACIONAL DE SUPERVISION A ORGANIZACIONES DE LA ECONOMIA POPULAR Y SOLIDARIA</t>
  </si>
  <si>
    <t xml:space="preserve">DIRECCION NACIONAL LEGAL DE ORGANIZACIONES DE LA ECONOMIA POPULAR Y SOLIDARIA</t>
  </si>
  <si>
    <t xml:space="preserve">ANALISTA JURIDICO 2 DE LA EPS</t>
  </si>
  <si>
    <t xml:space="preserve">SERVIDOR PUBLICO 7</t>
  </si>
  <si>
    <t xml:space="preserve">DIRECCION NACIONAL DE SUPERVISION A ENTIDADES DEL SECTOR FINANCIERO TIPO I</t>
  </si>
  <si>
    <t xml:space="preserve">1722632476</t>
  </si>
  <si>
    <t xml:space="preserve">BARAHONA LOPEZ IVAN PATRICIO</t>
  </si>
  <si>
    <t xml:space="preserve">SECRETARIA GENERAL</t>
  </si>
  <si>
    <t xml:space="preserve">DIRECCION NACIONAL DE GESTION DOCUMENTAL Y ARCHIVO</t>
  </si>
  <si>
    <t xml:space="preserve">ASISTENTE TECNICO DE GESTION DOCUMENTAL</t>
  </si>
  <si>
    <t xml:space="preserve">SERVIDOR PUBLICO 1</t>
  </si>
  <si>
    <t xml:space="preserve">INTENEDENCIA NACIONAL DE PLANIFICACION Y GESTION ESTRATEGICA / DIRECCION NCIONAL DE PROCESOS Y CALIDAD</t>
  </si>
  <si>
    <t xml:space="preserve">1721533576</t>
  </si>
  <si>
    <t xml:space="preserve">TAPIA FLORES GARDENIA CECIBEL</t>
  </si>
  <si>
    <t xml:space="preserve">CUENCA</t>
  </si>
  <si>
    <t xml:space="preserve">DIRECCION ZONAL 5</t>
  </si>
  <si>
    <t xml:space="preserve">UNIDAD DE SERVICIOS</t>
  </si>
  <si>
    <t xml:space="preserve">ASISTENTE DE GESTION DOCUMENTAL ZONAL</t>
  </si>
  <si>
    <t xml:space="preserve">DIRECCION NACIONAL DE ATENCION A CONSULTAS Y RECLAMOS DE LA ECONOMIA POPULAR Y SOLIDARIA</t>
  </si>
  <si>
    <t xml:space="preserve">1711688190</t>
  </si>
  <si>
    <t xml:space="preserve">SANTAMARIA RUEDA DIEGO MAURICIO</t>
  </si>
  <si>
    <t xml:space="preserve">INTENDENCIA NACIONAL ADMINISTRATIVA FINANCIERA</t>
  </si>
  <si>
    <t xml:space="preserve">DIRECCION NACIONAL FINANCIERA</t>
  </si>
  <si>
    <t xml:space="preserve">ANALISTA DE TESORERIA 1</t>
  </si>
  <si>
    <t xml:space="preserve">SERVIDOR PUBLICO 5</t>
  </si>
  <si>
    <t xml:space="preserve">0917368417</t>
  </si>
  <si>
    <t xml:space="preserve">GUERRERO FLORES LENCY WALKIRIA</t>
  </si>
  <si>
    <t xml:space="preserve">GUAYAQUIL</t>
  </si>
  <si>
    <t xml:space="preserve">ANALISTA DE SERVICIO AL CIUDADANO ZONAL</t>
  </si>
  <si>
    <t xml:space="preserve">DIRECCION NACIONAL DE GESTION DE SERVICIOS</t>
  </si>
  <si>
    <t xml:space="preserve">1716262728</t>
  </si>
  <si>
    <t xml:space="preserve">ZAMORA CORDOVA FELIX WLADIMIR</t>
  </si>
  <si>
    <t xml:space="preserve">INTENDENCIA NACIONAL DE SUPERVISION A ENTIDADES DEL SECTOR FINANCIERO POPULAR Y SOLIDARIO</t>
  </si>
  <si>
    <t xml:space="preserve">DIRECCION NACIONAL LEGAL DEL SECTOR FINANCIERO</t>
  </si>
  <si>
    <t xml:space="preserve">ANALISTA LEGAL DEL SECTOR FINANCIERO 2</t>
  </si>
  <si>
    <t xml:space="preserve">1712422839</t>
  </si>
  <si>
    <t xml:space="preserve">LOYOLA TRONCOSO JAIME EDUARDO</t>
  </si>
  <si>
    <t xml:space="preserve">INTENDENCIA NACIONAL DE TECNOLOGIAS DE LA INFORMACION Y COMUNICACIONES</t>
  </si>
  <si>
    <t xml:space="preserve">DIRECCION NACIONAL DE INFRAESTRUCTURA TECNOLOGICA Y OPERACIONES</t>
  </si>
  <si>
    <t xml:space="preserve">ANALISTA EN ASEGURAMIENTO Y CONTROL DE LA CALIDAD DE TECNOLOGIAS DE INFORMACION 2</t>
  </si>
  <si>
    <t xml:space="preserve">1719201822</t>
  </si>
  <si>
    <t xml:space="preserve">RACINES NUÑEZ MARIA DANIELA</t>
  </si>
  <si>
    <t xml:space="preserve">ANALISTA DE AUDITORIA DEL SECTOR FINANCIERO</t>
  </si>
  <si>
    <t xml:space="preserve">1717835407</t>
  </si>
  <si>
    <t xml:space="preserve">PALLARES CASTRO DARIO XAVIER</t>
  </si>
  <si>
    <t xml:space="preserve">DIRECCION NACIONAL ADMINISTRATIVA</t>
  </si>
  <si>
    <t xml:space="preserve">ANALISTA ADMINISTRATIVO DE SERVICIOS GENERALES</t>
  </si>
  <si>
    <t xml:space="preserve">1718348913</t>
  </si>
  <si>
    <t xml:space="preserve">BURBANO PALACIOS MARIA EUGENIA</t>
  </si>
  <si>
    <t xml:space="preserve">ANALISTA DE COMPRAS</t>
  </si>
  <si>
    <t xml:space="preserve">INACTIVO TEMPORALMENTE</t>
  </si>
  <si>
    <t xml:space="preserve">1802226850</t>
  </si>
  <si>
    <t xml:space="preserve">SALAZAR BERMEO TERESA ELIZABETH</t>
  </si>
  <si>
    <t xml:space="preserve">INTENDENCIA NACIONAL DE SUPERVISION A ORGANIZACIONES DE LA ECONOMIA POPULAR Y SOLIDARIA</t>
  </si>
  <si>
    <t xml:space="preserve">DIRECCION NACIONAL DE SUPERVISION A ORGANIZACIONES DE LA ECONOMIA POPULAR Y SOLIDARIA</t>
  </si>
  <si>
    <t xml:space="preserve">ANALISTA DE SUPERVISION AUXILIAR DE LA EPS 2</t>
  </si>
  <si>
    <t xml:space="preserve">0302025838</t>
  </si>
  <si>
    <t xml:space="preserve">CRESPO CARDENAS DAVID GERARDO</t>
  </si>
  <si>
    <t xml:space="preserve">UNIDAD LEGAL DEL SECTOR FINANCIERO</t>
  </si>
  <si>
    <t xml:space="preserve">ANALISTA LEGAL DEL SECTOR FINANCIERO ZONAL 2</t>
  </si>
  <si>
    <t xml:space="preserve">1715408819</t>
  </si>
  <si>
    <t xml:space="preserve">BRICEÑO PILA ANA MARIA</t>
  </si>
  <si>
    <t xml:space="preserve">INTENDENCIA NACIONAL DE RIESGOS</t>
  </si>
  <si>
    <t xml:space="preserve">DIRECCION NACIONAL DE SEGUIMIENTO</t>
  </si>
  <si>
    <t xml:space="preserve">ANALISTA DE SUPERVISION AUXILIAR DE LA EPS 1</t>
  </si>
  <si>
    <t xml:space="preserve">1725390221</t>
  </si>
  <si>
    <t xml:space="preserve">PAUCAR AREVALO JACQUELINE ESTEFANIA</t>
  </si>
  <si>
    <t xml:space="preserve">INTENDENCIA NACIONAL DE GESTION DE LA INFORMACION Y NORMATIVA TECNICA</t>
  </si>
  <si>
    <t xml:space="preserve">DIRECCION NACIONAL DE ESTUDIOS, DESARROLLO E INNOVACION</t>
  </si>
  <si>
    <t xml:space="preserve">ANALISTA DE INVESTIGACION Y CAPACITACION 1</t>
  </si>
  <si>
    <t xml:space="preserve">1721084919</t>
  </si>
  <si>
    <t xml:space="preserve">BEDON VELASCO KARINA SALOME</t>
  </si>
  <si>
    <t xml:space="preserve">ASISTENTE DE COMPRAS PUBLICAS</t>
  </si>
  <si>
    <t xml:space="preserve">DETALLE DE PERÍODOS DE COMISIÓN (HISTORIAL DE RENOVACIONES)</t>
  </si>
  <si>
    <t xml:space="preserve">Una fila por cada período/renovación otorgado. No modificar las columnas F a I (son fórmulas de apoyo).</t>
  </si>
  <si>
    <t xml:space="preserve">Institución en el Período</t>
  </si>
  <si>
    <t xml:space="preserve">Fecha Inicio del Período</t>
  </si>
  <si>
    <t xml:space="preserve">Fecha Fin del Período</t>
  </si>
  <si>
    <t xml:space="preserve">Días del Período</t>
  </si>
  <si>
    <t xml:space="preserve">N° de Período</t>
  </si>
  <si>
    <t xml:space="preserve">Es Período Actual (1/0)</t>
  </si>
  <si>
    <t xml:space="preserve">Clave (uso interno)</t>
  </si>
  <si>
    <t xml:space="preserve">BANCO CENTRAL DEL ECUADOR</t>
  </si>
  <si>
    <t xml:space="preserve">GOBIERNO AUTONOMO DESENTRALZIADO, MUNICIPAL DEL CANTON SEVILLA DE ORO</t>
  </si>
  <si>
    <t xml:space="preserve">GOBIERNO AUTONOMO DESCENTRALIZADO DEL DISTRITO METROPOLITANO DE QUITO</t>
  </si>
  <si>
    <t xml:space="preserve">CONTRALORIA GENERAL DEL ESTADO</t>
  </si>
  <si>
    <t xml:space="preserve">SECRETARIA TECNICA DEL COMITE DE COORDINACION DE LA FUNCION DE TRANSPARENCIA Y CONTROL SOCIAL</t>
  </si>
  <si>
    <t xml:space="preserve">ADMINISTRACION GENERAL DEL GAD DEL DISTRITO METROPOLITANO DE QUITO</t>
  </si>
  <si>
    <t xml:space="preserve">SUPERINTENDENCIA DE BANCOS</t>
  </si>
  <si>
    <t xml:space="preserve">MINISTERIO DE EDUCACION</t>
  </si>
  <si>
    <t xml:space="preserve">CONSEJO DE LA JUDICATURA</t>
  </si>
  <si>
    <t xml:space="preserve">MINISTERIO DEL TRABAJO</t>
  </si>
  <si>
    <t xml:space="preserve">VICEPRESIDENCIA DE LA REPUBLICA DEL ECUADOR</t>
  </si>
  <si>
    <t xml:space="preserve">EMPRESA PUBLICA DE HIDROCARBUROS DEL ECUADOR EP PETROECUADOR</t>
  </si>
  <si>
    <t xml:space="preserve">GOBERNACION DE LA PROVINCIA DEL CAÑAR</t>
  </si>
  <si>
    <t xml:space="preserve">BANCO DEL INSTITUTO ECUATORIANO DE SEGURIDAD SOCIAL BIESS</t>
  </si>
  <si>
    <t xml:space="preserve">CONSORCIO DE GOBIERNOS AUTONOMOS PROVINCIALES DEL ECUADOR CONGOPE</t>
  </si>
  <si>
    <t xml:space="preserve">REGISTRO DE COMISIÓN — NUEVOS INGRESOS Y RENOVACIONES</t>
  </si>
  <si>
    <t xml:space="preserve">Filas 5 a 31: historial de las 15 personas que ya están en comisión (igual que en "Detalle de Periodos"). Desde la fila 32: registre aquí una persona NUEVA o una RENOVACIÓN/EXTENSIÓN. Al escribir una cédula que ya existe, las columnas B a H se completan solas. Las demás pestañas se actualizan automáticamente; no fueron modificadas.</t>
  </si>
  <si>
    <t xml:space="preserve">PERSONA NUEVA: escriba su cédula y complete usted mismo los datos (nombres, ciudad, intendencia, dirección, cargo, grupo, RMU) además del período. RENOVACIÓN/EXTENSIÓN de alguien que ya está registrado: escriba su cédula (las columnas B-H se llenan solas) y complete solo los datos del nuevo período (institución, fechas y servidor). Use las filas desde la 32 en adelante para esto: las filas 5-31 son el historial ya cargado.</t>
  </si>
  <si>
    <t xml:space="preserve">Servidor que Ocupa la Partida</t>
  </si>
  <si>
    <t xml:space="preserve">Es Período Actual (uso interno)</t>
  </si>
  <si>
    <t xml:space="preserve">Clave Actual (uso interno)</t>
  </si>
  <si>
    <t xml:space="preserve">Es Primera Vez - Persona Nueva (uso interno)</t>
  </si>
  <si>
    <t xml:space="preserve">Orden Persona Nueva (uso interno)</t>
  </si>
  <si>
    <t xml:space="preserve">NEIRA TACURE ELIZABETH DEL CARMEN</t>
  </si>
  <si>
    <t xml:space="preserve">MUÑOZ MOLINA WALTER ALEXIS</t>
  </si>
  <si>
    <t xml:space="preserve">BEDOYA PADILLA KEVIN ANDRES</t>
  </si>
  <si>
    <t xml:space="preserve">MUÑOZ GARCIA DIANA PAMELA</t>
  </si>
  <si>
    <t xml:space="preserve">ALBUJA QUINTANA RODRIGO ALEJANDRO</t>
  </si>
  <si>
    <t xml:space="preserve">CAÑIZARES LARCO VICTORIA ELIZABETH</t>
  </si>
  <si>
    <t xml:space="preserve">CAIZA PILLAJO SAIRA LORENA</t>
  </si>
  <si>
    <t xml:space="preserve">CHAUCA ORTEGA MARIA FERNANDA</t>
  </si>
  <si>
    <t xml:space="preserve">ALVEAR VALDIVIESO BYRON RAMIRO</t>
  </si>
  <si>
    <t xml:space="preserve">SIN REGISTRAR</t>
  </si>
  <si>
    <t xml:space="preserve">INSTRUCCIONES Y MACRO VBA (OPCIONAL)</t>
  </si>
  <si>
    <t xml:space="preserve">Guía de uso, significado de colores y código VBA sugerido para búsqueda rápida y exportación de alertas.</t>
  </si>
  <si>
    <t xml:space="preserve">Significado de los colores (semáforo)</t>
  </si>
  <si>
    <t xml:space="preserve">🟢 Verde</t>
  </si>
  <si>
    <t xml:space="preserve">Vigente / dentro del límite legal. Sin acción requerida.</t>
  </si>
  <si>
    <t xml:space="preserve">🟡 Amarillo</t>
  </si>
  <si>
    <t xml:space="preserve">Vigilar: falta menos de 1 año para el límite legal, o menos de 180 días para el fin de la comisión actual.</t>
  </si>
  <si>
    <t xml:space="preserve">🟠 Naranja</t>
  </si>
  <si>
    <t xml:space="preserve">Próximo a vencer: entre 90 y 180 días para el fin de comisión, o dentro de los 180 días previos al límite legal de 6 años.</t>
  </si>
  <si>
    <t xml:space="preserve">🔴 Rojo</t>
  </si>
  <si>
    <t xml:space="preserve">Comisión vencida o límite legal de 6 años superado: requiere acción inmediata (reintegro o regularización).</t>
  </si>
  <si>
    <t xml:space="preserve">Macro VBA sugerida (opcional)</t>
  </si>
  <si>
    <t xml:space="preserve">Este archivo funciona completamente con fórmulas, sin necesidad de macros. Si desea además una búsqueda emergente (InputBox) y un botón para exportar las alertas activas a una hoja nueva, copie el siguiente código en el Editor de Visual Basic (Alt+F11 → Insertar → Módulo), guarde el archivo como .xlsm ("Libro de Excel habilitado para macros") y habilite las macros al abrirlo.</t>
  </si>
  <si>
    <t xml:space="preserve">Sub BuscarServidor()</t>
  </si>
  <si>
    <t xml:space="preserve">    ' Busca por cedula o nombre y muestra los datos clave en un mensaje</t>
  </si>
  <si>
    <t xml:space="preserve">    Dim ws As Worksheet, tbl As ListObject, i As Long, termino As String</t>
  </si>
  <si>
    <t xml:space="preserve">    Dim encontrados As Integer</t>
  </si>
  <si>
    <t xml:space="preserve">    Dim resultado As String</t>
  </si>
  <si>
    <t xml:space="preserve">    Set ws = ThisWorkbook.Sheets("Base de Personas")</t>
  </si>
  <si>
    <t xml:space="preserve">    Set tbl = ws.ListObjects("tblPersonas")</t>
  </si>
  <si>
    <t xml:space="preserve">    termino = InputBox("Escriba cedula o parte del nombre a buscar:", "Buscar servidor")</t>
  </si>
  <si>
    <t xml:space="preserve">    If termino = "" Then Exit Sub</t>
  </si>
  <si>
    <t xml:space="preserve">    encontrados = 0</t>
  </si>
  <si>
    <t xml:space="preserve">    resultado = ""</t>
  </si>
  <si>
    <t xml:space="preserve">    For i = 1 To tbl.ListRows.Count</t>
  </si>
  <si>
    <t xml:space="preserve">        If InStr(1, tbl.ListColumns("Cédula").DataBodyRange(i), termino, vbTextCompare) &gt; 0 _</t>
  </si>
  <si>
    <t xml:space="preserve">           Or InStr(1, tbl.ListColumns("Nombres Completos").DataBodyRange(i), termino, vbTextCompare) &gt; 0 Then</t>
  </si>
  <si>
    <t xml:space="preserve">            encontrados = encontrados + 1</t>
  </si>
  <si>
    <t xml:space="preserve">            resultado = resultado &amp; tbl.ListColumns("Nombres Completos").DataBodyRange(i) &amp; " | " &amp; _</t>
  </si>
  <si>
    <t xml:space="preserve">                tbl.ListColumns("Institución Actual (Destino)").DataBodyRange(i) &amp; " | Fin: " &amp; _</t>
  </si>
  <si>
    <t xml:space="preserve">                Format(tbl.ListColumns("Fecha Fin" &amp; vbCrLf &amp; "Comisión Actual").DataBodyRange(i), "dd/mm/yyyy") &amp; vbCrLf</t>
  </si>
  <si>
    <t xml:space="preserve">        End If</t>
  </si>
  <si>
    <t xml:space="preserve">    Next i</t>
  </si>
  <si>
    <t xml:space="preserve">    If encontrados = 0 Then</t>
  </si>
  <si>
    <t xml:space="preserve">        MsgBox "No se encontraron coincidencias para: " &amp; termino, vbInformation</t>
  </si>
  <si>
    <t xml:space="preserve">    Else</t>
  </si>
  <si>
    <t xml:space="preserve">        MsgBox encontrados &amp; " coincidencia(s):" &amp; vbCrLf &amp; vbCrLf &amp; resultado, vbInformation</t>
  </si>
  <si>
    <t xml:space="preserve">    End If</t>
  </si>
  <si>
    <t xml:space="preserve">End Sub</t>
  </si>
  <si>
    <t xml:space="preserve"> </t>
  </si>
  <si>
    <t xml:space="preserve">Sub ExportarAlertas()</t>
  </si>
  <si>
    <t xml:space="preserve">    ' Copia a una hoja nueva las personas con comision por vencer/vencida o cerca del limite legal</t>
  </si>
  <si>
    <t xml:space="preserve">    Dim wsSrc As Worksheet, wsOut As Worksheet, tbl As ListObject</t>
  </si>
  <si>
    <t xml:space="preserve">    Dim i As Long, destRow As Long</t>
  </si>
  <si>
    <t xml:space="preserve">    Dim estadoCom As String, estadoLegal As String</t>
  </si>
  <si>
    <t xml:space="preserve">    Set wsSrc = ThisWorkbook.Sheets("Base de Personas")</t>
  </si>
  <si>
    <t xml:space="preserve">    Set tbl = wsSrc.ListObjects("tblPersonas")</t>
  </si>
  <si>
    <t xml:space="preserve">    On Error Resume Next</t>
  </si>
  <si>
    <t xml:space="preserve">    Application.DisplayAlerts = False</t>
  </si>
  <si>
    <t xml:space="preserve">    ThisWorkbook.Sheets("Alertas_Automaticas").Delete</t>
  </si>
  <si>
    <t xml:space="preserve">    Application.DisplayAlerts = True</t>
  </si>
  <si>
    <t xml:space="preserve">    On Error GoTo 0</t>
  </si>
  <si>
    <t xml:space="preserve">    Set wsOut = ThisWorkbook.Sheets.Add(After:=wsSrc)</t>
  </si>
  <si>
    <t xml:space="preserve">    wsOut.Name = "Alertas_Automaticas"</t>
  </si>
  <si>
    <t xml:space="preserve">    wsOut.Range("A1:D1").Value = Array("Nombres Completos", "Institucion Actual", _</t>
  </si>
  <si>
    <t xml:space="preserve">        "Estado Comision Actual", "Estado Limite Legal (6 anios)")</t>
  </si>
  <si>
    <t xml:space="preserve">    destRow = 2</t>
  </si>
  <si>
    <t xml:space="preserve">        estadoCom = tbl.ListColumns("Estado Comisión" &amp; vbCrLf &amp; "Actual").DataBodyRange(i)</t>
  </si>
  <si>
    <t xml:space="preserve">        estadoLegal = tbl.ListColumns("Estado Límite" &amp; vbCrLf &amp; "Legal (6 años)").DataBodyRange(i)</t>
  </si>
  <si>
    <t xml:space="preserve">        If InStr(estadoCom, ChrW(&amp;H1F534)) &gt; 0 Or InStr(estadoCom, ChrW(&amp;H1F7E0)) &gt; 0 _</t>
  </si>
  <si>
    <t xml:space="preserve">           Or InStr(estadoLegal, ChrW(&amp;H1F534)) &gt; 0 Or InStr(estadoLegal, ChrW(&amp;H1F7E0)) &gt; 0 Then</t>
  </si>
  <si>
    <t xml:space="preserve">            wsOut.Cells(destRow, 1).Value = tbl.ListColumns("Nombres Completos").DataBodyRange(i)</t>
  </si>
  <si>
    <t xml:space="preserve">            wsOut.Cells(destRow, 2).Value = tbl.ListColumns("Institución Actual (Destino)").DataBodyRange(i)</t>
  </si>
  <si>
    <t xml:space="preserve">            wsOut.Cells(destRow, 3).Value = estadoCom</t>
  </si>
  <si>
    <t xml:space="preserve">            wsOut.Cells(destRow, 4).Value = estadoLegal</t>
  </si>
  <si>
    <t xml:space="preserve">            destRow = destRow + 1</t>
  </si>
  <si>
    <t xml:space="preserve">    wsOut.Columns("A:D").AutoFit</t>
  </si>
  <si>
    <t xml:space="preserve">    MsgBox (destRow - 2) &amp; " registro(s) con alerta exportado(s) a la hoja 'Alertas_Automaticas'.", vbInformation</t>
  </si>
  <si>
    <t xml:space="preserve">Private Sub Workbook_Open()</t>
  </si>
  <si>
    <t xml:space="preserve">    ' Aviso automatico al abrir el archivo (pegar en "ThisWorkbook", no en un modulo)</t>
  </si>
  <si>
    <t xml:space="preserve">    Dim n As Integer</t>
  </si>
  <si>
    <t xml:space="preserve">    n = Application.WorksheetFunction.CountIf(Sheets("Base de Personas").Range("T7:T21"), "*VENCIDA*")</t>
  </si>
  <si>
    <t xml:space="preserve">    If n &gt; 0 Then MsgBox n &amp; " comision(es) ya vencida(s). Revise la hoja Base de Personas.", vbExclamation</t>
  </si>
  <si>
    <t xml:space="preserve">Nota: la primera macro (BuscarServidor) y la segunda (ExportarAlertas) van en un Módulo normal. La tercera (Workbook_Open) debe pegarse en el objeto "ThisWorkbook" del proyecto VBA para que se ejecute automáticamente cada vez que se abra el archivo. Para asignar un botón: Insertar → Formas → clic derecho → Asignar macro → BuscarServidor (o ExportarAlertas).</t>
  </si>
  <si>
    <t xml:space="preserve">Mayúsculas, sin tildes y un solo espacio al escribir (opcional)</t>
  </si>
  <si>
    <t xml:space="preserve">Todo el texto ya cargado en la matriz está en MAYÚSCULAS, sin tildes y con un solo espacio entre palabras, y lo que se autocompleta con fórmulas (columnas B-H de "Registro de Comisión" y sus reflejos en "Detalle de Periodos"/"Base de Personas") se limpia automáticamente igual, sin macros. Lo único que una fórmula no puede forzar es el texto que USTED escribe a mano (Institución, Servidor, o el nombre de una persona nueva) mientras lo está tecleando. Si quiere que también eso se convierta solo a MAYÚSCULAS, sin tildes y sin espacios dobles, copie el siguiente código en el Editor de Visual Basic (Alt+F11), sobre el objeto de la hoja "Registro de Comisión" (doble clic en su nombre en el panel izquierdo, NO en un Módulo normal), guarde el archivo como .xlsm y habilite las macros al abrirlo.</t>
  </si>
  <si>
    <t xml:space="preserve">Private Sub Worksheet_Change(ByVal Target As Range)</t>
  </si>
  <si>
    <t xml:space="preserve">    ' Convierte a MAYUSCULAS, sin tildes y con un solo espacio lo que se escriba a</t>
  </si>
  <si>
    <t xml:space="preserve">    ' mano en "Registro de Comision" (Institucion, Servidor, o los datos de una</t>
  </si>
  <si>
    <t xml:space="preserve">    ' persona nueva). No toca las columnas con formula (autofill), ni la cedula</t>
  </si>
  <si>
    <t xml:space="preserve">    ' ni las fechas.</t>
  </si>
  <si>
    <t xml:space="preserve">    Dim celda As Range, colsTexto As Variant, i As Long, esTexto As Boolean</t>
  </si>
  <si>
    <t xml:space="preserve">    Dim txt As String</t>
  </si>
  <si>
    <t xml:space="preserve">    colsTexto = Array(2, 3, 4, 5, 6, 7, 9, 12) ' B,C,D,E,F,G,I,L</t>
  </si>
  <si>
    <t xml:space="preserve">    If Target.Row &lt; 5 Then Exit Sub</t>
  </si>
  <si>
    <t xml:space="preserve">    Application.EnableEvents = False</t>
  </si>
  <si>
    <t xml:space="preserve">    For Each celda In Target</t>
  </si>
  <si>
    <t xml:space="preserve">        esTexto = False</t>
  </si>
  <si>
    <t xml:space="preserve">        For i = LBound(colsTexto) To UBound(colsTexto)</t>
  </si>
  <si>
    <t xml:space="preserve">            If celda.Column = colsTexto(i) Then esTexto = True</t>
  </si>
  <si>
    <t xml:space="preserve">        Next i</t>
  </si>
  <si>
    <t xml:space="preserve">        If esTexto And Not celda.HasFormula And Not IsEmpty(celda.Value) Then</t>
  </si>
  <si>
    <t xml:space="preserve">            txt = UCase(celda.Value)</t>
  </si>
  <si>
    <t xml:space="preserve">            txt = Replace(txt, "Á", "A"): txt = Replace(txt, "É", "E")</t>
  </si>
  <si>
    <t xml:space="preserve">            txt = Replace(txt, "Í", "I"): txt = Replace(txt, "Ó", "O")</t>
  </si>
  <si>
    <t xml:space="preserve">            txt = Replace(txt, "Ú", "U"): txt = Replace(txt, "Ü", "U")</t>
  </si>
  <si>
    <t xml:space="preserve">            Do While InStr(txt, "  ") &gt; 0</t>
  </si>
  <si>
    <t xml:space="preserve">                txt = Replace(txt, "  ", " ")</t>
  </si>
  <si>
    <t xml:space="preserve">            Loop</t>
  </si>
  <si>
    <t xml:space="preserve">            celda.Value = Trim(txt)</t>
  </si>
  <si>
    <t xml:space="preserve">    Next celda</t>
  </si>
  <si>
    <t xml:space="preserve">    Application.EnableEvents = True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</si>
</sst>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$#,##0"/>
    <numFmt numFmtId="167" formatCode="dd/mm/yyyy"/>
    <numFmt numFmtId="168" formatCode="#,##0"/>
    <numFmt numFmtId="169" formatCode="0.0"/>
    <numFmt numFmtId="170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1F3864"/>
      <name val="Arial"/>
      <family val="0"/>
      <charset val="1"/>
    </font>
    <font>
      <sz val="9"/>
      <name val="Consolas"/>
      <family val="0"/>
      <charset val="1"/>
    </font>
    <font>
      <i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EDEDED"/>
      </patternFill>
    </fill>
    <fill>
      <patternFill patternType="solid">
        <fgColor rgb="FFFFF9E6"/>
        <bgColor rgb="FFFFFFFF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DCE6F1"/>
      </patternFill>
    </fill>
    <fill>
      <patternFill patternType="solid">
        <fgColor rgb="FFFFE699"/>
        <bgColor rgb="FFFFD08A"/>
      </patternFill>
    </fill>
    <fill>
      <patternFill patternType="solid">
        <fgColor rgb="FFFFD08A"/>
        <bgColor rgb="FFF8CBAD"/>
      </patternFill>
    </fill>
    <fill>
      <patternFill patternType="solid">
        <fgColor rgb="FFF8CBAD"/>
        <bgColor rgb="FFFFD08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3864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08A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8CBAD"/>
        </patternFill>
      </fill>
    </dxf>
    <dxf>
      <fill>
        <patternFill>
          <bgColor rgb="FFFFD08A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7B7B7"/>
      <rgbColor rgb="FF808080"/>
      <rgbColor rgb="FF9999FF"/>
      <rgbColor rgb="FF993366"/>
      <rgbColor rgb="FFFFF9E6"/>
      <rgbColor rgb="FFDCE6F1"/>
      <rgbColor rgb="FF660066"/>
      <rgbColor rgb="FFFF8080"/>
      <rgbColor rgb="FF0066CC"/>
      <rgbColor rgb="FFC6E0B4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E699"/>
      <rgbColor rgb="FF9DC3E6"/>
      <rgbColor rgb="FFF8CBAD"/>
      <rgbColor rgb="FFCC99FF"/>
      <rgbColor rgb="FFFFD08A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eriodos" displayName="tblPeriodos" ref="A4:I304" headerRowCount="1" totalsRowCount="0" totalsRowShown="0">
  <autoFilter ref="A4:I304"/>
  <tableColumns count="9">
    <tableColumn id="1" name="Cédula"/>
    <tableColumn id="2" name="Nombres Completos"/>
    <tableColumn id="3" name="Institución en el Período"/>
    <tableColumn id="4" name="Fecha Inicio del Período"/>
    <tableColumn id="5" name="Fecha Fin del Período"/>
    <tableColumn id="6" name="Días del Período"/>
    <tableColumn id="7" name="N° de Período"/>
    <tableColumn id="8" name="Es Período Actual (1/0)"/>
    <tableColumn id="9" name="Clave (uso interno)"/>
  </tableColumns>
</table>
</file>

<file path=xl/tables/table2.xml><?xml version="1.0" encoding="utf-8"?>
<table xmlns="http://schemas.openxmlformats.org/spreadsheetml/2006/main" id="2" name="tblPersonas" displayName="tblPersonas" ref="A6:W121" headerRowCount="1" totalsRowCount="0" totalsRowShown="0">
  <autoFilter ref="A6:W121"/>
  <tableColumns count="23">
    <tableColumn id="1" name="No."/>
    <tableColumn id="2" name="Cédula"/>
    <tableColumn id="3" name="Nombres Completos"/>
    <tableColumn id="4" name="Ciudad"/>
    <tableColumn id="5" name="Intendencia de Origen"/>
    <tableColumn id="6" name="Dirección de Origen"/>
    <tableColumn id="7" name="Cargo"/>
    <tableColumn id="8" name="Grupo Ocupacional"/>
    <tableColumn id="9" name="RMU"/>
    <tableColumn id="10" name="Institución Actual (Destino)"/>
    <tableColumn id="11" name="Fecha Inicio&#10;(1ra Comisión)"/>
    <tableColumn id="12" name="Fecha Fin&#10;Comisión Actual"/>
    <tableColumn id="13" name="N° Períodos&#10;/Renovaciones"/>
    <tableColumn id="14" name="Días Acumulados&#10;en Comisión"/>
    <tableColumn id="15" name="Años Acumulados&#10;(aprox.)"/>
    <tableColumn id="16" name="Fecha Límite Legal&#10;(6 años)"/>
    <tableColumn id="17" name="Días Restantes&#10;al Límite Legal"/>
    <tableColumn id="18" name="Estado Límite&#10;Legal (6 años)"/>
    <tableColumn id="19" name="Días Restantes&#10;Comisión Actual"/>
    <tableColumn id="20" name="Estado Comisión&#10;Actual"/>
    <tableColumn id="21" name="Continuidad"/>
    <tableColumn id="22" name="Servidor que Ocupa&#10;la Partida"/>
    <tableColumn id="23" name="Dirección del Servidor&#10;que Ocup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B6" s="5" t="n">
        <f aca="false">COUNTA('Base de Personas'!B7:B21)</f>
        <v>15</v>
      </c>
      <c r="C6" s="5"/>
      <c r="D6" s="5" t="n">
        <f aca="false">COUNTIF('Base de Personas'!T7:T21,"*VENCIDA*")+COUNTIF('Base de Personas'!T7:T21,"*VENCE PRONTO*")</f>
        <v>7</v>
      </c>
      <c r="E6" s="5"/>
      <c r="F6" s="5" t="n">
        <f aca="false">COUNTIF('Base de Personas'!R7:R21,"*SUPERO*")+COUNTIF('Base de Personas'!R7:R21,"*PROXIMO*")</f>
        <v>0</v>
      </c>
      <c r="G6" s="5"/>
    </row>
    <row r="7" customFormat="false" ht="15" hidden="false" customHeight="true" outlineLevel="0" collapsed="false"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B8" s="5"/>
      <c r="C8" s="5"/>
      <c r="D8" s="5"/>
      <c r="E8" s="5"/>
      <c r="F8" s="5"/>
      <c r="G8" s="5"/>
    </row>
    <row r="9" customFormat="false" ht="23.25" hidden="false" customHeight="true" outlineLevel="0" collapsed="false">
      <c r="B9" s="6" t="s">
        <v>3</v>
      </c>
      <c r="C9" s="6"/>
      <c r="D9" s="6" t="s">
        <v>4</v>
      </c>
      <c r="E9" s="6"/>
      <c r="F9" s="6" t="s">
        <v>5</v>
      </c>
      <c r="G9" s="6"/>
    </row>
    <row r="10" customFormat="false" ht="15" hidden="false" customHeight="true" outlineLevel="0" collapsed="false">
      <c r="B10" s="5" t="n">
        <f aca="false">COUNTIF('Base de Personas'!V7:V21,"*INACTIVO*")+COUNTIF('Base de Personas'!V7:V21,"*SIN REGISTRAR*")</f>
        <v>6</v>
      </c>
      <c r="C10" s="5"/>
      <c r="D10" s="7" t="n">
        <f aca="false">SUM('Base de Personas'!I7:I21)</f>
        <v>20243</v>
      </c>
      <c r="E10" s="7"/>
      <c r="F10" s="5" t="n">
        <f aca="false">SUMPRODUCT((COUNTIF('Base de Personas'!J7:J21,'Base de Personas'!J7:J21)=1)*1)</f>
        <v>11</v>
      </c>
      <c r="G10" s="5"/>
    </row>
    <row r="11" customFormat="false" ht="15" hidden="false" customHeight="true" outlineLevel="0" collapsed="false">
      <c r="B11" s="5"/>
      <c r="C11" s="5"/>
      <c r="D11" s="7"/>
      <c r="E11" s="7"/>
      <c r="F11" s="5"/>
      <c r="G11" s="5"/>
    </row>
    <row r="12" customFormat="false" ht="15" hidden="false" customHeight="true" outlineLevel="0" collapsed="false">
      <c r="B12" s="5"/>
      <c r="C12" s="5"/>
      <c r="D12" s="7"/>
      <c r="E12" s="7"/>
      <c r="F12" s="5"/>
      <c r="G12" s="5"/>
    </row>
    <row r="13" customFormat="false" ht="23.25" hidden="false" customHeight="true" outlineLevel="0" collapsed="false">
      <c r="B13" s="6" t="s">
        <v>6</v>
      </c>
      <c r="C13" s="6"/>
      <c r="D13" s="6" t="s">
        <v>7</v>
      </c>
      <c r="E13" s="6"/>
      <c r="F13" s="6" t="s">
        <v>8</v>
      </c>
      <c r="G13" s="6"/>
    </row>
    <row r="15" customFormat="false" ht="15.75" hidden="false" customHeight="true" outlineLevel="0" collapsed="false">
      <c r="A15" s="4" t="s">
        <v>9</v>
      </c>
      <c r="B15" s="4"/>
      <c r="C15" s="4"/>
      <c r="D15" s="4"/>
      <c r="E15" s="4"/>
      <c r="F15" s="4"/>
      <c r="G15" s="4"/>
      <c r="H15" s="4"/>
    </row>
    <row r="17" customFormat="false" ht="31.5" hidden="false" customHeight="true" outlineLevel="0" collapsed="false">
      <c r="A17" s="8" t="s">
        <v>10</v>
      </c>
      <c r="B17" s="8"/>
      <c r="C17" s="9" t="s">
        <v>11</v>
      </c>
      <c r="D17" s="9"/>
      <c r="E17" s="9"/>
      <c r="F17" s="9"/>
      <c r="G17" s="9"/>
      <c r="H17" s="9"/>
    </row>
    <row r="18" customFormat="false" ht="31.5" hidden="false" customHeight="true" outlineLevel="0" collapsed="false">
      <c r="A18" s="8" t="s">
        <v>12</v>
      </c>
      <c r="B18" s="8"/>
      <c r="C18" s="9" t="s">
        <v>13</v>
      </c>
      <c r="D18" s="9"/>
      <c r="E18" s="9"/>
      <c r="F18" s="9"/>
      <c r="G18" s="9"/>
      <c r="H18" s="9"/>
    </row>
    <row r="19" customFormat="false" ht="31.5" hidden="false" customHeight="true" outlineLevel="0" collapsed="false">
      <c r="A19" s="8" t="s">
        <v>14</v>
      </c>
      <c r="B19" s="8"/>
      <c r="C19" s="9" t="s">
        <v>15</v>
      </c>
      <c r="D19" s="9"/>
      <c r="E19" s="9"/>
      <c r="F19" s="9"/>
      <c r="G19" s="9"/>
      <c r="H19" s="9"/>
    </row>
    <row r="20" customFormat="false" ht="31.5" hidden="false" customHeight="true" outlineLevel="0" collapsed="false">
      <c r="A20" s="8" t="s">
        <v>16</v>
      </c>
      <c r="B20" s="8"/>
      <c r="C20" s="9" t="s">
        <v>17</v>
      </c>
      <c r="D20" s="9"/>
      <c r="E20" s="9"/>
      <c r="F20" s="9"/>
      <c r="G20" s="9"/>
      <c r="H20" s="9"/>
    </row>
    <row r="21" customFormat="false" ht="31.5" hidden="false" customHeight="true" outlineLevel="0" collapsed="false">
      <c r="A21" s="8" t="s">
        <v>18</v>
      </c>
      <c r="B21" s="8"/>
      <c r="C21" s="9" t="s">
        <v>19</v>
      </c>
      <c r="D21" s="9"/>
      <c r="E21" s="9"/>
      <c r="F21" s="9"/>
      <c r="G21" s="9"/>
      <c r="H21" s="9"/>
    </row>
    <row r="22" customFormat="false" ht="31.5" hidden="false" customHeight="true" outlineLevel="0" collapsed="false">
      <c r="A22" s="8" t="s">
        <v>20</v>
      </c>
      <c r="B22" s="8"/>
      <c r="C22" s="9" t="s">
        <v>21</v>
      </c>
      <c r="D22" s="9"/>
      <c r="E22" s="9"/>
      <c r="F22" s="9"/>
      <c r="G22" s="9"/>
      <c r="H22" s="9"/>
    </row>
  </sheetData>
  <mergeCells count="28">
    <mergeCell ref="A1:H1"/>
    <mergeCell ref="A2:H2"/>
    <mergeCell ref="A4:H4"/>
    <mergeCell ref="B6:C8"/>
    <mergeCell ref="D6:E8"/>
    <mergeCell ref="F6:G8"/>
    <mergeCell ref="B9:C9"/>
    <mergeCell ref="D9:E9"/>
    <mergeCell ref="F9:G9"/>
    <mergeCell ref="B10:C12"/>
    <mergeCell ref="D10:E12"/>
    <mergeCell ref="F10:G12"/>
    <mergeCell ref="B13:C13"/>
    <mergeCell ref="D13:E13"/>
    <mergeCell ref="F13:G13"/>
    <mergeCell ref="A15:H15"/>
    <mergeCell ref="A17:B17"/>
    <mergeCell ref="C17:H17"/>
    <mergeCell ref="A18:B18"/>
    <mergeCell ref="C18:H18"/>
    <mergeCell ref="A19:B19"/>
    <mergeCell ref="C19:H19"/>
    <mergeCell ref="A20:B20"/>
    <mergeCell ref="C20:H20"/>
    <mergeCell ref="A21:B21"/>
    <mergeCell ref="C21:H21"/>
    <mergeCell ref="A22:B22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W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7" min="6" style="1" width="24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26"/>
    <col collapsed="false" customWidth="true" hidden="false" outlineLevel="0" max="12" min="11" style="1" width="13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3"/>
    <col collapsed="false" customWidth="true" hidden="false" outlineLevel="0" max="17" min="17" style="1" width="11"/>
    <col collapsed="false" customWidth="true" hidden="false" outlineLevel="0" max="18" min="18" style="1" width="18"/>
    <col collapsed="false" customWidth="true" hidden="false" outlineLevel="0" max="19" min="19" style="1" width="11"/>
    <col collapsed="false" customWidth="true" hidden="false" outlineLevel="0" max="20" min="20" style="1" width="20"/>
    <col collapsed="false" customWidth="true" hidden="false" outlineLevel="0" max="21" min="21" style="1" width="14"/>
    <col collapsed="false" customWidth="true" hidden="false" outlineLevel="0" max="22" min="22" style="1" width="22"/>
    <col collapsed="false" customWidth="true" hidden="false" outlineLevel="0" max="23" min="23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8" hidden="false" customHeight="true" outlineLevel="0" collapsed="false">
      <c r="A2" s="3" t="s">
        <v>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19.5" hidden="false" customHeight="true" outlineLevel="0" collapsed="false">
      <c r="A4" s="8" t="s">
        <v>24</v>
      </c>
      <c r="B4" s="8"/>
      <c r="C4" s="8"/>
      <c r="D4" s="10"/>
      <c r="E4" s="10"/>
      <c r="F4" s="10"/>
      <c r="G4" s="10"/>
      <c r="H4" s="10"/>
      <c r="I4" s="11" t="str">
        <f aca="false">IF($D$4="","Escriba un término para resaltar coincidencias en la tabla.","Coincidencias encontradas: "&amp;(COUNTIF($B$7:$B$21,"*"&amp;$D$4&amp;"*")+COUNTIF($C$7:$C$21,"*"&amp;$D$4&amp;"*")))</f>
        <v>Escriba un término para resaltar coincidencias en la tabla.</v>
      </c>
      <c r="J4" s="11"/>
      <c r="K4" s="11"/>
      <c r="L4" s="11"/>
      <c r="M4" s="11"/>
    </row>
    <row r="6" customFormat="false" ht="42" hidden="false" customHeight="true" outlineLevel="0" collapsed="false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2" t="s">
        <v>41</v>
      </c>
      <c r="R6" s="12" t="s">
        <v>42</v>
      </c>
      <c r="S6" s="12" t="s">
        <v>43</v>
      </c>
      <c r="T6" s="12" t="s">
        <v>44</v>
      </c>
      <c r="U6" s="12" t="s">
        <v>45</v>
      </c>
      <c r="V6" s="12" t="s">
        <v>46</v>
      </c>
      <c r="W6" s="12" t="s">
        <v>47</v>
      </c>
    </row>
    <row r="7" customFormat="false" ht="57" hidden="false" customHeight="true" outlineLevel="0" collapsed="false">
      <c r="A7" s="13" t="n">
        <v>1</v>
      </c>
      <c r="B7" s="13" t="s">
        <v>48</v>
      </c>
      <c r="C7" s="14" t="s">
        <v>49</v>
      </c>
      <c r="D7" s="13" t="s">
        <v>50</v>
      </c>
      <c r="E7" s="14" t="s">
        <v>51</v>
      </c>
      <c r="F7" s="14" t="s">
        <v>52</v>
      </c>
      <c r="G7" s="14" t="s">
        <v>53</v>
      </c>
      <c r="H7" s="13" t="s">
        <v>54</v>
      </c>
      <c r="I7" s="15" t="n">
        <v>1676</v>
      </c>
      <c r="J7" s="14" t="str">
        <f aca="false">TRIM(SUBSTITUTE(SUBSTITUTE(SUBSTITUTE(SUBSTITUTE(SUBSTITUTE(SUBSTITUTE(UPPER(INDEX(tblPeriodos[Institución en el Período],MATCH(B7&amp;"-1",tblPeriodos[Clave (uso interno)],0))),"Á","A"),"É","E"),"Í","I"),"Ó","O"),"Ú","U"),"Ü","U"))</f>
        <v>BANCO CENTRAL DEL ECUADOR</v>
      </c>
      <c r="K7" s="16" t="n">
        <f aca="false">_xlfn.MINIFS(tblPeriodos[Fecha Inicio del Período],tblPeriodos[Cédula],B7)</f>
        <v>44635</v>
      </c>
      <c r="L7" s="16" t="n">
        <f aca="false">_xlfn.MAXIFS(tblPeriodos[Fecha Fin del Período],tblPeriodos[Cédula],B7)</f>
        <v>46460</v>
      </c>
      <c r="M7" s="13" t="n">
        <f aca="false">COUNTIFS(tblPeriodos[Cédula],B7)</f>
        <v>4</v>
      </c>
      <c r="N7" s="17" t="n">
        <f aca="false">SUMIFS(tblPeriodos[Días del Período],tblPeriodos[Cédula],B7)</f>
        <v>1827</v>
      </c>
      <c r="O7" s="18" t="n">
        <f aca="false">ROUND(N7/365.25,1)</f>
        <v>5</v>
      </c>
      <c r="P7" s="16" t="n">
        <f aca="false">EDATE(K7,72)</f>
        <v>46827</v>
      </c>
      <c r="Q7" s="17" t="n">
        <f aca="true">P7-TODAY()</f>
        <v>553</v>
      </c>
      <c r="R7" s="13" t="str">
        <f aca="false">IF(Q7&lt;=0,"🔴 SUPERO LIMITE LEGAL",IF(Q7&lt;=180,"🟠 PROXIMO AL LIMITE (6 ANOS)",IF(Q7&lt;=365,"🟡 VIGILAR (&lt; 1 ANO)","🟢 DENTRO DEL LIMITE")))</f>
        <v>🟢 DENTRO DEL LIMITE</v>
      </c>
      <c r="S7" s="17" t="n">
        <f aca="true">L7-TODAY()</f>
        <v>186</v>
      </c>
      <c r="T7" s="13" t="str">
        <f aca="false">IF(S7&lt;0,"🔴 COMISION VENCIDA",IF(S7&lt;=90,"🟠 VENCE PRONTO (&lt;=90 DIAS)",IF(S7&lt;=180,"🟡 PROXIMA A VENCER (&lt;=180 DIAS)","🟢 VIGENTE")))</f>
        <v>🟢 VIGENTE</v>
      </c>
      <c r="U7" s="13" t="str">
        <f aca="false">IF(ABS(N7-(L7-K7+1))&lt;=3,"CONTINUA","CON INTERRUPCIONES - REVISAR")</f>
        <v>CONTINUA</v>
      </c>
      <c r="V7" s="14" t="str">
        <f aca="false">TRIM(SUBSTITUTE(SUBSTITUTE(SUBSTITUTE(SUBSTITUTE(SUBSTITUTE(SUBSTITUTE(UPPER(IFERROR(INDEX('Registro de Comisión'!$L$5:$L$304,MATCH($B7&amp;"-ACT",'Registro de Comisión'!$N$5:$N$304,0)),"NEIRA TACURE ELIZABETH DEL CARMEN")),"Á","A"),"É","E"),"Í","I"),"Ó","O"),"Ú","U"),"Ü","U"))</f>
        <v>NEIRA TACURE ELIZABETH DEL CARMEN</v>
      </c>
      <c r="W7" s="14" t="s">
        <v>55</v>
      </c>
    </row>
    <row r="8" customFormat="false" ht="57" hidden="false" customHeight="true" outlineLevel="0" collapsed="false">
      <c r="A8" s="19" t="n">
        <v>2</v>
      </c>
      <c r="B8" s="19" t="s">
        <v>56</v>
      </c>
      <c r="C8" s="20" t="s">
        <v>57</v>
      </c>
      <c r="D8" s="19" t="s">
        <v>50</v>
      </c>
      <c r="E8" s="20" t="s">
        <v>58</v>
      </c>
      <c r="F8" s="20" t="s">
        <v>59</v>
      </c>
      <c r="G8" s="20" t="s">
        <v>60</v>
      </c>
      <c r="H8" s="19" t="s">
        <v>61</v>
      </c>
      <c r="I8" s="21" t="n">
        <v>817</v>
      </c>
      <c r="J8" s="20" t="str">
        <f aca="false">TRIM(SUBSTITUTE(SUBSTITUTE(SUBSTITUTE(SUBSTITUTE(SUBSTITUTE(SUBSTITUTE(UPPER(INDEX(tblPeriodos[Institución en el Período],MATCH(B8&amp;"-1",tblPeriodos[Clave (uso interno)],0))),"Á","A"),"É","E"),"Í","I"),"Ó","O"),"Ú","U"),"Ü","U"))</f>
        <v>BANCO CENTRAL DEL ECUADOR</v>
      </c>
      <c r="K8" s="22" t="n">
        <f aca="false">_xlfn.MINIFS(tblPeriodos[Fecha Inicio del Período],tblPeriodos[Cédula],B8)</f>
        <v>44697</v>
      </c>
      <c r="L8" s="22" t="n">
        <f aca="false">_xlfn.MAXIFS(tblPeriodos[Fecha Fin del Período],tblPeriodos[Cédula],B8)</f>
        <v>46522</v>
      </c>
      <c r="M8" s="19" t="n">
        <f aca="false">COUNTIFS(tblPeriodos[Cédula],B8)</f>
        <v>4</v>
      </c>
      <c r="N8" s="23" t="n">
        <f aca="false">SUMIFS(tblPeriodos[Días del Período],tblPeriodos[Cédula],B8)</f>
        <v>1827</v>
      </c>
      <c r="O8" s="24" t="n">
        <f aca="false">ROUND(N8/365.25,1)</f>
        <v>5</v>
      </c>
      <c r="P8" s="22" t="n">
        <f aca="false">EDATE(K8,72)</f>
        <v>46889</v>
      </c>
      <c r="Q8" s="23" t="n">
        <f aca="true">P8-TODAY()</f>
        <v>615</v>
      </c>
      <c r="R8" s="19" t="str">
        <f aca="false">IF(Q8&lt;=0,"🔴 SUPERO LIMITE LEGAL",IF(Q8&lt;=180,"🟠 PROXIMO AL LIMITE (6 ANOS)",IF(Q8&lt;=365,"🟡 VIGILAR (&lt; 1 ANO)","🟢 DENTRO DEL LIMITE")))</f>
        <v>🟢 DENTRO DEL LIMITE</v>
      </c>
      <c r="S8" s="23" t="n">
        <f aca="true">L8-TODAY()</f>
        <v>248</v>
      </c>
      <c r="T8" s="19" t="str">
        <f aca="false">IF(S8&lt;0,"🔴 COMISION VENCIDA",IF(S8&lt;=90,"🟠 VENCE PRONTO (&lt;=90 DIAS)",IF(S8&lt;=180,"🟡 PROXIMA A VENCER (&lt;=180 DIAS)","🟢 VIGENTE")))</f>
        <v>🟢 VIGENTE</v>
      </c>
      <c r="U8" s="19" t="str">
        <f aca="false">IF(ABS(N8-(L8-K8+1))&lt;=3,"CONTINUA","CON INTERRUPCIONES - REVISAR")</f>
        <v>CONTINUA</v>
      </c>
      <c r="V8" s="20" t="str">
        <f aca="false">TRIM(SUBSTITUTE(SUBSTITUTE(SUBSTITUTE(SUBSTITUTE(SUBSTITUTE(SUBSTITUTE(UPPER(IFERROR(INDEX('Registro de Comisión'!$L$5:$L$304,MATCH($B8&amp;"-ACT",'Registro de Comisión'!$N$5:$N$304,0)),"MUÑOZ MOLINA WALTER ALEXIS")),"Á","A"),"É","E"),"Í","I"),"Ó","O"),"Ú","U"),"Ü","U"))</f>
        <v>MUÑOZ MOLINA WALTER ALEXIS</v>
      </c>
      <c r="W8" s="20" t="s">
        <v>62</v>
      </c>
    </row>
    <row r="9" customFormat="false" ht="57" hidden="false" customHeight="true" outlineLevel="0" collapsed="false">
      <c r="A9" s="13" t="n">
        <v>3</v>
      </c>
      <c r="B9" s="13" t="s">
        <v>63</v>
      </c>
      <c r="C9" s="14" t="s">
        <v>64</v>
      </c>
      <c r="D9" s="13" t="s">
        <v>65</v>
      </c>
      <c r="E9" s="14" t="s">
        <v>66</v>
      </c>
      <c r="F9" s="14" t="s">
        <v>67</v>
      </c>
      <c r="G9" s="14" t="s">
        <v>68</v>
      </c>
      <c r="H9" s="13" t="s">
        <v>61</v>
      </c>
      <c r="I9" s="15" t="n">
        <v>817</v>
      </c>
      <c r="J9" s="14" t="str">
        <f aca="false">TRIM(SUBSTITUTE(SUBSTITUTE(SUBSTITUTE(SUBSTITUTE(SUBSTITUTE(SUBSTITUTE(UPPER(INDEX(tblPeriodos[Institución en el Período],MATCH(B9&amp;"-1",tblPeriodos[Clave (uso interno)],0))),"Á","A"),"É","E"),"Í","I"),"Ó","O"),"Ú","U"),"Ü","U"))</f>
        <v>GOBIERNO AUTONOMO DESENTRALZIADO, MUNICIPAL DEL CANTON SEVILLA DE ORO</v>
      </c>
      <c r="K9" s="16" t="n">
        <f aca="false">_xlfn.MINIFS(tblPeriodos[Fecha Inicio del Período],tblPeriodos[Cédula],B9)</f>
        <v>45075</v>
      </c>
      <c r="L9" s="16" t="n">
        <f aca="false">_xlfn.MAXIFS(tblPeriodos[Fecha Fin del Período],tblPeriodos[Cédula],B9)</f>
        <v>46535</v>
      </c>
      <c r="M9" s="13" t="n">
        <f aca="false">COUNTIFS(tblPeriodos[Cédula],B9)</f>
        <v>1</v>
      </c>
      <c r="N9" s="17" t="n">
        <f aca="false">SUMIFS(tblPeriodos[Días del Período],tblPeriodos[Cédula],B9)</f>
        <v>1461</v>
      </c>
      <c r="O9" s="18" t="n">
        <f aca="false">ROUND(N9/365.25,1)</f>
        <v>4</v>
      </c>
      <c r="P9" s="16" t="n">
        <f aca="false">EDATE(K9,72)</f>
        <v>47267</v>
      </c>
      <c r="Q9" s="17" t="n">
        <f aca="true">P9-TODAY()</f>
        <v>993</v>
      </c>
      <c r="R9" s="13" t="str">
        <f aca="false">IF(Q9&lt;=0,"🔴 SUPERO LIMITE LEGAL",IF(Q9&lt;=180,"🟠 PROXIMO AL LIMITE (6 ANOS)",IF(Q9&lt;=365,"🟡 VIGILAR (&lt; 1 ANO)","🟢 DENTRO DEL LIMITE")))</f>
        <v>🟢 DENTRO DEL LIMITE</v>
      </c>
      <c r="S9" s="17" t="n">
        <f aca="true">L9-TODAY()</f>
        <v>261</v>
      </c>
      <c r="T9" s="13" t="str">
        <f aca="false">IF(S9&lt;0,"🔴 COMISION VENCIDA",IF(S9&lt;=90,"🟠 VENCE PRONTO (&lt;=90 DIAS)",IF(S9&lt;=180,"🟡 PROXIMA A VENCER (&lt;=180 DIAS)","🟢 VIGENTE")))</f>
        <v>🟢 VIGENTE</v>
      </c>
      <c r="U9" s="13" t="str">
        <f aca="false">IF(ABS(N9-(L9-K9+1))&lt;=3,"CONTINUA","CON INTERRUPCIONES - REVISAR")</f>
        <v>CONTINUA</v>
      </c>
      <c r="V9" s="14" t="str">
        <f aca="false">TRIM(SUBSTITUTE(SUBSTITUTE(SUBSTITUTE(SUBSTITUTE(SUBSTITUTE(SUBSTITUTE(UPPER(IFERROR(INDEX('Registro de Comisión'!$L$5:$L$304,MATCH($B9&amp;"-ACT",'Registro de Comisión'!$N$5:$N$304,0)),"BEDOYA PADILLA KEVIN ANDRES")),"Á","A"),"É","E"),"Í","I"),"Ó","O"),"Ú","U"),"Ü","U"))</f>
        <v>BEDOYA PADILLA KEVIN ANDRES</v>
      </c>
      <c r="W9" s="14" t="s">
        <v>69</v>
      </c>
    </row>
    <row r="10" customFormat="false" ht="45.75" hidden="false" customHeight="true" outlineLevel="0" collapsed="false">
      <c r="A10" s="19" t="n">
        <v>4</v>
      </c>
      <c r="B10" s="19" t="s">
        <v>70</v>
      </c>
      <c r="C10" s="20" t="s">
        <v>71</v>
      </c>
      <c r="D10" s="19" t="s">
        <v>50</v>
      </c>
      <c r="E10" s="20" t="s">
        <v>72</v>
      </c>
      <c r="F10" s="20" t="s">
        <v>73</v>
      </c>
      <c r="G10" s="20" t="s">
        <v>74</v>
      </c>
      <c r="H10" s="19" t="s">
        <v>75</v>
      </c>
      <c r="I10" s="21" t="n">
        <v>1212</v>
      </c>
      <c r="J10" s="20" t="str">
        <f aca="false">TRIM(SUBSTITUTE(SUBSTITUTE(SUBSTITUTE(SUBSTITUTE(SUBSTITUTE(SUBSTITUTE(UPPER(INDEX(tblPeriodos[Institución en el Período],MATCH(B10&amp;"-1",tblPeriodos[Clave (uso interno)],0))),"Á","A"),"É","E"),"Í","I"),"Ó","O"),"Ú","U"),"Ü","U"))</f>
        <v>GOBIERNO AUTONOMO DESCENTRALIZADO DEL DISTRITO METROPOLITANO DE QUITO</v>
      </c>
      <c r="K10" s="22" t="n">
        <f aca="false">_xlfn.MINIFS(tblPeriodos[Fecha Inicio del Período],tblPeriodos[Cédula],B10)</f>
        <v>45096</v>
      </c>
      <c r="L10" s="22" t="n">
        <f aca="false">_xlfn.MAXIFS(tblPeriodos[Fecha Fin del Período],tblPeriodos[Cédula],B10)</f>
        <v>46203</v>
      </c>
      <c r="M10" s="19" t="n">
        <f aca="false">COUNTIFS(tblPeriodos[Cédula],B10)</f>
        <v>2</v>
      </c>
      <c r="N10" s="23" t="n">
        <f aca="false">SUMIFS(tblPeriodos[Días del Período],tblPeriodos[Cédula],B10)</f>
        <v>1108</v>
      </c>
      <c r="O10" s="24" t="n">
        <f aca="false">ROUND(N10/365.25,1)</f>
        <v>3</v>
      </c>
      <c r="P10" s="22" t="n">
        <f aca="false">EDATE(K10,72)</f>
        <v>47288</v>
      </c>
      <c r="Q10" s="23" t="n">
        <f aca="true">P10-TODAY()</f>
        <v>1014</v>
      </c>
      <c r="R10" s="19" t="str">
        <f aca="false">IF(Q10&lt;=0,"🔴 SUPERO LIMITE LEGAL",IF(Q10&lt;=180,"🟠 PROXIMO AL LIMITE (6 ANOS)",IF(Q10&lt;=365,"🟡 VIGILAR (&lt; 1 ANO)","🟢 DENTRO DEL LIMITE")))</f>
        <v>🟢 DENTRO DEL LIMITE</v>
      </c>
      <c r="S10" s="23" t="n">
        <f aca="true">L10-TODAY()</f>
        <v>-71</v>
      </c>
      <c r="T10" s="19" t="str">
        <f aca="false">IF(S10&lt;0,"🔴 COMISION VENCIDA",IF(S10&lt;=90,"🟠 VENCE PRONTO (&lt;=90 DIAS)",IF(S10&lt;=180,"🟡 PROXIMA A VENCER (&lt;=180 DIAS)","🟢 VIGENTE")))</f>
        <v>🔴 COMISION VENCIDA</v>
      </c>
      <c r="U10" s="19" t="str">
        <f aca="false">IF(ABS(N10-(L10-K10+1))&lt;=3,"CONTINUA","CON INTERRUPCIONES - REVISAR")</f>
        <v>CONTINUA</v>
      </c>
      <c r="V10" s="20" t="str">
        <f aca="false">TRIM(SUBSTITUTE(SUBSTITUTE(SUBSTITUTE(SUBSTITUTE(SUBSTITUTE(SUBSTITUTE(UPPER(IFERROR(INDEX('Registro de Comisión'!$L$5:$L$304,MATCH($B10&amp;"-ACT",'Registro de Comisión'!$N$5:$N$304,0)),"MUÑOZ GARCIA DIANA PAMELA")),"Á","A"),"É","E"),"Í","I"),"Ó","O"),"Ú","U"),"Ü","U"))</f>
        <v>MUÑOZ GARCIA DIANA PAMELA</v>
      </c>
      <c r="W10" s="20" t="s">
        <v>73</v>
      </c>
    </row>
    <row r="11" customFormat="false" ht="23.25" hidden="false" customHeight="true" outlineLevel="0" collapsed="false">
      <c r="A11" s="13" t="n">
        <v>5</v>
      </c>
      <c r="B11" s="13" t="s">
        <v>76</v>
      </c>
      <c r="C11" s="14" t="s">
        <v>77</v>
      </c>
      <c r="D11" s="13" t="s">
        <v>78</v>
      </c>
      <c r="E11" s="14" t="s">
        <v>66</v>
      </c>
      <c r="F11" s="14" t="s">
        <v>67</v>
      </c>
      <c r="G11" s="14" t="s">
        <v>79</v>
      </c>
      <c r="H11" s="13" t="s">
        <v>54</v>
      </c>
      <c r="I11" s="15" t="n">
        <v>1676</v>
      </c>
      <c r="J11" s="14" t="str">
        <f aca="false">TRIM(SUBSTITUTE(SUBSTITUTE(SUBSTITUTE(SUBSTITUTE(SUBSTITUTE(SUBSTITUTE(UPPER(INDEX(tblPeriodos[Institución en el Período],MATCH(B11&amp;"-1",tblPeriodos[Clave (uso interno)],0))),"Á","A"),"É","E"),"Í","I"),"Ó","O"),"Ú","U"),"Ü","U"))</f>
        <v>CONTRALORIA GENERAL DEL ESTADO</v>
      </c>
      <c r="K11" s="16" t="n">
        <f aca="false">_xlfn.MINIFS(tblPeriodos[Fecha Inicio del Período],tblPeriodos[Cédula],B11)</f>
        <v>45323</v>
      </c>
      <c r="L11" s="16" t="n">
        <f aca="false">_xlfn.MAXIFS(tblPeriodos[Fecha Fin del Período],tblPeriodos[Cédula],B11)</f>
        <v>46418</v>
      </c>
      <c r="M11" s="13" t="n">
        <f aca="false">COUNTIFS(tblPeriodos[Cédula],B11)</f>
        <v>2</v>
      </c>
      <c r="N11" s="17" t="n">
        <f aca="false">SUMIFS(tblPeriodos[Días del Período],tblPeriodos[Cédula],B11)</f>
        <v>1096</v>
      </c>
      <c r="O11" s="18" t="n">
        <f aca="false">ROUND(N11/365.25,1)</f>
        <v>3</v>
      </c>
      <c r="P11" s="16" t="n">
        <f aca="false">EDATE(K11,72)</f>
        <v>47515</v>
      </c>
      <c r="Q11" s="17" t="n">
        <f aca="true">P11-TODAY()</f>
        <v>1241</v>
      </c>
      <c r="R11" s="13" t="str">
        <f aca="false">IF(Q11&lt;=0,"🔴 SUPERO LIMITE LEGAL",IF(Q11&lt;=180,"🟠 PROXIMO AL LIMITE (6 ANOS)",IF(Q11&lt;=365,"🟡 VIGILAR (&lt; 1 ANO)","🟢 DENTRO DEL LIMITE")))</f>
        <v>🟢 DENTRO DEL LIMITE</v>
      </c>
      <c r="S11" s="17" t="n">
        <f aca="true">L11-TODAY()</f>
        <v>144</v>
      </c>
      <c r="T11" s="13" t="str">
        <f aca="false">IF(S11&lt;0,"🔴 COMISION VENCIDA",IF(S11&lt;=90,"🟠 VENCE PRONTO (&lt;=90 DIAS)",IF(S11&lt;=180,"🟡 PROXIMA A VENCER (&lt;=180 DIAS)","🟢 VIGENTE")))</f>
        <v>🟡 PROXIMA A VENCER (&lt;=180 DIAS)</v>
      </c>
      <c r="U11" s="13" t="str">
        <f aca="false">IF(ABS(N11-(L11-K11+1))&lt;=3,"CONTINUA","CON INTERRUPCIONES - REVISAR")</f>
        <v>CONTINUA</v>
      </c>
      <c r="V11" s="14" t="str">
        <f aca="false">TRIM(SUBSTITUTE(SUBSTITUTE(SUBSTITUTE(SUBSTITUTE(SUBSTITUTE(SUBSTITUTE(UPPER(IFERROR(INDEX('Registro de Comisión'!$L$5:$L$304,MATCH($B11&amp;"-ACT",'Registro de Comisión'!$N$5:$N$304,0)),"ALBUJA QUINTANA RODRIGO ALEJANDRO")),"Á","A"),"É","E"),"Í","I"),"Ó","O"),"Ú","U"),"Ü","U"))</f>
        <v>ALBUJA QUINTANA RODRIGO ALEJANDRO</v>
      </c>
      <c r="W11" s="14" t="s">
        <v>80</v>
      </c>
    </row>
    <row r="12" customFormat="false" ht="68.25" hidden="false" customHeight="true" outlineLevel="0" collapsed="false">
      <c r="A12" s="19" t="n">
        <v>6</v>
      </c>
      <c r="B12" s="19" t="s">
        <v>81</v>
      </c>
      <c r="C12" s="20" t="s">
        <v>82</v>
      </c>
      <c r="D12" s="19" t="s">
        <v>50</v>
      </c>
      <c r="E12" s="20" t="s">
        <v>83</v>
      </c>
      <c r="F12" s="20" t="s">
        <v>84</v>
      </c>
      <c r="G12" s="20" t="s">
        <v>85</v>
      </c>
      <c r="H12" s="19" t="s">
        <v>54</v>
      </c>
      <c r="I12" s="21" t="n">
        <v>1676</v>
      </c>
      <c r="J12" s="20" t="str">
        <f aca="false">TRIM(SUBSTITUTE(SUBSTITUTE(SUBSTITUTE(SUBSTITUTE(SUBSTITUTE(SUBSTITUTE(UPPER(INDEX(tblPeriodos[Institución en el Período],MATCH(B12&amp;"-1",tblPeriodos[Clave (uso interno)],0))),"Á","A"),"É","E"),"Í","I"),"Ó","O"),"Ú","U"),"Ü","U"))</f>
        <v>SECRETARIA TECNICA DEL COMITE DE COORDINACION DE LA FUNCION DE TRANSPARENCIA Y CONTROL SOCIAL</v>
      </c>
      <c r="K12" s="22" t="n">
        <f aca="false">_xlfn.MINIFS(tblPeriodos[Fecha Inicio del Período],tblPeriodos[Cédula],B12)</f>
        <v>45573</v>
      </c>
      <c r="L12" s="22" t="n">
        <f aca="false">_xlfn.MAXIFS(tblPeriodos[Fecha Fin del Período],tblPeriodos[Cédula],B12)</f>
        <v>46302</v>
      </c>
      <c r="M12" s="19" t="n">
        <f aca="false">COUNTIFS(tblPeriodos[Cédula],B12)</f>
        <v>1</v>
      </c>
      <c r="N12" s="23" t="n">
        <f aca="false">SUMIFS(tblPeriodos[Días del Período],tblPeriodos[Cédula],B12)</f>
        <v>730</v>
      </c>
      <c r="O12" s="24" t="n">
        <f aca="false">ROUND(N12/365.25,1)</f>
        <v>2</v>
      </c>
      <c r="P12" s="22" t="n">
        <f aca="false">EDATE(K12,72)</f>
        <v>47764</v>
      </c>
      <c r="Q12" s="23" t="n">
        <f aca="true">P12-TODAY()</f>
        <v>1490</v>
      </c>
      <c r="R12" s="19" t="str">
        <f aca="false">IF(Q12&lt;=0,"🔴 SUPERO LIMITE LEGAL",IF(Q12&lt;=180,"🟠 PROXIMO AL LIMITE (6 ANOS)",IF(Q12&lt;=365,"🟡 VIGILAR (&lt; 1 ANO)","🟢 DENTRO DEL LIMITE")))</f>
        <v>🟢 DENTRO DEL LIMITE</v>
      </c>
      <c r="S12" s="23" t="n">
        <f aca="true">L12-TODAY()</f>
        <v>28</v>
      </c>
      <c r="T12" s="19" t="str">
        <f aca="false">IF(S12&lt;0,"🔴 COMISION VENCIDA",IF(S12&lt;=90,"🟠 VENCE PRONTO (&lt;=90 DIAS)",IF(S12&lt;=180,"🟡 PROXIMA A VENCER (&lt;=180 DIAS)","🟢 VIGENTE")))</f>
        <v>🟠 VENCE PRONTO (&lt;=90 DIAS)</v>
      </c>
      <c r="U12" s="19" t="str">
        <f aca="false">IF(ABS(N12-(L12-K12+1))&lt;=3,"CONTINUA","CON INTERRUPCIONES - REVISAR")</f>
        <v>CONTINUA</v>
      </c>
      <c r="V12" s="20" t="str">
        <f aca="false">TRIM(SUBSTITUTE(SUBSTITUTE(SUBSTITUTE(SUBSTITUTE(SUBSTITUTE(SUBSTITUTE(UPPER(IFERROR(INDEX('Registro de Comisión'!$L$5:$L$304,MATCH($B12&amp;"-ACT",'Registro de Comisión'!$N$5:$N$304,0)),"CAÑIZARES LARCO VICTORIA ELIZABETH")),"Á","A"),"É","E"),"Í","I"),"Ó","O"),"Ú","U"),"Ü","U"))</f>
        <v>CAÑIZARES LARCO VICTORIA ELIZABETH</v>
      </c>
      <c r="W12" s="20" t="s">
        <v>84</v>
      </c>
    </row>
    <row r="13" customFormat="false" ht="57" hidden="false" customHeight="true" outlineLevel="0" collapsed="false">
      <c r="A13" s="13" t="n">
        <v>7</v>
      </c>
      <c r="B13" s="13" t="s">
        <v>86</v>
      </c>
      <c r="C13" s="14" t="s">
        <v>87</v>
      </c>
      <c r="D13" s="13" t="s">
        <v>50</v>
      </c>
      <c r="E13" s="14" t="s">
        <v>88</v>
      </c>
      <c r="F13" s="14" t="s">
        <v>89</v>
      </c>
      <c r="G13" s="14" t="s">
        <v>90</v>
      </c>
      <c r="H13" s="13" t="s">
        <v>54</v>
      </c>
      <c r="I13" s="15" t="n">
        <v>1676</v>
      </c>
      <c r="J13" s="14" t="str">
        <f aca="false">TRIM(SUBSTITUTE(SUBSTITUTE(SUBSTITUTE(SUBSTITUTE(SUBSTITUTE(SUBSTITUTE(UPPER(INDEX(tblPeriodos[Institución en el Período],MATCH(B13&amp;"-1",tblPeriodos[Clave (uso interno)],0))),"Á","A"),"É","E"),"Í","I"),"Ó","O"),"Ú","U"),"Ü","U"))</f>
        <v>ADMINISTRACION GENERAL DEL GAD DEL DISTRITO METROPOLITANO DE QUITO</v>
      </c>
      <c r="K13" s="16" t="n">
        <f aca="false">_xlfn.MINIFS(tblPeriodos[Fecha Inicio del Período],tblPeriodos[Cédula],B13)</f>
        <v>45658</v>
      </c>
      <c r="L13" s="16" t="n">
        <f aca="false">_xlfn.MAXIFS(tblPeriodos[Fecha Fin del Período],tblPeriodos[Cédula],B13)</f>
        <v>46053</v>
      </c>
      <c r="M13" s="13" t="n">
        <f aca="false">COUNTIFS(tblPeriodos[Cédula],B13)</f>
        <v>2</v>
      </c>
      <c r="N13" s="17" t="n">
        <f aca="false">SUMIFS(tblPeriodos[Días del Período],tblPeriodos[Cédula],B13)</f>
        <v>396</v>
      </c>
      <c r="O13" s="18" t="n">
        <f aca="false">ROUND(N13/365.25,1)</f>
        <v>1.1</v>
      </c>
      <c r="P13" s="16" t="n">
        <f aca="false">EDATE(K13,72)</f>
        <v>47849</v>
      </c>
      <c r="Q13" s="17" t="n">
        <f aca="true">P13-TODAY()</f>
        <v>1575</v>
      </c>
      <c r="R13" s="13" t="str">
        <f aca="false">IF(Q13&lt;=0,"🔴 SUPERO LIMITE LEGAL",IF(Q13&lt;=180,"🟠 PROXIMO AL LIMITE (6 ANOS)",IF(Q13&lt;=365,"🟡 VIGILAR (&lt; 1 ANO)","🟢 DENTRO DEL LIMITE")))</f>
        <v>🟢 DENTRO DEL LIMITE</v>
      </c>
      <c r="S13" s="17" t="n">
        <f aca="true">L13-TODAY()</f>
        <v>-221</v>
      </c>
      <c r="T13" s="13" t="str">
        <f aca="false">IF(S13&lt;0,"🔴 COMISION VENCIDA",IF(S13&lt;=90,"🟠 VENCE PRONTO (&lt;=90 DIAS)",IF(S13&lt;=180,"🟡 PROXIMA A VENCER (&lt;=180 DIAS)","🟢 VIGENTE")))</f>
        <v>🔴 COMISION VENCIDA</v>
      </c>
      <c r="U13" s="13" t="str">
        <f aca="false">IF(ABS(N13-(L13-K13+1))&lt;=3,"CONTINUA","CON INTERRUPCIONES - REVISAR")</f>
        <v>CONTINUA</v>
      </c>
      <c r="V13" s="14" t="str">
        <f aca="false">TRIM(SUBSTITUTE(SUBSTITUTE(SUBSTITUTE(SUBSTITUTE(SUBSTITUTE(SUBSTITUTE(UPPER(IFERROR(INDEX('Registro de Comisión'!$L$5:$L$304,MATCH($B13&amp;"-ACT",'Registro de Comisión'!$N$5:$N$304,0)),"CAIZA PILLAJO SAIRA LORENA")),"Á","A"),"É","E"),"Í","I"),"Ó","O"),"Ú","U"),"Ü","U"))</f>
        <v>CAIZA PILLAJO SAIRA LORENA</v>
      </c>
      <c r="W13" s="14" t="s">
        <v>89</v>
      </c>
    </row>
    <row r="14" customFormat="false" ht="68.25" hidden="false" customHeight="true" outlineLevel="0" collapsed="false">
      <c r="A14" s="19" t="n">
        <v>8</v>
      </c>
      <c r="B14" s="19" t="s">
        <v>91</v>
      </c>
      <c r="C14" s="20" t="s">
        <v>92</v>
      </c>
      <c r="D14" s="19" t="s">
        <v>50</v>
      </c>
      <c r="E14" s="20" t="s">
        <v>83</v>
      </c>
      <c r="F14" s="20" t="s">
        <v>55</v>
      </c>
      <c r="G14" s="20" t="s">
        <v>93</v>
      </c>
      <c r="H14" s="19" t="s">
        <v>75</v>
      </c>
      <c r="I14" s="21" t="n">
        <v>1212</v>
      </c>
      <c r="J14" s="20" t="str">
        <f aca="false">TRIM(SUBSTITUTE(SUBSTITUTE(SUBSTITUTE(SUBSTITUTE(SUBSTITUTE(SUBSTITUTE(UPPER(INDEX(tblPeriodos[Institución en el Período],MATCH(B14&amp;"-1",tblPeriodos[Clave (uso interno)],0))),"Á","A"),"É","E"),"Í","I"),"Ó","O"),"Ú","U"),"Ü","U"))</f>
        <v>SUPERINTENDENCIA DE BANCOS</v>
      </c>
      <c r="K14" s="22" t="n">
        <f aca="false">_xlfn.MINIFS(tblPeriodos[Fecha Inicio del Período],tblPeriodos[Cédula],B14)</f>
        <v>45992</v>
      </c>
      <c r="L14" s="22" t="n">
        <f aca="false">_xlfn.MAXIFS(tblPeriodos[Fecha Fin del Período],tblPeriodos[Cédula],B14)</f>
        <v>46356</v>
      </c>
      <c r="M14" s="19" t="n">
        <f aca="false">COUNTIFS(tblPeriodos[Cédula],B14)</f>
        <v>1</v>
      </c>
      <c r="N14" s="23" t="n">
        <f aca="false">SUMIFS(tblPeriodos[Días del Período],tblPeriodos[Cédula],B14)</f>
        <v>365</v>
      </c>
      <c r="O14" s="24" t="n">
        <f aca="false">ROUND(N14/365.25,1)</f>
        <v>1</v>
      </c>
      <c r="P14" s="22" t="n">
        <f aca="false">EDATE(K14,72)</f>
        <v>48183</v>
      </c>
      <c r="Q14" s="23" t="n">
        <f aca="true">P14-TODAY()</f>
        <v>1909</v>
      </c>
      <c r="R14" s="19" t="str">
        <f aca="false">IF(Q14&lt;=0,"🔴 SUPERO LIMITE LEGAL",IF(Q14&lt;=180,"🟠 PROXIMO AL LIMITE (6 ANOS)",IF(Q14&lt;=365,"🟡 VIGILAR (&lt; 1 ANO)","🟢 DENTRO DEL LIMITE")))</f>
        <v>🟢 DENTRO DEL LIMITE</v>
      </c>
      <c r="S14" s="23" t="n">
        <f aca="true">L14-TODAY()</f>
        <v>82</v>
      </c>
      <c r="T14" s="19" t="str">
        <f aca="false">IF(S14&lt;0,"🔴 COMISION VENCIDA",IF(S14&lt;=90,"🟠 VENCE PRONTO (&lt;=90 DIAS)",IF(S14&lt;=180,"🟡 PROXIMA A VENCER (&lt;=180 DIAS)","🟢 VIGENTE")))</f>
        <v>🟠 VENCE PRONTO (&lt;=90 DIAS)</v>
      </c>
      <c r="U14" s="19" t="str">
        <f aca="false">IF(ABS(N14-(L14-K14+1))&lt;=3,"CONTINUA","CON INTERRUPCIONES - REVISAR")</f>
        <v>CONTINUA</v>
      </c>
      <c r="V14" s="20" t="str">
        <f aca="false">TRIM(SUBSTITUTE(SUBSTITUTE(SUBSTITUTE(SUBSTITUTE(SUBSTITUTE(SUBSTITUTE(UPPER(IFERROR(INDEX('Registro de Comisión'!$L$5:$L$304,MATCH($B14&amp;"-ACT",'Registro de Comisión'!$N$5:$N$304,0)),"CHAUCA ORTEGA MARIA FERNANDA")),"Á","A"),"É","E"),"Í","I"),"Ó","O"),"Ú","U"),"Ü","U"))</f>
        <v>CHAUCA ORTEGA MARIA FERNANDA</v>
      </c>
      <c r="W14" s="20" t="s">
        <v>55</v>
      </c>
    </row>
    <row r="15" customFormat="false" ht="45.75" hidden="false" customHeight="true" outlineLevel="0" collapsed="false">
      <c r="A15" s="13" t="n">
        <v>9</v>
      </c>
      <c r="B15" s="13" t="s">
        <v>94</v>
      </c>
      <c r="C15" s="14" t="s">
        <v>95</v>
      </c>
      <c r="D15" s="13" t="s">
        <v>50</v>
      </c>
      <c r="E15" s="14" t="s">
        <v>72</v>
      </c>
      <c r="F15" s="14" t="s">
        <v>96</v>
      </c>
      <c r="G15" s="14" t="s">
        <v>97</v>
      </c>
      <c r="H15" s="13" t="s">
        <v>54</v>
      </c>
      <c r="I15" s="15" t="n">
        <v>1676</v>
      </c>
      <c r="J15" s="14" t="str">
        <f aca="false">TRIM(SUBSTITUTE(SUBSTITUTE(SUBSTITUTE(SUBSTITUTE(SUBSTITUTE(SUBSTITUTE(UPPER(INDEX(tblPeriodos[Institución en el Período],MATCH(B15&amp;"-1",tblPeriodos[Clave (uso interno)],0))),"Á","A"),"É","E"),"Í","I"),"Ó","O"),"Ú","U"),"Ü","U"))</f>
        <v>MINISTERIO DEL TRABAJO</v>
      </c>
      <c r="K15" s="16" t="n">
        <f aca="false">_xlfn.MINIFS(tblPeriodos[Fecha Inicio del Período],tblPeriodos[Cédula],B15)</f>
        <v>45689</v>
      </c>
      <c r="L15" s="16" t="n">
        <f aca="false">_xlfn.MAXIFS(tblPeriodos[Fecha Fin del Período],tblPeriodos[Cédula],B15)</f>
        <v>46568</v>
      </c>
      <c r="M15" s="13" t="n">
        <f aca="false">COUNTIFS(tblPeriodos[Cédula],B15)</f>
        <v>3</v>
      </c>
      <c r="N15" s="17" t="n">
        <f aca="false">SUMIFS(tblPeriodos[Días del Período],tblPeriodos[Cédula],B15)</f>
        <v>786</v>
      </c>
      <c r="O15" s="18" t="n">
        <f aca="false">ROUND(N15/365.25,1)</f>
        <v>2.2</v>
      </c>
      <c r="P15" s="16" t="n">
        <f aca="false">EDATE(K15,72)</f>
        <v>47880</v>
      </c>
      <c r="Q15" s="17" t="n">
        <f aca="true">P15-TODAY()</f>
        <v>1606</v>
      </c>
      <c r="R15" s="13" t="str">
        <f aca="false">IF(Q15&lt;=0,"🔴 SUPERO LIMITE LEGAL",IF(Q15&lt;=180,"🟠 PROXIMO AL LIMITE (6 ANOS)",IF(Q15&lt;=365,"🟡 VIGILAR (&lt; 1 ANO)","🟢 DENTRO DEL LIMITE")))</f>
        <v>🟢 DENTRO DEL LIMITE</v>
      </c>
      <c r="S15" s="17" t="n">
        <f aca="true">L15-TODAY()</f>
        <v>294</v>
      </c>
      <c r="T15" s="13" t="str">
        <f aca="false">IF(S15&lt;0,"🔴 COMISION VENCIDA",IF(S15&lt;=90,"🟠 VENCE PRONTO (&lt;=90 DIAS)",IF(S15&lt;=180,"🟡 PROXIMA A VENCER (&lt;=180 DIAS)","🟢 VIGENTE")))</f>
        <v>🟢 VIGENTE</v>
      </c>
      <c r="U15" s="13" t="str">
        <f aca="false">IF(ABS(N15-(L15-K15+1))&lt;=3,"CONTINUA","CON INTERRUPCIONES - REVISAR")</f>
        <v>CON INTERRUPCIONES - REVISAR</v>
      </c>
      <c r="V15" s="14" t="str">
        <f aca="false">TRIM(SUBSTITUTE(SUBSTITUTE(SUBSTITUTE(SUBSTITUTE(SUBSTITUTE(SUBSTITUTE(UPPER(IFERROR(INDEX('Registro de Comisión'!$L$5:$L$304,MATCH($B15&amp;"-ACT",'Registro de Comisión'!$N$5:$N$304,0)),"ALVEAR VALDIVIESO BYRON RAMIRO")),"Á","A"),"É","E"),"Í","I"),"Ó","O"),"Ú","U"),"Ü","U"))</f>
        <v>ALVEAR VALDIVIESO BYRON RAMIRO</v>
      </c>
      <c r="W15" s="14" t="s">
        <v>96</v>
      </c>
    </row>
    <row r="16" customFormat="false" ht="45.75" hidden="false" customHeight="true" outlineLevel="0" collapsed="false">
      <c r="A16" s="19" t="n">
        <v>10</v>
      </c>
      <c r="B16" s="19" t="s">
        <v>98</v>
      </c>
      <c r="C16" s="20" t="s">
        <v>99</v>
      </c>
      <c r="D16" s="19" t="s">
        <v>50</v>
      </c>
      <c r="E16" s="20" t="s">
        <v>72</v>
      </c>
      <c r="F16" s="20" t="s">
        <v>96</v>
      </c>
      <c r="G16" s="20" t="s">
        <v>100</v>
      </c>
      <c r="H16" s="19" t="s">
        <v>75</v>
      </c>
      <c r="I16" s="21" t="n">
        <v>1212</v>
      </c>
      <c r="J16" s="20" t="str">
        <f aca="false">TRIM(SUBSTITUTE(SUBSTITUTE(SUBSTITUTE(SUBSTITUTE(SUBSTITUTE(SUBSTITUTE(UPPER(INDEX(tblPeriodos[Institución en el Período],MATCH(B16&amp;"-1",tblPeriodos[Clave (uso interno)],0))),"Á","A"),"É","E"),"Í","I"),"Ó","O"),"Ú","U"),"Ü","U"))</f>
        <v>VICEPRESIDENCIA DE LA REPUBLICA DEL ECUADOR</v>
      </c>
      <c r="K16" s="22" t="n">
        <f aca="false">_xlfn.MINIFS(tblPeriodos[Fecha Inicio del Período],tblPeriodos[Cédula],B16)</f>
        <v>45689</v>
      </c>
      <c r="L16" s="22" t="n">
        <f aca="false">_xlfn.MAXIFS(tblPeriodos[Fecha Fin del Período],tblPeriodos[Cédula],B16)</f>
        <v>46112</v>
      </c>
      <c r="M16" s="19" t="n">
        <f aca="false">COUNTIFS(tblPeriodos[Cédula],B16)</f>
        <v>2</v>
      </c>
      <c r="N16" s="23" t="n">
        <f aca="false">SUMIFS(tblPeriodos[Días del Período],tblPeriodos[Cédula],B16)</f>
        <v>421</v>
      </c>
      <c r="O16" s="24" t="n">
        <f aca="false">ROUND(N16/365.25,1)</f>
        <v>1.2</v>
      </c>
      <c r="P16" s="22" t="n">
        <f aca="false">EDATE(K16,72)</f>
        <v>47880</v>
      </c>
      <c r="Q16" s="23" t="n">
        <f aca="true">P16-TODAY()</f>
        <v>1606</v>
      </c>
      <c r="R16" s="19" t="str">
        <f aca="false">IF(Q16&lt;=0,"🔴 SUPERO LIMITE LEGAL",IF(Q16&lt;=180,"🟠 PROXIMO AL LIMITE (6 ANOS)",IF(Q16&lt;=365,"🟡 VIGILAR (&lt; 1 ANO)","🟢 DENTRO DEL LIMITE")))</f>
        <v>🟢 DENTRO DEL LIMITE</v>
      </c>
      <c r="S16" s="23" t="n">
        <f aca="true">L16-TODAY()</f>
        <v>-162</v>
      </c>
      <c r="T16" s="19" t="str">
        <f aca="false">IF(S16&lt;0,"🔴 COMISION VENCIDA",IF(S16&lt;=90,"🟠 VENCE PRONTO (&lt;=90 DIAS)",IF(S16&lt;=180,"🟡 PROXIMA A VENCER (&lt;=180 DIAS)","🟢 VIGENTE")))</f>
        <v>🔴 COMISION VENCIDA</v>
      </c>
      <c r="U16" s="19" t="str">
        <f aca="false">IF(ABS(N16-(L16-K16+1))&lt;=3,"CONTINUA","CON INTERRUPCIONES - REVISAR")</f>
        <v>CONTINUA</v>
      </c>
      <c r="V16" s="20" t="str">
        <f aca="false">TRIM(SUBSTITUTE(SUBSTITUTE(SUBSTITUTE(SUBSTITUTE(SUBSTITUTE(SUBSTITUTE(UPPER(IFERROR(INDEX('Registro de Comisión'!$L$5:$L$304,MATCH($B16&amp;"-ACT",'Registro de Comisión'!$N$5:$N$304,0)),"INACTIVO TEMPORALMENTE")),"Á","A"),"É","E"),"Í","I"),"Ó","O"),"Ú","U"),"Ü","U"))</f>
        <v>INACTIVO TEMPORALMENTE</v>
      </c>
      <c r="W16" s="20" t="s">
        <v>101</v>
      </c>
    </row>
    <row r="17" customFormat="false" ht="68.25" hidden="false" customHeight="true" outlineLevel="0" collapsed="false">
      <c r="A17" s="13" t="n">
        <v>11</v>
      </c>
      <c r="B17" s="13" t="s">
        <v>102</v>
      </c>
      <c r="C17" s="14" t="s">
        <v>103</v>
      </c>
      <c r="D17" s="13" t="s">
        <v>50</v>
      </c>
      <c r="E17" s="14" t="s">
        <v>104</v>
      </c>
      <c r="F17" s="14" t="s">
        <v>105</v>
      </c>
      <c r="G17" s="14" t="s">
        <v>106</v>
      </c>
      <c r="H17" s="13" t="s">
        <v>54</v>
      </c>
      <c r="I17" s="15" t="n">
        <v>1676</v>
      </c>
      <c r="J17" s="14" t="str">
        <f aca="false">TRIM(SUBSTITUTE(SUBSTITUTE(SUBSTITUTE(SUBSTITUTE(SUBSTITUTE(SUBSTITUTE(UPPER(INDEX(tblPeriodos[Institución en el Período],MATCH(B17&amp;"-1",tblPeriodos[Clave (uso interno)],0))),"Á","A"),"É","E"),"Í","I"),"Ó","O"),"Ú","U"),"Ü","U"))</f>
        <v>EMPRESA PUBLICA DE HIDROCARBUROS DEL ECUADOR EP PETROECUADOR</v>
      </c>
      <c r="K17" s="16" t="n">
        <f aca="false">_xlfn.MINIFS(tblPeriodos[Fecha Inicio del Período],tblPeriodos[Cédula],B17)</f>
        <v>45978</v>
      </c>
      <c r="L17" s="16" t="n">
        <f aca="false">_xlfn.MAXIFS(tblPeriodos[Fecha Fin del Período],tblPeriodos[Cédula],B17)</f>
        <v>46342</v>
      </c>
      <c r="M17" s="13" t="n">
        <f aca="false">COUNTIFS(tblPeriodos[Cédula],B17)</f>
        <v>1</v>
      </c>
      <c r="N17" s="17" t="n">
        <f aca="false">SUMIFS(tblPeriodos[Días del Período],tblPeriodos[Cédula],B17)</f>
        <v>365</v>
      </c>
      <c r="O17" s="18" t="n">
        <f aca="false">ROUND(N17/365.25,1)</f>
        <v>1</v>
      </c>
      <c r="P17" s="16" t="n">
        <f aca="false">EDATE(K17,72)</f>
        <v>48169</v>
      </c>
      <c r="Q17" s="17" t="n">
        <f aca="true">P17-TODAY()</f>
        <v>1895</v>
      </c>
      <c r="R17" s="13" t="str">
        <f aca="false">IF(Q17&lt;=0,"🔴 SUPERO LIMITE LEGAL",IF(Q17&lt;=180,"🟠 PROXIMO AL LIMITE (6 ANOS)",IF(Q17&lt;=365,"🟡 VIGILAR (&lt; 1 ANO)","🟢 DENTRO DEL LIMITE")))</f>
        <v>🟢 DENTRO DEL LIMITE</v>
      </c>
      <c r="S17" s="17" t="n">
        <f aca="true">L17-TODAY()</f>
        <v>68</v>
      </c>
      <c r="T17" s="13" t="str">
        <f aca="false">IF(S17&lt;0,"🔴 COMISION VENCIDA",IF(S17&lt;=90,"🟠 VENCE PRONTO (&lt;=90 DIAS)",IF(S17&lt;=180,"🟡 PROXIMA A VENCER (&lt;=180 DIAS)","🟢 VIGENTE")))</f>
        <v>🟠 VENCE PRONTO (&lt;=90 DIAS)</v>
      </c>
      <c r="U17" s="13" t="str">
        <f aca="false">IF(ABS(N17-(L17-K17+1))&lt;=3,"CONTINUA","CON INTERRUPCIONES - REVISAR")</f>
        <v>CONTINUA</v>
      </c>
      <c r="V17" s="14" t="str">
        <f aca="false">TRIM(SUBSTITUTE(SUBSTITUTE(SUBSTITUTE(SUBSTITUTE(SUBSTITUTE(SUBSTITUTE(UPPER(IFERROR(INDEX('Registro de Comisión'!$L$5:$L$304,MATCH($B17&amp;"-ACT",'Registro de Comisión'!$N$5:$N$304,0)),"SIN REGISTRAR")),"Á","A"),"É","E"),"Í","I"),"Ó","O"),"Ú","U"),"Ü","U"))</f>
        <v>SIN REGISTRAR</v>
      </c>
      <c r="W17" s="14"/>
    </row>
    <row r="18" customFormat="false" ht="34.5" hidden="false" customHeight="true" outlineLevel="0" collapsed="false">
      <c r="A18" s="19" t="n">
        <v>12</v>
      </c>
      <c r="B18" s="19" t="s">
        <v>107</v>
      </c>
      <c r="C18" s="20" t="s">
        <v>108</v>
      </c>
      <c r="D18" s="19" t="s">
        <v>65</v>
      </c>
      <c r="E18" s="20" t="s">
        <v>66</v>
      </c>
      <c r="F18" s="20" t="s">
        <v>109</v>
      </c>
      <c r="G18" s="20" t="s">
        <v>110</v>
      </c>
      <c r="H18" s="19" t="s">
        <v>54</v>
      </c>
      <c r="I18" s="21" t="n">
        <v>1676</v>
      </c>
      <c r="J18" s="20" t="str">
        <f aca="false">TRIM(SUBSTITUTE(SUBSTITUTE(SUBSTITUTE(SUBSTITUTE(SUBSTITUTE(SUBSTITUTE(UPPER(INDEX(tblPeriodos[Institución en el Período],MATCH(B18&amp;"-1",tblPeriodos[Clave (uso interno)],0))),"Á","A"),"É","E"),"Í","I"),"Ó","O"),"Ú","U"),"Ü","U"))</f>
        <v>GOBERNACION DE LA PROVINCIA DEL CAÑAR</v>
      </c>
      <c r="K18" s="22" t="n">
        <f aca="false">_xlfn.MINIFS(tblPeriodos[Fecha Inicio del Período],tblPeriodos[Cédula],B18)</f>
        <v>46013</v>
      </c>
      <c r="L18" s="22" t="n">
        <f aca="false">_xlfn.MAXIFS(tblPeriodos[Fecha Fin del Período],tblPeriodos[Cédula],B18)</f>
        <v>46377</v>
      </c>
      <c r="M18" s="19" t="n">
        <f aca="false">COUNTIFS(tblPeriodos[Cédula],B18)</f>
        <v>1</v>
      </c>
      <c r="N18" s="23" t="n">
        <f aca="false">SUMIFS(tblPeriodos[Días del Período],tblPeriodos[Cédula],B18)</f>
        <v>365</v>
      </c>
      <c r="O18" s="24" t="n">
        <f aca="false">ROUND(N18/365.25,1)</f>
        <v>1</v>
      </c>
      <c r="P18" s="22" t="n">
        <f aca="false">EDATE(K18,72)</f>
        <v>48204</v>
      </c>
      <c r="Q18" s="23" t="n">
        <f aca="true">P18-TODAY()</f>
        <v>1930</v>
      </c>
      <c r="R18" s="19" t="str">
        <f aca="false">IF(Q18&lt;=0,"🔴 SUPERO LIMITE LEGAL",IF(Q18&lt;=180,"🟠 PROXIMO AL LIMITE (6 ANOS)",IF(Q18&lt;=365,"🟡 VIGILAR (&lt; 1 ANO)","🟢 DENTRO DEL LIMITE")))</f>
        <v>🟢 DENTRO DEL LIMITE</v>
      </c>
      <c r="S18" s="23" t="n">
        <f aca="true">L18-TODAY()</f>
        <v>103</v>
      </c>
      <c r="T18" s="19" t="str">
        <f aca="false">IF(S18&lt;0,"🔴 COMISION VENCIDA",IF(S18&lt;=90,"🟠 VENCE PRONTO (&lt;=90 DIAS)",IF(S18&lt;=180,"🟡 PROXIMA A VENCER (&lt;=180 DIAS)","🟢 VIGENTE")))</f>
        <v>🟡 PROXIMA A VENCER (&lt;=180 DIAS)</v>
      </c>
      <c r="U18" s="19" t="str">
        <f aca="false">IF(ABS(N18-(L18-K18+1))&lt;=3,"CONTINUA","CON INTERRUPCIONES - REVISAR")</f>
        <v>CONTINUA</v>
      </c>
      <c r="V18" s="20" t="str">
        <f aca="false">TRIM(SUBSTITUTE(SUBSTITUTE(SUBSTITUTE(SUBSTITUTE(SUBSTITUTE(SUBSTITUTE(UPPER(IFERROR(INDEX('Registro de Comisión'!$L$5:$L$304,MATCH($B18&amp;"-ACT",'Registro de Comisión'!$N$5:$N$304,0)),"SIN REGISTRAR")),"Á","A"),"É","E"),"Í","I"),"Ó","O"),"Ú","U"),"Ü","U"))</f>
        <v>SIN REGISTRAR</v>
      </c>
      <c r="W18" s="20"/>
    </row>
    <row r="19" customFormat="false" ht="34.5" hidden="false" customHeight="true" outlineLevel="0" collapsed="false">
      <c r="A19" s="13" t="n">
        <v>13</v>
      </c>
      <c r="B19" s="13" t="s">
        <v>111</v>
      </c>
      <c r="C19" s="14" t="s">
        <v>112</v>
      </c>
      <c r="D19" s="13" t="s">
        <v>50</v>
      </c>
      <c r="E19" s="14" t="s">
        <v>113</v>
      </c>
      <c r="F19" s="14" t="s">
        <v>114</v>
      </c>
      <c r="G19" s="14" t="s">
        <v>115</v>
      </c>
      <c r="H19" s="13" t="s">
        <v>75</v>
      </c>
      <c r="I19" s="15" t="n">
        <v>1212</v>
      </c>
      <c r="J19" s="14" t="str">
        <f aca="false">TRIM(SUBSTITUTE(SUBSTITUTE(SUBSTITUTE(SUBSTITUTE(SUBSTITUTE(SUBSTITUTE(UPPER(INDEX(tblPeriodos[Institución en el Período],MATCH(B19&amp;"-1",tblPeriodos[Clave (uso interno)],0))),"Á","A"),"É","E"),"Í","I"),"Ó","O"),"Ú","U"),"Ü","U"))</f>
        <v>EMPRESA PUBLICA DE HIDROCARBUROS DEL ECUADOR EP PETROECUADOR</v>
      </c>
      <c r="K19" s="16" t="n">
        <f aca="false">_xlfn.MINIFS(tblPeriodos[Fecha Inicio del Período],tblPeriodos[Cédula],B19)</f>
        <v>46113</v>
      </c>
      <c r="L19" s="16" t="n">
        <f aca="false">_xlfn.MAXIFS(tblPeriodos[Fecha Fin del Período],tblPeriodos[Cédula],B19)</f>
        <v>46843</v>
      </c>
      <c r="M19" s="13" t="n">
        <f aca="false">COUNTIFS(tblPeriodos[Cédula],B19)</f>
        <v>1</v>
      </c>
      <c r="N19" s="17" t="n">
        <f aca="false">SUMIFS(tblPeriodos[Días del Período],tblPeriodos[Cédula],B19)</f>
        <v>731</v>
      </c>
      <c r="O19" s="18" t="n">
        <f aca="false">ROUND(N19/365.25,1)</f>
        <v>2</v>
      </c>
      <c r="P19" s="16" t="n">
        <f aca="false">EDATE(K19,72)</f>
        <v>48305</v>
      </c>
      <c r="Q19" s="17" t="n">
        <f aca="true">P19-TODAY()</f>
        <v>2031</v>
      </c>
      <c r="R19" s="13" t="str">
        <f aca="false">IF(Q19&lt;=0,"🔴 SUPERO LIMITE LEGAL",IF(Q19&lt;=180,"🟠 PROXIMO AL LIMITE (6 ANOS)",IF(Q19&lt;=365,"🟡 VIGILAR (&lt; 1 ANO)","🟢 DENTRO DEL LIMITE")))</f>
        <v>🟢 DENTRO DEL LIMITE</v>
      </c>
      <c r="S19" s="17" t="n">
        <f aca="true">L19-TODAY()</f>
        <v>569</v>
      </c>
      <c r="T19" s="13" t="str">
        <f aca="false">IF(S19&lt;0,"🔴 COMISION VENCIDA",IF(S19&lt;=90,"🟠 VENCE PRONTO (&lt;=90 DIAS)",IF(S19&lt;=180,"🟡 PROXIMA A VENCER (&lt;=180 DIAS)","🟢 VIGENTE")))</f>
        <v>🟢 VIGENTE</v>
      </c>
      <c r="U19" s="13" t="str">
        <f aca="false">IF(ABS(N19-(L19-K19+1))&lt;=3,"CONTINUA","CON INTERRUPCIONES - REVISAR")</f>
        <v>CONTINUA</v>
      </c>
      <c r="V19" s="14" t="str">
        <f aca="false">TRIM(SUBSTITUTE(SUBSTITUTE(SUBSTITUTE(SUBSTITUTE(SUBSTITUTE(SUBSTITUTE(UPPER(IFERROR(INDEX('Registro de Comisión'!$L$5:$L$304,MATCH($B19&amp;"-ACT",'Registro de Comisión'!$N$5:$N$304,0)),"SIN REGISTRAR")),"Á","A"),"É","E"),"Í","I"),"Ó","O"),"Ú","U"),"Ü","U"))</f>
        <v>SIN REGISTRAR</v>
      </c>
      <c r="W19" s="14"/>
    </row>
    <row r="20" customFormat="false" ht="45.75" hidden="false" customHeight="true" outlineLevel="0" collapsed="false">
      <c r="A20" s="19" t="n">
        <v>14</v>
      </c>
      <c r="B20" s="19" t="s">
        <v>116</v>
      </c>
      <c r="C20" s="20" t="s">
        <v>117</v>
      </c>
      <c r="D20" s="19" t="s">
        <v>50</v>
      </c>
      <c r="E20" s="20" t="s">
        <v>118</v>
      </c>
      <c r="F20" s="20" t="s">
        <v>119</v>
      </c>
      <c r="G20" s="20" t="s">
        <v>120</v>
      </c>
      <c r="H20" s="19" t="s">
        <v>75</v>
      </c>
      <c r="I20" s="21" t="n">
        <v>1212</v>
      </c>
      <c r="J20" s="20" t="str">
        <f aca="false">TRIM(SUBSTITUTE(SUBSTITUTE(SUBSTITUTE(SUBSTITUTE(SUBSTITUTE(SUBSTITUTE(UPPER(INDEX(tblPeriodos[Institución en el Período],MATCH(B20&amp;"-1",tblPeriodos[Clave (uso interno)],0))),"Á","A"),"É","E"),"Í","I"),"Ó","O"),"Ú","U"),"Ü","U"))</f>
        <v>BANCO DEL INSTITUTO ECUATORIANO DE SEGURIDAD SOCIAL BIESS</v>
      </c>
      <c r="K20" s="22" t="n">
        <f aca="false">_xlfn.MINIFS(tblPeriodos[Fecha Inicio del Período],tblPeriodos[Cédula],B20)</f>
        <v>46113</v>
      </c>
      <c r="L20" s="22" t="n">
        <f aca="false">_xlfn.MAXIFS(tblPeriodos[Fecha Fin del Período],tblPeriodos[Cédula],B20)</f>
        <v>46477</v>
      </c>
      <c r="M20" s="19" t="n">
        <f aca="false">COUNTIFS(tblPeriodos[Cédula],B20)</f>
        <v>1</v>
      </c>
      <c r="N20" s="23" t="n">
        <f aca="false">SUMIFS(tblPeriodos[Días del Período],tblPeriodos[Cédula],B20)</f>
        <v>365</v>
      </c>
      <c r="O20" s="24" t="n">
        <f aca="false">ROUND(N20/365.25,1)</f>
        <v>1</v>
      </c>
      <c r="P20" s="22" t="n">
        <f aca="false">EDATE(K20,72)</f>
        <v>48305</v>
      </c>
      <c r="Q20" s="23" t="n">
        <f aca="true">P20-TODAY()</f>
        <v>2031</v>
      </c>
      <c r="R20" s="19" t="str">
        <f aca="false">IF(Q20&lt;=0,"🔴 SUPERO LIMITE LEGAL",IF(Q20&lt;=180,"🟠 PROXIMO AL LIMITE (6 ANOS)",IF(Q20&lt;=365,"🟡 VIGILAR (&lt; 1 ANO)","🟢 DENTRO DEL LIMITE")))</f>
        <v>🟢 DENTRO DEL LIMITE</v>
      </c>
      <c r="S20" s="23" t="n">
        <f aca="true">L20-TODAY()</f>
        <v>203</v>
      </c>
      <c r="T20" s="19" t="str">
        <f aca="false">IF(S20&lt;0,"🔴 COMISION VENCIDA",IF(S20&lt;=90,"🟠 VENCE PRONTO (&lt;=90 DIAS)",IF(S20&lt;=180,"🟡 PROXIMA A VENCER (&lt;=180 DIAS)","🟢 VIGENTE")))</f>
        <v>🟢 VIGENTE</v>
      </c>
      <c r="U20" s="19" t="str">
        <f aca="false">IF(ABS(N20-(L20-K20+1))&lt;=3,"CONTINUA","CON INTERRUPCIONES - REVISAR")</f>
        <v>CONTINUA</v>
      </c>
      <c r="V20" s="20" t="str">
        <f aca="false">TRIM(SUBSTITUTE(SUBSTITUTE(SUBSTITUTE(SUBSTITUTE(SUBSTITUTE(SUBSTITUTE(UPPER(IFERROR(INDEX('Registro de Comisión'!$L$5:$L$304,MATCH($B20&amp;"-ACT",'Registro de Comisión'!$N$5:$N$304,0)),"SIN REGISTRAR")),"Á","A"),"É","E"),"Í","I"),"Ó","O"),"Ú","U"),"Ü","U"))</f>
        <v>SIN REGISTRAR</v>
      </c>
      <c r="W20" s="20"/>
    </row>
    <row r="21" customFormat="false" ht="45.75" hidden="false" customHeight="true" outlineLevel="0" collapsed="false">
      <c r="A21" s="13" t="n">
        <v>15</v>
      </c>
      <c r="B21" s="13" t="s">
        <v>121</v>
      </c>
      <c r="C21" s="14" t="s">
        <v>122</v>
      </c>
      <c r="D21" s="13" t="s">
        <v>50</v>
      </c>
      <c r="E21" s="14" t="s">
        <v>72</v>
      </c>
      <c r="F21" s="14" t="s">
        <v>96</v>
      </c>
      <c r="G21" s="14" t="s">
        <v>123</v>
      </c>
      <c r="H21" s="13" t="s">
        <v>61</v>
      </c>
      <c r="I21" s="15" t="n">
        <v>817</v>
      </c>
      <c r="J21" s="14" t="str">
        <f aca="false">TRIM(SUBSTITUTE(SUBSTITUTE(SUBSTITUTE(SUBSTITUTE(SUBSTITUTE(SUBSTITUTE(UPPER(INDEX(tblPeriodos[Institución en el Período],MATCH(B21&amp;"-1",tblPeriodos[Clave (uso interno)],0))),"Á","A"),"É","E"),"Í","I"),"Ó","O"),"Ú","U"),"Ü","U"))</f>
        <v>CONSORCIO DE GOBIERNOS AUTONOMOS PROVINCIALES DEL ECUADOR CONGOPE</v>
      </c>
      <c r="K21" s="16" t="n">
        <f aca="false">_xlfn.MINIFS(tblPeriodos[Fecha Inicio del Período],tblPeriodos[Cédula],B21)</f>
        <v>46132</v>
      </c>
      <c r="L21" s="16" t="n">
        <f aca="false">_xlfn.MAXIFS(tblPeriodos[Fecha Fin del Período],tblPeriodos[Cédula],B21)</f>
        <v>46265</v>
      </c>
      <c r="M21" s="13" t="n">
        <f aca="false">COUNTIFS(tblPeriodos[Cédula],B21)</f>
        <v>1</v>
      </c>
      <c r="N21" s="17" t="n">
        <f aca="false">SUMIFS(tblPeriodos[Días del Período],tblPeriodos[Cédula],B21)</f>
        <v>134</v>
      </c>
      <c r="O21" s="18" t="n">
        <f aca="false">ROUND(N21/365.25,1)</f>
        <v>0.4</v>
      </c>
      <c r="P21" s="16" t="n">
        <f aca="false">EDATE(K21,72)</f>
        <v>48324</v>
      </c>
      <c r="Q21" s="17" t="n">
        <f aca="true">P21-TODAY()</f>
        <v>2050</v>
      </c>
      <c r="R21" s="13" t="str">
        <f aca="false">IF(Q21&lt;=0,"🔴 SUPERO LIMITE LEGAL",IF(Q21&lt;=180,"🟠 PROXIMO AL LIMITE (6 ANOS)",IF(Q21&lt;=365,"🟡 VIGILAR (&lt; 1 ANO)","🟢 DENTRO DEL LIMITE")))</f>
        <v>🟢 DENTRO DEL LIMITE</v>
      </c>
      <c r="S21" s="17" t="n">
        <f aca="true">L21-TODAY()</f>
        <v>-9</v>
      </c>
      <c r="T21" s="13" t="str">
        <f aca="false">IF(S21&lt;0,"🔴 COMISION VENCIDA",IF(S21&lt;=90,"🟠 VENCE PRONTO (&lt;=90 DIAS)",IF(S21&lt;=180,"🟡 PROXIMA A VENCER (&lt;=180 DIAS)","🟢 VIGENTE")))</f>
        <v>🔴 COMISION VENCIDA</v>
      </c>
      <c r="U21" s="13" t="str">
        <f aca="false">IF(ABS(N21-(L21-K21+1))&lt;=3,"CONTINUA","CON INTERRUPCIONES - REVISAR")</f>
        <v>CONTINUA</v>
      </c>
      <c r="V21" s="14" t="str">
        <f aca="false">TRIM(SUBSTITUTE(SUBSTITUTE(SUBSTITUTE(SUBSTITUTE(SUBSTITUTE(SUBSTITUTE(UPPER(IFERROR(INDEX('Registro de Comisión'!$L$5:$L$304,MATCH($B21&amp;"-ACT",'Registro de Comisión'!$N$5:$N$304,0)),"SIN REGISTRAR")),"Á","A"),"É","E"),"Í","I"),"Ó","O"),"Ú","U"),"Ü","U"))</f>
        <v>SIN REGISTRAR</v>
      </c>
      <c r="W21" s="14"/>
    </row>
    <row r="22" customFormat="false" ht="15" hidden="false" customHeight="false" outlineLevel="0" collapsed="false">
      <c r="A22" s="13" t="str">
        <f aca="false">IF($B22="","",ROW()-6)</f>
        <v/>
      </c>
      <c r="B22" s="13" t="str">
        <f aca="false">IFERROR(INDEX('Registro de Comisión'!$A$5:$A$304,MATCH(ROW()-21,'Registro de Comisión'!$P$5:$P$304,0)),"")</f>
        <v/>
      </c>
      <c r="C22" s="14" t="str">
        <f aca="false">IF($B22="","",TRIM(SUBSTITUTE(SUBSTITUTE(SUBSTITUTE(SUBSTITUTE(SUBSTITUTE(SUBSTITUTE(UPPER(IFERROR(INDEX('Registro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2" s="13" t="str">
        <f aca="false">IF($B22="","",TRIM(SUBSTITUTE(SUBSTITUTE(SUBSTITUTE(SUBSTITUTE(SUBSTITUTE(SUBSTITUTE(UPPER(IFERROR(INDEX('Registro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2" s="14" t="str">
        <f aca="false">IF($B22="","",TRIM(SUBSTITUTE(SUBSTITUTE(SUBSTITUTE(SUBSTITUTE(SUBSTITUTE(SUBSTITUTE(UPPER(IFERROR(INDEX('Registro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2" s="14" t="str">
        <f aca="false">IF($B22="","",TRIM(SUBSTITUTE(SUBSTITUTE(SUBSTITUTE(SUBSTITUTE(SUBSTITUTE(SUBSTITUTE(UPPER(IFERROR(INDEX('Registro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2" s="14" t="str">
        <f aca="false">IF($B22="","",TRIM(SUBSTITUTE(SUBSTITUTE(SUBSTITUTE(SUBSTITUTE(SUBSTITUTE(SUBSTITUTE(UPPER(IFERROR(INDEX('Registro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2" s="13" t="str">
        <f aca="false">IF($B22="","",TRIM(SUBSTITUTE(SUBSTITUTE(SUBSTITUTE(SUBSTITUTE(SUBSTITUTE(SUBSTITUTE(UPPER(IFERROR(INDEX('Registro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2" s="25" t="str">
        <f aca="false">IF($B22="","",IFERROR(INDEX('Registro de Comisión'!$H$5:$H$304,MATCH(ROW()-21,'Registro de Comisión'!$P$5:$P$304,0)),""))</f>
        <v/>
      </c>
      <c r="J22" s="14" t="str">
        <f aca="false">IF($B22="","",TRIM(SUBSTITUTE(SUBSTITUTE(SUBSTITUTE(SUBSTITUTE(SUBSTITUTE(SUBSTITUTE(UPPER(IFERROR(INDEX(tblPeriodos[Institución en el Período],MATCH($B22&amp;"-1",tblPeriodos[Clave (uso interno)],0)),"SIN PERIODO REGISTRADO")),"Á","A"),"É","E"),"Í","I"),"Ó","O"),"Ú","U"),"Ü","U")))</f>
        <v/>
      </c>
      <c r="K22" s="16" t="str">
        <f aca="false">IF($B22="","",IFERROR(_xlfn.MINIFS(tblPeriodos[Fecha Inicio del Período],tblPeriodos[Cédula],$B22),""))</f>
        <v/>
      </c>
      <c r="L22" s="16" t="str">
        <f aca="false">IF($B22="","",IFERROR(_xlfn.MAXIFS(tblPeriodos[Fecha Fin del Período],tblPeriodos[Cédula],$B22),""))</f>
        <v/>
      </c>
      <c r="M22" s="13" t="str">
        <f aca="false">IF($B22="","",COUNTIFS(tblPeriodos[Cédula],$B22))</f>
        <v/>
      </c>
      <c r="N22" s="17" t="str">
        <f aca="false">IF($B22="","",SUMIFS(tblPeriodos[Días del Período],tblPeriodos[Cédula],$B22))</f>
        <v/>
      </c>
      <c r="O22" s="18" t="str">
        <f aca="false">IF($B22="","",ROUND(N22/365.25,1))</f>
        <v/>
      </c>
      <c r="P22" s="16" t="str">
        <f aca="false">IF($B22="","",EDATE(K22,72))</f>
        <v/>
      </c>
      <c r="Q22" s="17" t="str">
        <f aca="true">IF($B22="","",P22-TODAY())</f>
        <v/>
      </c>
      <c r="R22" s="13" t="str">
        <f aca="false">IF($B22="","",IF(Q22&lt;=0,"🔴 SUPERO LIMITE LEGAL",IF(Q22&lt;=180,"🟠 PROXIMO AL LIMITE (6 ANOS)",IF(Q22&lt;=365,"🟡 VIGILAR (&lt; 1 ANO)","🟢 DENTRO DEL LIMITE"))))</f>
        <v/>
      </c>
      <c r="S22" s="17" t="str">
        <f aca="true">IF($B22="","",L22-TODAY())</f>
        <v/>
      </c>
      <c r="T22" s="13" t="str">
        <f aca="false">IF($B22="","",IF(S22&lt;0,"🔴 COMISION VENCIDA",IF(S22&lt;=90,"🟠 VENCE PRONTO (&lt;=90 DIAS)",IF(S22&lt;=180,"🟡 PROXIMA A VENCER (&lt;=180 DIAS)","🟢 VIGENTE"))))</f>
        <v/>
      </c>
      <c r="U22" s="13" t="str">
        <f aca="false">IF($B22="","",IF(ABS(N22-(L22-K22+1))&lt;=3,"CONTINUA","CON INTERRUPCIONES - REVISAR"))</f>
        <v/>
      </c>
      <c r="V22" s="14" t="str">
        <f aca="false">IF($B22="","",TRIM(SUBSTITUTE(SUBSTITUTE(SUBSTITUTE(SUBSTITUTE(SUBSTITUTE(SUBSTITUTE(UPPER(IFERROR(INDEX('Registro de Comisión'!$L$5:$L$304,MATCH($B22&amp;"-ACT",'Registro de Comisión'!$N$5:$N$304,0)),"SIN REGISTRAR")),"Á","A"),"É","E"),"Í","I"),"Ó","O"),"Ú","U"),"Ü","U")))</f>
        <v/>
      </c>
      <c r="W22" s="14"/>
    </row>
    <row r="23" customFormat="false" ht="15" hidden="false" customHeight="false" outlineLevel="0" collapsed="false">
      <c r="A23" s="19" t="str">
        <f aca="false">IF($B23="","",ROW()-6)</f>
        <v/>
      </c>
      <c r="B23" s="19" t="str">
        <f aca="false">IFERROR(INDEX('Registro de Comisión'!$A$5:$A$304,MATCH(ROW()-21,'Registro de Comisión'!$P$5:$P$304,0)),"")</f>
        <v/>
      </c>
      <c r="C23" s="20" t="str">
        <f aca="false">IF($B23="","",TRIM(SUBSTITUTE(SUBSTITUTE(SUBSTITUTE(SUBSTITUTE(SUBSTITUTE(SUBSTITUTE(UPPER(IFERROR(INDEX('Registro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3" s="19" t="str">
        <f aca="false">IF($B23="","",TRIM(SUBSTITUTE(SUBSTITUTE(SUBSTITUTE(SUBSTITUTE(SUBSTITUTE(SUBSTITUTE(UPPER(IFERROR(INDEX('Registro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3" s="20" t="str">
        <f aca="false">IF($B23="","",TRIM(SUBSTITUTE(SUBSTITUTE(SUBSTITUTE(SUBSTITUTE(SUBSTITUTE(SUBSTITUTE(UPPER(IFERROR(INDEX('Registro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3" s="20" t="str">
        <f aca="false">IF($B23="","",TRIM(SUBSTITUTE(SUBSTITUTE(SUBSTITUTE(SUBSTITUTE(SUBSTITUTE(SUBSTITUTE(UPPER(IFERROR(INDEX('Registro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3" s="20" t="str">
        <f aca="false">IF($B23="","",TRIM(SUBSTITUTE(SUBSTITUTE(SUBSTITUTE(SUBSTITUTE(SUBSTITUTE(SUBSTITUTE(UPPER(IFERROR(INDEX('Registro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3" s="19" t="str">
        <f aca="false">IF($B23="","",TRIM(SUBSTITUTE(SUBSTITUTE(SUBSTITUTE(SUBSTITUTE(SUBSTITUTE(SUBSTITUTE(UPPER(IFERROR(INDEX('Registro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3" s="26" t="str">
        <f aca="false">IF($B23="","",IFERROR(INDEX('Registro de Comisión'!$H$5:$H$304,MATCH(ROW()-21,'Registro de Comisión'!$P$5:$P$304,0)),""))</f>
        <v/>
      </c>
      <c r="J23" s="20" t="str">
        <f aca="false">IF($B23="","",TRIM(SUBSTITUTE(SUBSTITUTE(SUBSTITUTE(SUBSTITUTE(SUBSTITUTE(SUBSTITUTE(UPPER(IFERROR(INDEX(tblPeriodos[Institución en el Período],MATCH($B23&amp;"-1",tblPeriodos[Clave (uso interno)],0)),"SIN PERIODO REGISTRADO")),"Á","A"),"É","E"),"Í","I"),"Ó","O"),"Ú","U"),"Ü","U")))</f>
        <v/>
      </c>
      <c r="K23" s="22" t="str">
        <f aca="false">IF($B23="","",IFERROR(_xlfn.MINIFS(tblPeriodos[Fecha Inicio del Período],tblPeriodos[Cédula],$B23),""))</f>
        <v/>
      </c>
      <c r="L23" s="22" t="str">
        <f aca="false">IF($B23="","",IFERROR(_xlfn.MAXIFS(tblPeriodos[Fecha Fin del Período],tblPeriodos[Cédula],$B23),""))</f>
        <v/>
      </c>
      <c r="M23" s="19" t="str">
        <f aca="false">IF($B23="","",COUNTIFS(tblPeriodos[Cédula],$B23))</f>
        <v/>
      </c>
      <c r="N23" s="23" t="str">
        <f aca="false">IF($B23="","",SUMIFS(tblPeriodos[Días del Período],tblPeriodos[Cédula],$B23))</f>
        <v/>
      </c>
      <c r="O23" s="24" t="str">
        <f aca="false">IF($B23="","",ROUND(N23/365.25,1))</f>
        <v/>
      </c>
      <c r="P23" s="22" t="str">
        <f aca="false">IF($B23="","",EDATE(K23,72))</f>
        <v/>
      </c>
      <c r="Q23" s="23" t="str">
        <f aca="true">IF($B23="","",P23-TODAY())</f>
        <v/>
      </c>
      <c r="R23" s="19" t="str">
        <f aca="false">IF($B23="","",IF(Q23&lt;=0,"🔴 SUPERO LIMITE LEGAL",IF(Q23&lt;=180,"🟠 PROXIMO AL LIMITE (6 ANOS)",IF(Q23&lt;=365,"🟡 VIGILAR (&lt; 1 ANO)","🟢 DENTRO DEL LIMITE"))))</f>
        <v/>
      </c>
      <c r="S23" s="23" t="str">
        <f aca="true">IF($B23="","",L23-TODAY())</f>
        <v/>
      </c>
      <c r="T23" s="19" t="str">
        <f aca="false">IF($B23="","",IF(S23&lt;0,"🔴 COMISION VENCIDA",IF(S23&lt;=90,"🟠 VENCE PRONTO (&lt;=90 DIAS)",IF(S23&lt;=180,"🟡 PROXIMA A VENCER (&lt;=180 DIAS)","🟢 VIGENTE"))))</f>
        <v/>
      </c>
      <c r="U23" s="19" t="str">
        <f aca="false">IF($B23="","",IF(ABS(N23-(L23-K23+1))&lt;=3,"CONTINUA","CON INTERRUPCIONES - REVISAR"))</f>
        <v/>
      </c>
      <c r="V23" s="20" t="str">
        <f aca="false">IF($B23="","",TRIM(SUBSTITUTE(SUBSTITUTE(SUBSTITUTE(SUBSTITUTE(SUBSTITUTE(SUBSTITUTE(UPPER(IFERROR(INDEX('Registro de Comisión'!$L$5:$L$304,MATCH($B23&amp;"-ACT",'Registro de Comisión'!$N$5:$N$304,0)),"SIN REGISTRAR")),"Á","A"),"É","E"),"Í","I"),"Ó","O"),"Ú","U"),"Ü","U")))</f>
        <v/>
      </c>
      <c r="W23" s="20"/>
    </row>
    <row r="24" customFormat="false" ht="15" hidden="false" customHeight="false" outlineLevel="0" collapsed="false">
      <c r="A24" s="13" t="str">
        <f aca="false">IF($B24="","",ROW()-6)</f>
        <v/>
      </c>
      <c r="B24" s="13" t="str">
        <f aca="false">IFERROR(INDEX('Registro de Comisión'!$A$5:$A$304,MATCH(ROW()-21,'Registro de Comisión'!$P$5:$P$304,0)),"")</f>
        <v/>
      </c>
      <c r="C24" s="14" t="str">
        <f aca="false">IF($B24="","",TRIM(SUBSTITUTE(SUBSTITUTE(SUBSTITUTE(SUBSTITUTE(SUBSTITUTE(SUBSTITUTE(UPPER(IFERROR(INDEX('Registro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4" s="13" t="str">
        <f aca="false">IF($B24="","",TRIM(SUBSTITUTE(SUBSTITUTE(SUBSTITUTE(SUBSTITUTE(SUBSTITUTE(SUBSTITUTE(UPPER(IFERROR(INDEX('Registro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4" s="14" t="str">
        <f aca="false">IF($B24="","",TRIM(SUBSTITUTE(SUBSTITUTE(SUBSTITUTE(SUBSTITUTE(SUBSTITUTE(SUBSTITUTE(UPPER(IFERROR(INDEX('Registro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4" s="14" t="str">
        <f aca="false">IF($B24="","",TRIM(SUBSTITUTE(SUBSTITUTE(SUBSTITUTE(SUBSTITUTE(SUBSTITUTE(SUBSTITUTE(UPPER(IFERROR(INDEX('Registro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4" s="14" t="str">
        <f aca="false">IF($B24="","",TRIM(SUBSTITUTE(SUBSTITUTE(SUBSTITUTE(SUBSTITUTE(SUBSTITUTE(SUBSTITUTE(UPPER(IFERROR(INDEX('Registro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4" s="13" t="str">
        <f aca="false">IF($B24="","",TRIM(SUBSTITUTE(SUBSTITUTE(SUBSTITUTE(SUBSTITUTE(SUBSTITUTE(SUBSTITUTE(UPPER(IFERROR(INDEX('Registro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4" s="25" t="str">
        <f aca="false">IF($B24="","",IFERROR(INDEX('Registro de Comisión'!$H$5:$H$304,MATCH(ROW()-21,'Registro de Comisión'!$P$5:$P$304,0)),""))</f>
        <v/>
      </c>
      <c r="J24" s="14" t="str">
        <f aca="false">IF($B24="","",TRIM(SUBSTITUTE(SUBSTITUTE(SUBSTITUTE(SUBSTITUTE(SUBSTITUTE(SUBSTITUTE(UPPER(IFERROR(INDEX(tblPeriodos[Institución en el Período],MATCH($B24&amp;"-1",tblPeriodos[Clave (uso interno)],0)),"SIN PERIODO REGISTRADO")),"Á","A"),"É","E"),"Í","I"),"Ó","O"),"Ú","U"),"Ü","U")))</f>
        <v/>
      </c>
      <c r="K24" s="16" t="str">
        <f aca="false">IF($B24="","",IFERROR(_xlfn.MINIFS(tblPeriodos[Fecha Inicio del Período],tblPeriodos[Cédula],$B24),""))</f>
        <v/>
      </c>
      <c r="L24" s="16" t="str">
        <f aca="false">IF($B24="","",IFERROR(_xlfn.MAXIFS(tblPeriodos[Fecha Fin del Período],tblPeriodos[Cédula],$B24),""))</f>
        <v/>
      </c>
      <c r="M24" s="13" t="str">
        <f aca="false">IF($B24="","",COUNTIFS(tblPeriodos[Cédula],$B24))</f>
        <v/>
      </c>
      <c r="N24" s="17" t="str">
        <f aca="false">IF($B24="","",SUMIFS(tblPeriodos[Días del Período],tblPeriodos[Cédula],$B24))</f>
        <v/>
      </c>
      <c r="O24" s="18" t="str">
        <f aca="false">IF($B24="","",ROUND(N24/365.25,1))</f>
        <v/>
      </c>
      <c r="P24" s="16" t="str">
        <f aca="false">IF($B24="","",EDATE(K24,72))</f>
        <v/>
      </c>
      <c r="Q24" s="17" t="str">
        <f aca="true">IF($B24="","",P24-TODAY())</f>
        <v/>
      </c>
      <c r="R24" s="13" t="str">
        <f aca="false">IF($B24="","",IF(Q24&lt;=0,"🔴 SUPERO LIMITE LEGAL",IF(Q24&lt;=180,"🟠 PROXIMO AL LIMITE (6 ANOS)",IF(Q24&lt;=365,"🟡 VIGILAR (&lt; 1 ANO)","🟢 DENTRO DEL LIMITE"))))</f>
        <v/>
      </c>
      <c r="S24" s="17" t="str">
        <f aca="true">IF($B24="","",L24-TODAY())</f>
        <v/>
      </c>
      <c r="T24" s="13" t="str">
        <f aca="false">IF($B24="","",IF(S24&lt;0,"🔴 COMISION VENCIDA",IF(S24&lt;=90,"🟠 VENCE PRONTO (&lt;=90 DIAS)",IF(S24&lt;=180,"🟡 PROXIMA A VENCER (&lt;=180 DIAS)","🟢 VIGENTE"))))</f>
        <v/>
      </c>
      <c r="U24" s="13" t="str">
        <f aca="false">IF($B24="","",IF(ABS(N24-(L24-K24+1))&lt;=3,"CONTINUA","CON INTERRUPCIONES - REVISAR"))</f>
        <v/>
      </c>
      <c r="V24" s="14" t="str">
        <f aca="false">IF($B24="","",TRIM(SUBSTITUTE(SUBSTITUTE(SUBSTITUTE(SUBSTITUTE(SUBSTITUTE(SUBSTITUTE(UPPER(IFERROR(INDEX('Registro de Comisión'!$L$5:$L$304,MATCH($B24&amp;"-ACT",'Registro de Comisión'!$N$5:$N$304,0)),"SIN REGISTRAR")),"Á","A"),"É","E"),"Í","I"),"Ó","O"),"Ú","U"),"Ü","U")))</f>
        <v/>
      </c>
      <c r="W24" s="14"/>
    </row>
    <row r="25" customFormat="false" ht="15" hidden="false" customHeight="false" outlineLevel="0" collapsed="false">
      <c r="A25" s="19" t="str">
        <f aca="false">IF($B25="","",ROW()-6)</f>
        <v/>
      </c>
      <c r="B25" s="19" t="str">
        <f aca="false">IFERROR(INDEX('Registro de Comisión'!$A$5:$A$304,MATCH(ROW()-21,'Registro de Comisión'!$P$5:$P$304,0)),"")</f>
        <v/>
      </c>
      <c r="C25" s="20" t="str">
        <f aca="false">IF($B25="","",TRIM(SUBSTITUTE(SUBSTITUTE(SUBSTITUTE(SUBSTITUTE(SUBSTITUTE(SUBSTITUTE(UPPER(IFERROR(INDEX('Registro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5" s="19" t="str">
        <f aca="false">IF($B25="","",TRIM(SUBSTITUTE(SUBSTITUTE(SUBSTITUTE(SUBSTITUTE(SUBSTITUTE(SUBSTITUTE(UPPER(IFERROR(INDEX('Registro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5" s="20" t="str">
        <f aca="false">IF($B25="","",TRIM(SUBSTITUTE(SUBSTITUTE(SUBSTITUTE(SUBSTITUTE(SUBSTITUTE(SUBSTITUTE(UPPER(IFERROR(INDEX('Registro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5" s="20" t="str">
        <f aca="false">IF($B25="","",TRIM(SUBSTITUTE(SUBSTITUTE(SUBSTITUTE(SUBSTITUTE(SUBSTITUTE(SUBSTITUTE(UPPER(IFERROR(INDEX('Registro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5" s="20" t="str">
        <f aca="false">IF($B25="","",TRIM(SUBSTITUTE(SUBSTITUTE(SUBSTITUTE(SUBSTITUTE(SUBSTITUTE(SUBSTITUTE(UPPER(IFERROR(INDEX('Registro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5" s="19" t="str">
        <f aca="false">IF($B25="","",TRIM(SUBSTITUTE(SUBSTITUTE(SUBSTITUTE(SUBSTITUTE(SUBSTITUTE(SUBSTITUTE(UPPER(IFERROR(INDEX('Registro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5" s="26" t="str">
        <f aca="false">IF($B25="","",IFERROR(INDEX('Registro de Comisión'!$H$5:$H$304,MATCH(ROW()-21,'Registro de Comisión'!$P$5:$P$304,0)),""))</f>
        <v/>
      </c>
      <c r="J25" s="20" t="str">
        <f aca="false">IF($B25="","",TRIM(SUBSTITUTE(SUBSTITUTE(SUBSTITUTE(SUBSTITUTE(SUBSTITUTE(SUBSTITUTE(UPPER(IFERROR(INDEX(tblPeriodos[Institución en el Período],MATCH($B25&amp;"-1",tblPeriodos[Clave (uso interno)],0)),"SIN PERIODO REGISTRADO")),"Á","A"),"É","E"),"Í","I"),"Ó","O"),"Ú","U"),"Ü","U")))</f>
        <v/>
      </c>
      <c r="K25" s="22" t="str">
        <f aca="false">IF($B25="","",IFERROR(_xlfn.MINIFS(tblPeriodos[Fecha Inicio del Período],tblPeriodos[Cédula],$B25),""))</f>
        <v/>
      </c>
      <c r="L25" s="22" t="str">
        <f aca="false">IF($B25="","",IFERROR(_xlfn.MAXIFS(tblPeriodos[Fecha Fin del Período],tblPeriodos[Cédula],$B25),""))</f>
        <v/>
      </c>
      <c r="M25" s="19" t="str">
        <f aca="false">IF($B25="","",COUNTIFS(tblPeriodos[Cédula],$B25))</f>
        <v/>
      </c>
      <c r="N25" s="23" t="str">
        <f aca="false">IF($B25="","",SUMIFS(tblPeriodos[Días del Período],tblPeriodos[Cédula],$B25))</f>
        <v/>
      </c>
      <c r="O25" s="24" t="str">
        <f aca="false">IF($B25="","",ROUND(N25/365.25,1))</f>
        <v/>
      </c>
      <c r="P25" s="22" t="str">
        <f aca="false">IF($B25="","",EDATE(K25,72))</f>
        <v/>
      </c>
      <c r="Q25" s="23" t="str">
        <f aca="true">IF($B25="","",P25-TODAY())</f>
        <v/>
      </c>
      <c r="R25" s="19" t="str">
        <f aca="false">IF($B25="","",IF(Q25&lt;=0,"🔴 SUPERO LIMITE LEGAL",IF(Q25&lt;=180,"🟠 PROXIMO AL LIMITE (6 ANOS)",IF(Q25&lt;=365,"🟡 VIGILAR (&lt; 1 ANO)","🟢 DENTRO DEL LIMITE"))))</f>
        <v/>
      </c>
      <c r="S25" s="23" t="str">
        <f aca="true">IF($B25="","",L25-TODAY())</f>
        <v/>
      </c>
      <c r="T25" s="19" t="str">
        <f aca="false">IF($B25="","",IF(S25&lt;0,"🔴 COMISION VENCIDA",IF(S25&lt;=90,"🟠 VENCE PRONTO (&lt;=90 DIAS)",IF(S25&lt;=180,"🟡 PROXIMA A VENCER (&lt;=180 DIAS)","🟢 VIGENTE"))))</f>
        <v/>
      </c>
      <c r="U25" s="19" t="str">
        <f aca="false">IF($B25="","",IF(ABS(N25-(L25-K25+1))&lt;=3,"CONTINUA","CON INTERRUPCIONES - REVISAR"))</f>
        <v/>
      </c>
      <c r="V25" s="20" t="str">
        <f aca="false">IF($B25="","",TRIM(SUBSTITUTE(SUBSTITUTE(SUBSTITUTE(SUBSTITUTE(SUBSTITUTE(SUBSTITUTE(UPPER(IFERROR(INDEX('Registro de Comisión'!$L$5:$L$304,MATCH($B25&amp;"-ACT",'Registro de Comisión'!$N$5:$N$304,0)),"SIN REGISTRAR")),"Á","A"),"É","E"),"Í","I"),"Ó","O"),"Ú","U"),"Ü","U")))</f>
        <v/>
      </c>
      <c r="W25" s="20"/>
    </row>
    <row r="26" customFormat="false" ht="15" hidden="false" customHeight="false" outlineLevel="0" collapsed="false">
      <c r="A26" s="13" t="str">
        <f aca="false">IF($B26="","",ROW()-6)</f>
        <v/>
      </c>
      <c r="B26" s="13" t="str">
        <f aca="false">IFERROR(INDEX('Registro de Comisión'!$A$5:$A$304,MATCH(ROW()-21,'Registro de Comisión'!$P$5:$P$304,0)),"")</f>
        <v/>
      </c>
      <c r="C26" s="14" t="str">
        <f aca="false">IF($B26="","",TRIM(SUBSTITUTE(SUBSTITUTE(SUBSTITUTE(SUBSTITUTE(SUBSTITUTE(SUBSTITUTE(UPPER(IFERROR(INDEX('Registro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6" s="13" t="str">
        <f aca="false">IF($B26="","",TRIM(SUBSTITUTE(SUBSTITUTE(SUBSTITUTE(SUBSTITUTE(SUBSTITUTE(SUBSTITUTE(UPPER(IFERROR(INDEX('Registro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6" s="14" t="str">
        <f aca="false">IF($B26="","",TRIM(SUBSTITUTE(SUBSTITUTE(SUBSTITUTE(SUBSTITUTE(SUBSTITUTE(SUBSTITUTE(UPPER(IFERROR(INDEX('Registro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6" s="14" t="str">
        <f aca="false">IF($B26="","",TRIM(SUBSTITUTE(SUBSTITUTE(SUBSTITUTE(SUBSTITUTE(SUBSTITUTE(SUBSTITUTE(UPPER(IFERROR(INDEX('Registro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6" s="14" t="str">
        <f aca="false">IF($B26="","",TRIM(SUBSTITUTE(SUBSTITUTE(SUBSTITUTE(SUBSTITUTE(SUBSTITUTE(SUBSTITUTE(UPPER(IFERROR(INDEX('Registro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6" s="13" t="str">
        <f aca="false">IF($B26="","",TRIM(SUBSTITUTE(SUBSTITUTE(SUBSTITUTE(SUBSTITUTE(SUBSTITUTE(SUBSTITUTE(UPPER(IFERROR(INDEX('Registro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6" s="25" t="str">
        <f aca="false">IF($B26="","",IFERROR(INDEX('Registro de Comisión'!$H$5:$H$304,MATCH(ROW()-21,'Registro de Comisión'!$P$5:$P$304,0)),""))</f>
        <v/>
      </c>
      <c r="J26" s="14" t="str">
        <f aca="false">IF($B26="","",TRIM(SUBSTITUTE(SUBSTITUTE(SUBSTITUTE(SUBSTITUTE(SUBSTITUTE(SUBSTITUTE(UPPER(IFERROR(INDEX(tblPeriodos[Institución en el Período],MATCH($B26&amp;"-1",tblPeriodos[Clave (uso interno)],0)),"SIN PERIODO REGISTRADO")),"Á","A"),"É","E"),"Í","I"),"Ó","O"),"Ú","U"),"Ü","U")))</f>
        <v/>
      </c>
      <c r="K26" s="16" t="str">
        <f aca="false">IF($B26="","",IFERROR(_xlfn.MINIFS(tblPeriodos[Fecha Inicio del Período],tblPeriodos[Cédula],$B26),""))</f>
        <v/>
      </c>
      <c r="L26" s="16" t="str">
        <f aca="false">IF($B26="","",IFERROR(_xlfn.MAXIFS(tblPeriodos[Fecha Fin del Período],tblPeriodos[Cédula],$B26),""))</f>
        <v/>
      </c>
      <c r="M26" s="13" t="str">
        <f aca="false">IF($B26="","",COUNTIFS(tblPeriodos[Cédula],$B26))</f>
        <v/>
      </c>
      <c r="N26" s="17" t="str">
        <f aca="false">IF($B26="","",SUMIFS(tblPeriodos[Días del Período],tblPeriodos[Cédula],$B26))</f>
        <v/>
      </c>
      <c r="O26" s="18" t="str">
        <f aca="false">IF($B26="","",ROUND(N26/365.25,1))</f>
        <v/>
      </c>
      <c r="P26" s="16" t="str">
        <f aca="false">IF($B26="","",EDATE(K26,72))</f>
        <v/>
      </c>
      <c r="Q26" s="17" t="str">
        <f aca="true">IF($B26="","",P26-TODAY())</f>
        <v/>
      </c>
      <c r="R26" s="13" t="str">
        <f aca="false">IF($B26="","",IF(Q26&lt;=0,"🔴 SUPERO LIMITE LEGAL",IF(Q26&lt;=180,"🟠 PROXIMO AL LIMITE (6 ANOS)",IF(Q26&lt;=365,"🟡 VIGILAR (&lt; 1 ANO)","🟢 DENTRO DEL LIMITE"))))</f>
        <v/>
      </c>
      <c r="S26" s="17" t="str">
        <f aca="true">IF($B26="","",L26-TODAY())</f>
        <v/>
      </c>
      <c r="T26" s="13" t="str">
        <f aca="false">IF($B26="","",IF(S26&lt;0,"🔴 COMISION VENCIDA",IF(S26&lt;=90,"🟠 VENCE PRONTO (&lt;=90 DIAS)",IF(S26&lt;=180,"🟡 PROXIMA A VENCER (&lt;=180 DIAS)","🟢 VIGENTE"))))</f>
        <v/>
      </c>
      <c r="U26" s="13" t="str">
        <f aca="false">IF($B26="","",IF(ABS(N26-(L26-K26+1))&lt;=3,"CONTINUA","CON INTERRUPCIONES - REVISAR"))</f>
        <v/>
      </c>
      <c r="V26" s="14" t="str">
        <f aca="false">IF($B26="","",TRIM(SUBSTITUTE(SUBSTITUTE(SUBSTITUTE(SUBSTITUTE(SUBSTITUTE(SUBSTITUTE(UPPER(IFERROR(INDEX('Registro de Comisión'!$L$5:$L$304,MATCH($B26&amp;"-ACT",'Registro de Comisión'!$N$5:$N$304,0)),"SIN REGISTRAR")),"Á","A"),"É","E"),"Í","I"),"Ó","O"),"Ú","U"),"Ü","U")))</f>
        <v/>
      </c>
      <c r="W26" s="14"/>
    </row>
    <row r="27" customFormat="false" ht="15" hidden="false" customHeight="false" outlineLevel="0" collapsed="false">
      <c r="A27" s="19" t="str">
        <f aca="false">IF($B27="","",ROW()-6)</f>
        <v/>
      </c>
      <c r="B27" s="19" t="str">
        <f aca="false">IFERROR(INDEX('Registro de Comisión'!$A$5:$A$304,MATCH(ROW()-21,'Registro de Comisión'!$P$5:$P$304,0)),"")</f>
        <v/>
      </c>
      <c r="C27" s="20" t="str">
        <f aca="false">IF($B27="","",TRIM(SUBSTITUTE(SUBSTITUTE(SUBSTITUTE(SUBSTITUTE(SUBSTITUTE(SUBSTITUTE(UPPER(IFERROR(INDEX('Registro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7" s="19" t="str">
        <f aca="false">IF($B27="","",TRIM(SUBSTITUTE(SUBSTITUTE(SUBSTITUTE(SUBSTITUTE(SUBSTITUTE(SUBSTITUTE(UPPER(IFERROR(INDEX('Registro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7" s="20" t="str">
        <f aca="false">IF($B27="","",TRIM(SUBSTITUTE(SUBSTITUTE(SUBSTITUTE(SUBSTITUTE(SUBSTITUTE(SUBSTITUTE(UPPER(IFERROR(INDEX('Registro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7" s="20" t="str">
        <f aca="false">IF($B27="","",TRIM(SUBSTITUTE(SUBSTITUTE(SUBSTITUTE(SUBSTITUTE(SUBSTITUTE(SUBSTITUTE(UPPER(IFERROR(INDEX('Registro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7" s="20" t="str">
        <f aca="false">IF($B27="","",TRIM(SUBSTITUTE(SUBSTITUTE(SUBSTITUTE(SUBSTITUTE(SUBSTITUTE(SUBSTITUTE(UPPER(IFERROR(INDEX('Registro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7" s="19" t="str">
        <f aca="false">IF($B27="","",TRIM(SUBSTITUTE(SUBSTITUTE(SUBSTITUTE(SUBSTITUTE(SUBSTITUTE(SUBSTITUTE(UPPER(IFERROR(INDEX('Registro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7" s="26" t="str">
        <f aca="false">IF($B27="","",IFERROR(INDEX('Registro de Comisión'!$H$5:$H$304,MATCH(ROW()-21,'Registro de Comisión'!$P$5:$P$304,0)),""))</f>
        <v/>
      </c>
      <c r="J27" s="20" t="str">
        <f aca="false">IF($B27="","",TRIM(SUBSTITUTE(SUBSTITUTE(SUBSTITUTE(SUBSTITUTE(SUBSTITUTE(SUBSTITUTE(UPPER(IFERROR(INDEX(tblPeriodos[Institución en el Período],MATCH($B27&amp;"-1",tblPeriodos[Clave (uso interno)],0)),"SIN PERIODO REGISTRADO")),"Á","A"),"É","E"),"Í","I"),"Ó","O"),"Ú","U"),"Ü","U")))</f>
        <v/>
      </c>
      <c r="K27" s="22" t="str">
        <f aca="false">IF($B27="","",IFERROR(_xlfn.MINIFS(tblPeriodos[Fecha Inicio del Período],tblPeriodos[Cédula],$B27),""))</f>
        <v/>
      </c>
      <c r="L27" s="22" t="str">
        <f aca="false">IF($B27="","",IFERROR(_xlfn.MAXIFS(tblPeriodos[Fecha Fin del Período],tblPeriodos[Cédula],$B27),""))</f>
        <v/>
      </c>
      <c r="M27" s="19" t="str">
        <f aca="false">IF($B27="","",COUNTIFS(tblPeriodos[Cédula],$B27))</f>
        <v/>
      </c>
      <c r="N27" s="23" t="str">
        <f aca="false">IF($B27="","",SUMIFS(tblPeriodos[Días del Período],tblPeriodos[Cédula],$B27))</f>
        <v/>
      </c>
      <c r="O27" s="24" t="str">
        <f aca="false">IF($B27="","",ROUND(N27/365.25,1))</f>
        <v/>
      </c>
      <c r="P27" s="22" t="str">
        <f aca="false">IF($B27="","",EDATE(K27,72))</f>
        <v/>
      </c>
      <c r="Q27" s="23" t="str">
        <f aca="true">IF($B27="","",P27-TODAY())</f>
        <v/>
      </c>
      <c r="R27" s="19" t="str">
        <f aca="false">IF($B27="","",IF(Q27&lt;=0,"🔴 SUPERO LIMITE LEGAL",IF(Q27&lt;=180,"🟠 PROXIMO AL LIMITE (6 ANOS)",IF(Q27&lt;=365,"🟡 VIGILAR (&lt; 1 ANO)","🟢 DENTRO DEL LIMITE"))))</f>
        <v/>
      </c>
      <c r="S27" s="23" t="str">
        <f aca="true">IF($B27="","",L27-TODAY())</f>
        <v/>
      </c>
      <c r="T27" s="19" t="str">
        <f aca="false">IF($B27="","",IF(S27&lt;0,"🔴 COMISION VENCIDA",IF(S27&lt;=90,"🟠 VENCE PRONTO (&lt;=90 DIAS)",IF(S27&lt;=180,"🟡 PROXIMA A VENCER (&lt;=180 DIAS)","🟢 VIGENTE"))))</f>
        <v/>
      </c>
      <c r="U27" s="19" t="str">
        <f aca="false">IF($B27="","",IF(ABS(N27-(L27-K27+1))&lt;=3,"CONTINUA","CON INTERRUPCIONES - REVISAR"))</f>
        <v/>
      </c>
      <c r="V27" s="20" t="str">
        <f aca="false">IF($B27="","",TRIM(SUBSTITUTE(SUBSTITUTE(SUBSTITUTE(SUBSTITUTE(SUBSTITUTE(SUBSTITUTE(UPPER(IFERROR(INDEX('Registro de Comisión'!$L$5:$L$304,MATCH($B27&amp;"-ACT",'Registro de Comisión'!$N$5:$N$304,0)),"SIN REGISTRAR")),"Á","A"),"É","E"),"Í","I"),"Ó","O"),"Ú","U"),"Ü","U")))</f>
        <v/>
      </c>
      <c r="W27" s="20"/>
    </row>
    <row r="28" customFormat="false" ht="15" hidden="false" customHeight="false" outlineLevel="0" collapsed="false">
      <c r="A28" s="13" t="str">
        <f aca="false">IF($B28="","",ROW()-6)</f>
        <v/>
      </c>
      <c r="B28" s="13" t="str">
        <f aca="false">IFERROR(INDEX('Registro de Comisión'!$A$5:$A$304,MATCH(ROW()-21,'Registro de Comisión'!$P$5:$P$304,0)),"")</f>
        <v/>
      </c>
      <c r="C28" s="14" t="str">
        <f aca="false">IF($B28="","",TRIM(SUBSTITUTE(SUBSTITUTE(SUBSTITUTE(SUBSTITUTE(SUBSTITUTE(SUBSTITUTE(UPPER(IFERROR(INDEX('Registro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8" s="13" t="str">
        <f aca="false">IF($B28="","",TRIM(SUBSTITUTE(SUBSTITUTE(SUBSTITUTE(SUBSTITUTE(SUBSTITUTE(SUBSTITUTE(UPPER(IFERROR(INDEX('Registro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8" s="14" t="str">
        <f aca="false">IF($B28="","",TRIM(SUBSTITUTE(SUBSTITUTE(SUBSTITUTE(SUBSTITUTE(SUBSTITUTE(SUBSTITUTE(UPPER(IFERROR(INDEX('Registro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8" s="14" t="str">
        <f aca="false">IF($B28="","",TRIM(SUBSTITUTE(SUBSTITUTE(SUBSTITUTE(SUBSTITUTE(SUBSTITUTE(SUBSTITUTE(UPPER(IFERROR(INDEX('Registro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8" s="14" t="str">
        <f aca="false">IF($B28="","",TRIM(SUBSTITUTE(SUBSTITUTE(SUBSTITUTE(SUBSTITUTE(SUBSTITUTE(SUBSTITUTE(UPPER(IFERROR(INDEX('Registro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8" s="13" t="str">
        <f aca="false">IF($B28="","",TRIM(SUBSTITUTE(SUBSTITUTE(SUBSTITUTE(SUBSTITUTE(SUBSTITUTE(SUBSTITUTE(UPPER(IFERROR(INDEX('Registro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8" s="25" t="str">
        <f aca="false">IF($B28="","",IFERROR(INDEX('Registro de Comisión'!$H$5:$H$304,MATCH(ROW()-21,'Registro de Comisión'!$P$5:$P$304,0)),""))</f>
        <v/>
      </c>
      <c r="J28" s="14" t="str">
        <f aca="false">IF($B28="","",TRIM(SUBSTITUTE(SUBSTITUTE(SUBSTITUTE(SUBSTITUTE(SUBSTITUTE(SUBSTITUTE(UPPER(IFERROR(INDEX(tblPeriodos[Institución en el Período],MATCH($B28&amp;"-1",tblPeriodos[Clave (uso interno)],0)),"SIN PERIODO REGISTRADO")),"Á","A"),"É","E"),"Í","I"),"Ó","O"),"Ú","U"),"Ü","U")))</f>
        <v/>
      </c>
      <c r="K28" s="16" t="str">
        <f aca="false">IF($B28="","",IFERROR(_xlfn.MINIFS(tblPeriodos[Fecha Inicio del Período],tblPeriodos[Cédula],$B28),""))</f>
        <v/>
      </c>
      <c r="L28" s="16" t="str">
        <f aca="false">IF($B28="","",IFERROR(_xlfn.MAXIFS(tblPeriodos[Fecha Fin del Período],tblPeriodos[Cédula],$B28),""))</f>
        <v/>
      </c>
      <c r="M28" s="13" t="str">
        <f aca="false">IF($B28="","",COUNTIFS(tblPeriodos[Cédula],$B28))</f>
        <v/>
      </c>
      <c r="N28" s="17" t="str">
        <f aca="false">IF($B28="","",SUMIFS(tblPeriodos[Días del Período],tblPeriodos[Cédula],$B28))</f>
        <v/>
      </c>
      <c r="O28" s="18" t="str">
        <f aca="false">IF($B28="","",ROUND(N28/365.25,1))</f>
        <v/>
      </c>
      <c r="P28" s="16" t="str">
        <f aca="false">IF($B28="","",EDATE(K28,72))</f>
        <v/>
      </c>
      <c r="Q28" s="17" t="str">
        <f aca="true">IF($B28="","",P28-TODAY())</f>
        <v/>
      </c>
      <c r="R28" s="13" t="str">
        <f aca="false">IF($B28="","",IF(Q28&lt;=0,"🔴 SUPERO LIMITE LEGAL",IF(Q28&lt;=180,"🟠 PROXIMO AL LIMITE (6 ANOS)",IF(Q28&lt;=365,"🟡 VIGILAR (&lt; 1 ANO)","🟢 DENTRO DEL LIMITE"))))</f>
        <v/>
      </c>
      <c r="S28" s="17" t="str">
        <f aca="true">IF($B28="","",L28-TODAY())</f>
        <v/>
      </c>
      <c r="T28" s="13" t="str">
        <f aca="false">IF($B28="","",IF(S28&lt;0,"🔴 COMISION VENCIDA",IF(S28&lt;=90,"🟠 VENCE PRONTO (&lt;=90 DIAS)",IF(S28&lt;=180,"🟡 PROXIMA A VENCER (&lt;=180 DIAS)","🟢 VIGENTE"))))</f>
        <v/>
      </c>
      <c r="U28" s="13" t="str">
        <f aca="false">IF($B28="","",IF(ABS(N28-(L28-K28+1))&lt;=3,"CONTINUA","CON INTERRUPCIONES - REVISAR"))</f>
        <v/>
      </c>
      <c r="V28" s="14" t="str">
        <f aca="false">IF($B28="","",TRIM(SUBSTITUTE(SUBSTITUTE(SUBSTITUTE(SUBSTITUTE(SUBSTITUTE(SUBSTITUTE(UPPER(IFERROR(INDEX('Registro de Comisión'!$L$5:$L$304,MATCH($B28&amp;"-ACT",'Registro de Comisión'!$N$5:$N$304,0)),"SIN REGISTRAR")),"Á","A"),"É","E"),"Í","I"),"Ó","O"),"Ú","U"),"Ü","U")))</f>
        <v/>
      </c>
      <c r="W28" s="14"/>
    </row>
    <row r="29" customFormat="false" ht="15" hidden="false" customHeight="false" outlineLevel="0" collapsed="false">
      <c r="A29" s="19" t="str">
        <f aca="false">IF($B29="","",ROW()-6)</f>
        <v/>
      </c>
      <c r="B29" s="19" t="str">
        <f aca="false">IFERROR(INDEX('Registro de Comisión'!$A$5:$A$304,MATCH(ROW()-21,'Registro de Comisión'!$P$5:$P$304,0)),"")</f>
        <v/>
      </c>
      <c r="C29" s="20" t="str">
        <f aca="false">IF($B29="","",TRIM(SUBSTITUTE(SUBSTITUTE(SUBSTITUTE(SUBSTITUTE(SUBSTITUTE(SUBSTITUTE(UPPER(IFERROR(INDEX('Registro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29" s="19" t="str">
        <f aca="false">IF($B29="","",TRIM(SUBSTITUTE(SUBSTITUTE(SUBSTITUTE(SUBSTITUTE(SUBSTITUTE(SUBSTITUTE(UPPER(IFERROR(INDEX('Registro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29" s="20" t="str">
        <f aca="false">IF($B29="","",TRIM(SUBSTITUTE(SUBSTITUTE(SUBSTITUTE(SUBSTITUTE(SUBSTITUTE(SUBSTITUTE(UPPER(IFERROR(INDEX('Registro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29" s="20" t="str">
        <f aca="false">IF($B29="","",TRIM(SUBSTITUTE(SUBSTITUTE(SUBSTITUTE(SUBSTITUTE(SUBSTITUTE(SUBSTITUTE(UPPER(IFERROR(INDEX('Registro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29" s="20" t="str">
        <f aca="false">IF($B29="","",TRIM(SUBSTITUTE(SUBSTITUTE(SUBSTITUTE(SUBSTITUTE(SUBSTITUTE(SUBSTITUTE(UPPER(IFERROR(INDEX('Registro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29" s="19" t="str">
        <f aca="false">IF($B29="","",TRIM(SUBSTITUTE(SUBSTITUTE(SUBSTITUTE(SUBSTITUTE(SUBSTITUTE(SUBSTITUTE(UPPER(IFERROR(INDEX('Registro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29" s="26" t="str">
        <f aca="false">IF($B29="","",IFERROR(INDEX('Registro de Comisión'!$H$5:$H$304,MATCH(ROW()-21,'Registro de Comisión'!$P$5:$P$304,0)),""))</f>
        <v/>
      </c>
      <c r="J29" s="20" t="str">
        <f aca="false">IF($B29="","",TRIM(SUBSTITUTE(SUBSTITUTE(SUBSTITUTE(SUBSTITUTE(SUBSTITUTE(SUBSTITUTE(UPPER(IFERROR(INDEX(tblPeriodos[Institución en el Período],MATCH($B29&amp;"-1",tblPeriodos[Clave (uso interno)],0)),"SIN PERIODO REGISTRADO")),"Á","A"),"É","E"),"Í","I"),"Ó","O"),"Ú","U"),"Ü","U")))</f>
        <v/>
      </c>
      <c r="K29" s="22" t="str">
        <f aca="false">IF($B29="","",IFERROR(_xlfn.MINIFS(tblPeriodos[Fecha Inicio del Período],tblPeriodos[Cédula],$B29),""))</f>
        <v/>
      </c>
      <c r="L29" s="22" t="str">
        <f aca="false">IF($B29="","",IFERROR(_xlfn.MAXIFS(tblPeriodos[Fecha Fin del Período],tblPeriodos[Cédula],$B29),""))</f>
        <v/>
      </c>
      <c r="M29" s="19" t="str">
        <f aca="false">IF($B29="","",COUNTIFS(tblPeriodos[Cédula],$B29))</f>
        <v/>
      </c>
      <c r="N29" s="23" t="str">
        <f aca="false">IF($B29="","",SUMIFS(tblPeriodos[Días del Período],tblPeriodos[Cédula],$B29))</f>
        <v/>
      </c>
      <c r="O29" s="24" t="str">
        <f aca="false">IF($B29="","",ROUND(N29/365.25,1))</f>
        <v/>
      </c>
      <c r="P29" s="22" t="str">
        <f aca="false">IF($B29="","",EDATE(K29,72))</f>
        <v/>
      </c>
      <c r="Q29" s="23" t="str">
        <f aca="true">IF($B29="","",P29-TODAY())</f>
        <v/>
      </c>
      <c r="R29" s="19" t="str">
        <f aca="false">IF($B29="","",IF(Q29&lt;=0,"🔴 SUPERO LIMITE LEGAL",IF(Q29&lt;=180,"🟠 PROXIMO AL LIMITE (6 ANOS)",IF(Q29&lt;=365,"🟡 VIGILAR (&lt; 1 ANO)","🟢 DENTRO DEL LIMITE"))))</f>
        <v/>
      </c>
      <c r="S29" s="23" t="str">
        <f aca="true">IF($B29="","",L29-TODAY())</f>
        <v/>
      </c>
      <c r="T29" s="19" t="str">
        <f aca="false">IF($B29="","",IF(S29&lt;0,"🔴 COMISION VENCIDA",IF(S29&lt;=90,"🟠 VENCE PRONTO (&lt;=90 DIAS)",IF(S29&lt;=180,"🟡 PROXIMA A VENCER (&lt;=180 DIAS)","🟢 VIGENTE"))))</f>
        <v/>
      </c>
      <c r="U29" s="19" t="str">
        <f aca="false">IF($B29="","",IF(ABS(N29-(L29-K29+1))&lt;=3,"CONTINUA","CON INTERRUPCIONES - REVISAR"))</f>
        <v/>
      </c>
      <c r="V29" s="20" t="str">
        <f aca="false">IF($B29="","",TRIM(SUBSTITUTE(SUBSTITUTE(SUBSTITUTE(SUBSTITUTE(SUBSTITUTE(SUBSTITUTE(UPPER(IFERROR(INDEX('Registro de Comisión'!$L$5:$L$304,MATCH($B29&amp;"-ACT",'Registro de Comisión'!$N$5:$N$304,0)),"SIN REGISTRAR")),"Á","A"),"É","E"),"Í","I"),"Ó","O"),"Ú","U"),"Ü","U")))</f>
        <v/>
      </c>
      <c r="W29" s="20"/>
    </row>
    <row r="30" customFormat="false" ht="15" hidden="false" customHeight="false" outlineLevel="0" collapsed="false">
      <c r="A30" s="13" t="str">
        <f aca="false">IF($B30="","",ROW()-6)</f>
        <v/>
      </c>
      <c r="B30" s="13" t="str">
        <f aca="false">IFERROR(INDEX('Registro de Comisión'!$A$5:$A$304,MATCH(ROW()-21,'Registro de Comisión'!$P$5:$P$304,0)),"")</f>
        <v/>
      </c>
      <c r="C30" s="14" t="str">
        <f aca="false">IF($B30="","",TRIM(SUBSTITUTE(SUBSTITUTE(SUBSTITUTE(SUBSTITUTE(SUBSTITUTE(SUBSTITUTE(UPPER(IFERROR(INDEX('Registro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0" s="13" t="str">
        <f aca="false">IF($B30="","",TRIM(SUBSTITUTE(SUBSTITUTE(SUBSTITUTE(SUBSTITUTE(SUBSTITUTE(SUBSTITUTE(UPPER(IFERROR(INDEX('Registro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0" s="14" t="str">
        <f aca="false">IF($B30="","",TRIM(SUBSTITUTE(SUBSTITUTE(SUBSTITUTE(SUBSTITUTE(SUBSTITUTE(SUBSTITUTE(UPPER(IFERROR(INDEX('Registro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0" s="14" t="str">
        <f aca="false">IF($B30="","",TRIM(SUBSTITUTE(SUBSTITUTE(SUBSTITUTE(SUBSTITUTE(SUBSTITUTE(SUBSTITUTE(UPPER(IFERROR(INDEX('Registro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0" s="14" t="str">
        <f aca="false">IF($B30="","",TRIM(SUBSTITUTE(SUBSTITUTE(SUBSTITUTE(SUBSTITUTE(SUBSTITUTE(SUBSTITUTE(UPPER(IFERROR(INDEX('Registro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0" s="13" t="str">
        <f aca="false">IF($B30="","",TRIM(SUBSTITUTE(SUBSTITUTE(SUBSTITUTE(SUBSTITUTE(SUBSTITUTE(SUBSTITUTE(UPPER(IFERROR(INDEX('Registro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0" s="25" t="str">
        <f aca="false">IF($B30="","",IFERROR(INDEX('Registro de Comisión'!$H$5:$H$304,MATCH(ROW()-21,'Registro de Comisión'!$P$5:$P$304,0)),""))</f>
        <v/>
      </c>
      <c r="J30" s="14" t="str">
        <f aca="false">IF($B30="","",TRIM(SUBSTITUTE(SUBSTITUTE(SUBSTITUTE(SUBSTITUTE(SUBSTITUTE(SUBSTITUTE(UPPER(IFERROR(INDEX(tblPeriodos[Institución en el Período],MATCH($B30&amp;"-1",tblPeriodos[Clave (uso interno)],0)),"SIN PERIODO REGISTRADO")),"Á","A"),"É","E"),"Í","I"),"Ó","O"),"Ú","U"),"Ü","U")))</f>
        <v/>
      </c>
      <c r="K30" s="16" t="str">
        <f aca="false">IF($B30="","",IFERROR(_xlfn.MINIFS(tblPeriodos[Fecha Inicio del Período],tblPeriodos[Cédula],$B30),""))</f>
        <v/>
      </c>
      <c r="L30" s="16" t="str">
        <f aca="false">IF($B30="","",IFERROR(_xlfn.MAXIFS(tblPeriodos[Fecha Fin del Período],tblPeriodos[Cédula],$B30),""))</f>
        <v/>
      </c>
      <c r="M30" s="13" t="str">
        <f aca="false">IF($B30="","",COUNTIFS(tblPeriodos[Cédula],$B30))</f>
        <v/>
      </c>
      <c r="N30" s="17" t="str">
        <f aca="false">IF($B30="","",SUMIFS(tblPeriodos[Días del Período],tblPeriodos[Cédula],$B30))</f>
        <v/>
      </c>
      <c r="O30" s="18" t="str">
        <f aca="false">IF($B30="","",ROUND(N30/365.25,1))</f>
        <v/>
      </c>
      <c r="P30" s="16" t="str">
        <f aca="false">IF($B30="","",EDATE(K30,72))</f>
        <v/>
      </c>
      <c r="Q30" s="17" t="str">
        <f aca="true">IF($B30="","",P30-TODAY())</f>
        <v/>
      </c>
      <c r="R30" s="13" t="str">
        <f aca="false">IF($B30="","",IF(Q30&lt;=0,"🔴 SUPERO LIMITE LEGAL",IF(Q30&lt;=180,"🟠 PROXIMO AL LIMITE (6 ANOS)",IF(Q30&lt;=365,"🟡 VIGILAR (&lt; 1 ANO)","🟢 DENTRO DEL LIMITE"))))</f>
        <v/>
      </c>
      <c r="S30" s="17" t="str">
        <f aca="true">IF($B30="","",L30-TODAY())</f>
        <v/>
      </c>
      <c r="T30" s="13" t="str">
        <f aca="false">IF($B30="","",IF(S30&lt;0,"🔴 COMISION VENCIDA",IF(S30&lt;=90,"🟠 VENCE PRONTO (&lt;=90 DIAS)",IF(S30&lt;=180,"🟡 PROXIMA A VENCER (&lt;=180 DIAS)","🟢 VIGENTE"))))</f>
        <v/>
      </c>
      <c r="U30" s="13" t="str">
        <f aca="false">IF($B30="","",IF(ABS(N30-(L30-K30+1))&lt;=3,"CONTINUA","CON INTERRUPCIONES - REVISAR"))</f>
        <v/>
      </c>
      <c r="V30" s="14" t="str">
        <f aca="false">IF($B30="","",TRIM(SUBSTITUTE(SUBSTITUTE(SUBSTITUTE(SUBSTITUTE(SUBSTITUTE(SUBSTITUTE(UPPER(IFERROR(INDEX('Registro de Comisión'!$L$5:$L$304,MATCH($B30&amp;"-ACT",'Registro de Comisión'!$N$5:$N$304,0)),"SIN REGISTRAR")),"Á","A"),"É","E"),"Í","I"),"Ó","O"),"Ú","U"),"Ü","U")))</f>
        <v/>
      </c>
      <c r="W30" s="14"/>
    </row>
    <row r="31" customFormat="false" ht="15" hidden="false" customHeight="false" outlineLevel="0" collapsed="false">
      <c r="A31" s="19" t="str">
        <f aca="false">IF($B31="","",ROW()-6)</f>
        <v/>
      </c>
      <c r="B31" s="19" t="str">
        <f aca="false">IFERROR(INDEX('Registro de Comisión'!$A$5:$A$304,MATCH(ROW()-21,'Registro de Comisión'!$P$5:$P$304,0)),"")</f>
        <v/>
      </c>
      <c r="C31" s="20" t="str">
        <f aca="false">IF($B31="","",TRIM(SUBSTITUTE(SUBSTITUTE(SUBSTITUTE(SUBSTITUTE(SUBSTITUTE(SUBSTITUTE(UPPER(IFERROR(INDEX('Registro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1" s="19" t="str">
        <f aca="false">IF($B31="","",TRIM(SUBSTITUTE(SUBSTITUTE(SUBSTITUTE(SUBSTITUTE(SUBSTITUTE(SUBSTITUTE(UPPER(IFERROR(INDEX('Registro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1" s="20" t="str">
        <f aca="false">IF($B31="","",TRIM(SUBSTITUTE(SUBSTITUTE(SUBSTITUTE(SUBSTITUTE(SUBSTITUTE(SUBSTITUTE(UPPER(IFERROR(INDEX('Registro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1" s="20" t="str">
        <f aca="false">IF($B31="","",TRIM(SUBSTITUTE(SUBSTITUTE(SUBSTITUTE(SUBSTITUTE(SUBSTITUTE(SUBSTITUTE(UPPER(IFERROR(INDEX('Registro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1" s="20" t="str">
        <f aca="false">IF($B31="","",TRIM(SUBSTITUTE(SUBSTITUTE(SUBSTITUTE(SUBSTITUTE(SUBSTITUTE(SUBSTITUTE(UPPER(IFERROR(INDEX('Registro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1" s="19" t="str">
        <f aca="false">IF($B31="","",TRIM(SUBSTITUTE(SUBSTITUTE(SUBSTITUTE(SUBSTITUTE(SUBSTITUTE(SUBSTITUTE(UPPER(IFERROR(INDEX('Registro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1" s="26" t="str">
        <f aca="false">IF($B31="","",IFERROR(INDEX('Registro de Comisión'!$H$5:$H$304,MATCH(ROW()-21,'Registro de Comisión'!$P$5:$P$304,0)),""))</f>
        <v/>
      </c>
      <c r="J31" s="20" t="str">
        <f aca="false">IF($B31="","",TRIM(SUBSTITUTE(SUBSTITUTE(SUBSTITUTE(SUBSTITUTE(SUBSTITUTE(SUBSTITUTE(UPPER(IFERROR(INDEX(tblPeriodos[Institución en el Período],MATCH($B31&amp;"-1",tblPeriodos[Clave (uso interno)],0)),"SIN PERIODO REGISTRADO")),"Á","A"),"É","E"),"Í","I"),"Ó","O"),"Ú","U"),"Ü","U")))</f>
        <v/>
      </c>
      <c r="K31" s="22" t="str">
        <f aca="false">IF($B31="","",IFERROR(_xlfn.MINIFS(tblPeriodos[Fecha Inicio del Período],tblPeriodos[Cédula],$B31),""))</f>
        <v/>
      </c>
      <c r="L31" s="22" t="str">
        <f aca="false">IF($B31="","",IFERROR(_xlfn.MAXIFS(tblPeriodos[Fecha Fin del Período],tblPeriodos[Cédula],$B31),""))</f>
        <v/>
      </c>
      <c r="M31" s="19" t="str">
        <f aca="false">IF($B31="","",COUNTIFS(tblPeriodos[Cédula],$B31))</f>
        <v/>
      </c>
      <c r="N31" s="23" t="str">
        <f aca="false">IF($B31="","",SUMIFS(tblPeriodos[Días del Período],tblPeriodos[Cédula],$B31))</f>
        <v/>
      </c>
      <c r="O31" s="24" t="str">
        <f aca="false">IF($B31="","",ROUND(N31/365.25,1))</f>
        <v/>
      </c>
      <c r="P31" s="22" t="str">
        <f aca="false">IF($B31="","",EDATE(K31,72))</f>
        <v/>
      </c>
      <c r="Q31" s="23" t="str">
        <f aca="true">IF($B31="","",P31-TODAY())</f>
        <v/>
      </c>
      <c r="R31" s="19" t="str">
        <f aca="false">IF($B31="","",IF(Q31&lt;=0,"🔴 SUPERO LIMITE LEGAL",IF(Q31&lt;=180,"🟠 PROXIMO AL LIMITE (6 ANOS)",IF(Q31&lt;=365,"🟡 VIGILAR (&lt; 1 ANO)","🟢 DENTRO DEL LIMITE"))))</f>
        <v/>
      </c>
      <c r="S31" s="23" t="str">
        <f aca="true">IF($B31="","",L31-TODAY())</f>
        <v/>
      </c>
      <c r="T31" s="19" t="str">
        <f aca="false">IF($B31="","",IF(S31&lt;0,"🔴 COMISION VENCIDA",IF(S31&lt;=90,"🟠 VENCE PRONTO (&lt;=90 DIAS)",IF(S31&lt;=180,"🟡 PROXIMA A VENCER (&lt;=180 DIAS)","🟢 VIGENTE"))))</f>
        <v/>
      </c>
      <c r="U31" s="19" t="str">
        <f aca="false">IF($B31="","",IF(ABS(N31-(L31-K31+1))&lt;=3,"CONTINUA","CON INTERRUPCIONES - REVISAR"))</f>
        <v/>
      </c>
      <c r="V31" s="20" t="str">
        <f aca="false">IF($B31="","",TRIM(SUBSTITUTE(SUBSTITUTE(SUBSTITUTE(SUBSTITUTE(SUBSTITUTE(SUBSTITUTE(UPPER(IFERROR(INDEX('Registro de Comisión'!$L$5:$L$304,MATCH($B31&amp;"-ACT",'Registro de Comisión'!$N$5:$N$304,0)),"SIN REGISTRAR")),"Á","A"),"É","E"),"Í","I"),"Ó","O"),"Ú","U"),"Ü","U")))</f>
        <v/>
      </c>
      <c r="W31" s="20"/>
    </row>
    <row r="32" customFormat="false" ht="15" hidden="false" customHeight="false" outlineLevel="0" collapsed="false">
      <c r="A32" s="13" t="str">
        <f aca="false">IF($B32="","",ROW()-6)</f>
        <v/>
      </c>
      <c r="B32" s="13" t="str">
        <f aca="false">IFERROR(INDEX('Registro de Comisión'!$A$5:$A$304,MATCH(ROW()-21,'Registro de Comisión'!$P$5:$P$304,0)),"")</f>
        <v/>
      </c>
      <c r="C32" s="14" t="str">
        <f aca="false">IF($B32="","",TRIM(SUBSTITUTE(SUBSTITUTE(SUBSTITUTE(SUBSTITUTE(SUBSTITUTE(SUBSTITUTE(UPPER(IFERROR(INDEX('Registro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2" s="13" t="str">
        <f aca="false">IF($B32="","",TRIM(SUBSTITUTE(SUBSTITUTE(SUBSTITUTE(SUBSTITUTE(SUBSTITUTE(SUBSTITUTE(UPPER(IFERROR(INDEX('Registro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2" s="14" t="str">
        <f aca="false">IF($B32="","",TRIM(SUBSTITUTE(SUBSTITUTE(SUBSTITUTE(SUBSTITUTE(SUBSTITUTE(SUBSTITUTE(UPPER(IFERROR(INDEX('Registro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2" s="14" t="str">
        <f aca="false">IF($B32="","",TRIM(SUBSTITUTE(SUBSTITUTE(SUBSTITUTE(SUBSTITUTE(SUBSTITUTE(SUBSTITUTE(UPPER(IFERROR(INDEX('Registro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2" s="14" t="str">
        <f aca="false">IF($B32="","",TRIM(SUBSTITUTE(SUBSTITUTE(SUBSTITUTE(SUBSTITUTE(SUBSTITUTE(SUBSTITUTE(UPPER(IFERROR(INDEX('Registro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2" s="13" t="str">
        <f aca="false">IF($B32="","",TRIM(SUBSTITUTE(SUBSTITUTE(SUBSTITUTE(SUBSTITUTE(SUBSTITUTE(SUBSTITUTE(UPPER(IFERROR(INDEX('Registro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2" s="25" t="str">
        <f aca="false">IF($B32="","",IFERROR(INDEX('Registro de Comisión'!$H$5:$H$304,MATCH(ROW()-21,'Registro de Comisión'!$P$5:$P$304,0)),""))</f>
        <v/>
      </c>
      <c r="J32" s="14" t="str">
        <f aca="false">IF($B32="","",TRIM(SUBSTITUTE(SUBSTITUTE(SUBSTITUTE(SUBSTITUTE(SUBSTITUTE(SUBSTITUTE(UPPER(IFERROR(INDEX(tblPeriodos[Institución en el Período],MATCH($B32&amp;"-1",tblPeriodos[Clave (uso interno)],0)),"SIN PERIODO REGISTRADO")),"Á","A"),"É","E"),"Í","I"),"Ó","O"),"Ú","U"),"Ü","U")))</f>
        <v/>
      </c>
      <c r="K32" s="16" t="str">
        <f aca="false">IF($B32="","",IFERROR(_xlfn.MINIFS(tblPeriodos[Fecha Inicio del Período],tblPeriodos[Cédula],$B32),""))</f>
        <v/>
      </c>
      <c r="L32" s="16" t="str">
        <f aca="false">IF($B32="","",IFERROR(_xlfn.MAXIFS(tblPeriodos[Fecha Fin del Período],tblPeriodos[Cédula],$B32),""))</f>
        <v/>
      </c>
      <c r="M32" s="13" t="str">
        <f aca="false">IF($B32="","",COUNTIFS(tblPeriodos[Cédula],$B32))</f>
        <v/>
      </c>
      <c r="N32" s="17" t="str">
        <f aca="false">IF($B32="","",SUMIFS(tblPeriodos[Días del Período],tblPeriodos[Cédula],$B32))</f>
        <v/>
      </c>
      <c r="O32" s="18" t="str">
        <f aca="false">IF($B32="","",ROUND(N32/365.25,1))</f>
        <v/>
      </c>
      <c r="P32" s="16" t="str">
        <f aca="false">IF($B32="","",EDATE(K32,72))</f>
        <v/>
      </c>
      <c r="Q32" s="17" t="str">
        <f aca="true">IF($B32="","",P32-TODAY())</f>
        <v/>
      </c>
      <c r="R32" s="13" t="str">
        <f aca="false">IF($B32="","",IF(Q32&lt;=0,"🔴 SUPERO LIMITE LEGAL",IF(Q32&lt;=180,"🟠 PROXIMO AL LIMITE (6 ANOS)",IF(Q32&lt;=365,"🟡 VIGILAR (&lt; 1 ANO)","🟢 DENTRO DEL LIMITE"))))</f>
        <v/>
      </c>
      <c r="S32" s="17" t="str">
        <f aca="true">IF($B32="","",L32-TODAY())</f>
        <v/>
      </c>
      <c r="T32" s="13" t="str">
        <f aca="false">IF($B32="","",IF(S32&lt;0,"🔴 COMISION VENCIDA",IF(S32&lt;=90,"🟠 VENCE PRONTO (&lt;=90 DIAS)",IF(S32&lt;=180,"🟡 PROXIMA A VENCER (&lt;=180 DIAS)","🟢 VIGENTE"))))</f>
        <v/>
      </c>
      <c r="U32" s="13" t="str">
        <f aca="false">IF($B32="","",IF(ABS(N32-(L32-K32+1))&lt;=3,"CONTINUA","CON INTERRUPCIONES - REVISAR"))</f>
        <v/>
      </c>
      <c r="V32" s="14" t="str">
        <f aca="false">IF($B32="","",TRIM(SUBSTITUTE(SUBSTITUTE(SUBSTITUTE(SUBSTITUTE(SUBSTITUTE(SUBSTITUTE(UPPER(IFERROR(INDEX('Registro de Comisión'!$L$5:$L$304,MATCH($B32&amp;"-ACT",'Registro de Comisión'!$N$5:$N$304,0)),"SIN REGISTRAR")),"Á","A"),"É","E"),"Í","I"),"Ó","O"),"Ú","U"),"Ü","U")))</f>
        <v/>
      </c>
      <c r="W32" s="14"/>
    </row>
    <row r="33" customFormat="false" ht="15" hidden="false" customHeight="false" outlineLevel="0" collapsed="false">
      <c r="A33" s="19" t="str">
        <f aca="false">IF($B33="","",ROW()-6)</f>
        <v/>
      </c>
      <c r="B33" s="19" t="str">
        <f aca="false">IFERROR(INDEX('Registro de Comisión'!$A$5:$A$304,MATCH(ROW()-21,'Registro de Comisión'!$P$5:$P$304,0)),"")</f>
        <v/>
      </c>
      <c r="C33" s="20" t="str">
        <f aca="false">IF($B33="","",TRIM(SUBSTITUTE(SUBSTITUTE(SUBSTITUTE(SUBSTITUTE(SUBSTITUTE(SUBSTITUTE(UPPER(IFERROR(INDEX('Registro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3" s="19" t="str">
        <f aca="false">IF($B33="","",TRIM(SUBSTITUTE(SUBSTITUTE(SUBSTITUTE(SUBSTITUTE(SUBSTITUTE(SUBSTITUTE(UPPER(IFERROR(INDEX('Registro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3" s="20" t="str">
        <f aca="false">IF($B33="","",TRIM(SUBSTITUTE(SUBSTITUTE(SUBSTITUTE(SUBSTITUTE(SUBSTITUTE(SUBSTITUTE(UPPER(IFERROR(INDEX('Registro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3" s="20" t="str">
        <f aca="false">IF($B33="","",TRIM(SUBSTITUTE(SUBSTITUTE(SUBSTITUTE(SUBSTITUTE(SUBSTITUTE(SUBSTITUTE(UPPER(IFERROR(INDEX('Registro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3" s="20" t="str">
        <f aca="false">IF($B33="","",TRIM(SUBSTITUTE(SUBSTITUTE(SUBSTITUTE(SUBSTITUTE(SUBSTITUTE(SUBSTITUTE(UPPER(IFERROR(INDEX('Registro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3" s="19" t="str">
        <f aca="false">IF($B33="","",TRIM(SUBSTITUTE(SUBSTITUTE(SUBSTITUTE(SUBSTITUTE(SUBSTITUTE(SUBSTITUTE(UPPER(IFERROR(INDEX('Registro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3" s="26" t="str">
        <f aca="false">IF($B33="","",IFERROR(INDEX('Registro de Comisión'!$H$5:$H$304,MATCH(ROW()-21,'Registro de Comisión'!$P$5:$P$304,0)),""))</f>
        <v/>
      </c>
      <c r="J33" s="20" t="str">
        <f aca="false">IF($B33="","",TRIM(SUBSTITUTE(SUBSTITUTE(SUBSTITUTE(SUBSTITUTE(SUBSTITUTE(SUBSTITUTE(UPPER(IFERROR(INDEX(tblPeriodos[Institución en el Período],MATCH($B33&amp;"-1",tblPeriodos[Clave (uso interno)],0)),"SIN PERIODO REGISTRADO")),"Á","A"),"É","E"),"Í","I"),"Ó","O"),"Ú","U"),"Ü","U")))</f>
        <v/>
      </c>
      <c r="K33" s="22" t="str">
        <f aca="false">IF($B33="","",IFERROR(_xlfn.MINIFS(tblPeriodos[Fecha Inicio del Período],tblPeriodos[Cédula],$B33),""))</f>
        <v/>
      </c>
      <c r="L33" s="22" t="str">
        <f aca="false">IF($B33="","",IFERROR(_xlfn.MAXIFS(tblPeriodos[Fecha Fin del Período],tblPeriodos[Cédula],$B33),""))</f>
        <v/>
      </c>
      <c r="M33" s="19" t="str">
        <f aca="false">IF($B33="","",COUNTIFS(tblPeriodos[Cédula],$B33))</f>
        <v/>
      </c>
      <c r="N33" s="23" t="str">
        <f aca="false">IF($B33="","",SUMIFS(tblPeriodos[Días del Período],tblPeriodos[Cédula],$B33))</f>
        <v/>
      </c>
      <c r="O33" s="24" t="str">
        <f aca="false">IF($B33="","",ROUND(N33/365.25,1))</f>
        <v/>
      </c>
      <c r="P33" s="22" t="str">
        <f aca="false">IF($B33="","",EDATE(K33,72))</f>
        <v/>
      </c>
      <c r="Q33" s="23" t="str">
        <f aca="true">IF($B33="","",P33-TODAY())</f>
        <v/>
      </c>
      <c r="R33" s="19" t="str">
        <f aca="false">IF($B33="","",IF(Q33&lt;=0,"🔴 SUPERO LIMITE LEGAL",IF(Q33&lt;=180,"🟠 PROXIMO AL LIMITE (6 ANOS)",IF(Q33&lt;=365,"🟡 VIGILAR (&lt; 1 ANO)","🟢 DENTRO DEL LIMITE"))))</f>
        <v/>
      </c>
      <c r="S33" s="23" t="str">
        <f aca="true">IF($B33="","",L33-TODAY())</f>
        <v/>
      </c>
      <c r="T33" s="19" t="str">
        <f aca="false">IF($B33="","",IF(S33&lt;0,"🔴 COMISION VENCIDA",IF(S33&lt;=90,"🟠 VENCE PRONTO (&lt;=90 DIAS)",IF(S33&lt;=180,"🟡 PROXIMA A VENCER (&lt;=180 DIAS)","🟢 VIGENTE"))))</f>
        <v/>
      </c>
      <c r="U33" s="19" t="str">
        <f aca="false">IF($B33="","",IF(ABS(N33-(L33-K33+1))&lt;=3,"CONTINUA","CON INTERRUPCIONES - REVISAR"))</f>
        <v/>
      </c>
      <c r="V33" s="20" t="str">
        <f aca="false">IF($B33="","",TRIM(SUBSTITUTE(SUBSTITUTE(SUBSTITUTE(SUBSTITUTE(SUBSTITUTE(SUBSTITUTE(UPPER(IFERROR(INDEX('Registro de Comisión'!$L$5:$L$304,MATCH($B33&amp;"-ACT",'Registro de Comisión'!$N$5:$N$304,0)),"SIN REGISTRAR")),"Á","A"),"É","E"),"Í","I"),"Ó","O"),"Ú","U"),"Ü","U")))</f>
        <v/>
      </c>
      <c r="W33" s="20"/>
    </row>
    <row r="34" customFormat="false" ht="15" hidden="false" customHeight="false" outlineLevel="0" collapsed="false">
      <c r="A34" s="13" t="str">
        <f aca="false">IF($B34="","",ROW()-6)</f>
        <v/>
      </c>
      <c r="B34" s="13" t="str">
        <f aca="false">IFERROR(INDEX('Registro de Comisión'!$A$5:$A$304,MATCH(ROW()-21,'Registro de Comisión'!$P$5:$P$304,0)),"")</f>
        <v/>
      </c>
      <c r="C34" s="14" t="str">
        <f aca="false">IF($B34="","",TRIM(SUBSTITUTE(SUBSTITUTE(SUBSTITUTE(SUBSTITUTE(SUBSTITUTE(SUBSTITUTE(UPPER(IFERROR(INDEX('Registro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4" s="13" t="str">
        <f aca="false">IF($B34="","",TRIM(SUBSTITUTE(SUBSTITUTE(SUBSTITUTE(SUBSTITUTE(SUBSTITUTE(SUBSTITUTE(UPPER(IFERROR(INDEX('Registro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4" s="14" t="str">
        <f aca="false">IF($B34="","",TRIM(SUBSTITUTE(SUBSTITUTE(SUBSTITUTE(SUBSTITUTE(SUBSTITUTE(SUBSTITUTE(UPPER(IFERROR(INDEX('Registro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4" s="14" t="str">
        <f aca="false">IF($B34="","",TRIM(SUBSTITUTE(SUBSTITUTE(SUBSTITUTE(SUBSTITUTE(SUBSTITUTE(SUBSTITUTE(UPPER(IFERROR(INDEX('Registro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4" s="14" t="str">
        <f aca="false">IF($B34="","",TRIM(SUBSTITUTE(SUBSTITUTE(SUBSTITUTE(SUBSTITUTE(SUBSTITUTE(SUBSTITUTE(UPPER(IFERROR(INDEX('Registro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4" s="13" t="str">
        <f aca="false">IF($B34="","",TRIM(SUBSTITUTE(SUBSTITUTE(SUBSTITUTE(SUBSTITUTE(SUBSTITUTE(SUBSTITUTE(UPPER(IFERROR(INDEX('Registro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4" s="25" t="str">
        <f aca="false">IF($B34="","",IFERROR(INDEX('Registro de Comisión'!$H$5:$H$304,MATCH(ROW()-21,'Registro de Comisión'!$P$5:$P$304,0)),""))</f>
        <v/>
      </c>
      <c r="J34" s="14" t="str">
        <f aca="false">IF($B34="","",TRIM(SUBSTITUTE(SUBSTITUTE(SUBSTITUTE(SUBSTITUTE(SUBSTITUTE(SUBSTITUTE(UPPER(IFERROR(INDEX(tblPeriodos[Institución en el Período],MATCH($B34&amp;"-1",tblPeriodos[Clave (uso interno)],0)),"SIN PERIODO REGISTRADO")),"Á","A"),"É","E"),"Í","I"),"Ó","O"),"Ú","U"),"Ü","U")))</f>
        <v/>
      </c>
      <c r="K34" s="16" t="str">
        <f aca="false">IF($B34="","",IFERROR(_xlfn.MINIFS(tblPeriodos[Fecha Inicio del Período],tblPeriodos[Cédula],$B34),""))</f>
        <v/>
      </c>
      <c r="L34" s="16" t="str">
        <f aca="false">IF($B34="","",IFERROR(_xlfn.MAXIFS(tblPeriodos[Fecha Fin del Período],tblPeriodos[Cédula],$B34),""))</f>
        <v/>
      </c>
      <c r="M34" s="13" t="str">
        <f aca="false">IF($B34="","",COUNTIFS(tblPeriodos[Cédula],$B34))</f>
        <v/>
      </c>
      <c r="N34" s="17" t="str">
        <f aca="false">IF($B34="","",SUMIFS(tblPeriodos[Días del Período],tblPeriodos[Cédula],$B34))</f>
        <v/>
      </c>
      <c r="O34" s="18" t="str">
        <f aca="false">IF($B34="","",ROUND(N34/365.25,1))</f>
        <v/>
      </c>
      <c r="P34" s="16" t="str">
        <f aca="false">IF($B34="","",EDATE(K34,72))</f>
        <v/>
      </c>
      <c r="Q34" s="17" t="str">
        <f aca="true">IF($B34="","",P34-TODAY())</f>
        <v/>
      </c>
      <c r="R34" s="13" t="str">
        <f aca="false">IF($B34="","",IF(Q34&lt;=0,"🔴 SUPERO LIMITE LEGAL",IF(Q34&lt;=180,"🟠 PROXIMO AL LIMITE (6 ANOS)",IF(Q34&lt;=365,"🟡 VIGILAR (&lt; 1 ANO)","🟢 DENTRO DEL LIMITE"))))</f>
        <v/>
      </c>
      <c r="S34" s="17" t="str">
        <f aca="true">IF($B34="","",L34-TODAY())</f>
        <v/>
      </c>
      <c r="T34" s="13" t="str">
        <f aca="false">IF($B34="","",IF(S34&lt;0,"🔴 COMISION VENCIDA",IF(S34&lt;=90,"🟠 VENCE PRONTO (&lt;=90 DIAS)",IF(S34&lt;=180,"🟡 PROXIMA A VENCER (&lt;=180 DIAS)","🟢 VIGENTE"))))</f>
        <v/>
      </c>
      <c r="U34" s="13" t="str">
        <f aca="false">IF($B34="","",IF(ABS(N34-(L34-K34+1))&lt;=3,"CONTINUA","CON INTERRUPCIONES - REVISAR"))</f>
        <v/>
      </c>
      <c r="V34" s="14" t="str">
        <f aca="false">IF($B34="","",TRIM(SUBSTITUTE(SUBSTITUTE(SUBSTITUTE(SUBSTITUTE(SUBSTITUTE(SUBSTITUTE(UPPER(IFERROR(INDEX('Registro de Comisión'!$L$5:$L$304,MATCH($B34&amp;"-ACT",'Registro de Comisión'!$N$5:$N$304,0)),"SIN REGISTRAR")),"Á","A"),"É","E"),"Í","I"),"Ó","O"),"Ú","U"),"Ü","U")))</f>
        <v/>
      </c>
      <c r="W34" s="14"/>
    </row>
    <row r="35" customFormat="false" ht="15" hidden="false" customHeight="false" outlineLevel="0" collapsed="false">
      <c r="A35" s="19" t="str">
        <f aca="false">IF($B35="","",ROW()-6)</f>
        <v/>
      </c>
      <c r="B35" s="19" t="str">
        <f aca="false">IFERROR(INDEX('Registro de Comisión'!$A$5:$A$304,MATCH(ROW()-21,'Registro de Comisión'!$P$5:$P$304,0)),"")</f>
        <v/>
      </c>
      <c r="C35" s="20" t="str">
        <f aca="false">IF($B35="","",TRIM(SUBSTITUTE(SUBSTITUTE(SUBSTITUTE(SUBSTITUTE(SUBSTITUTE(SUBSTITUTE(UPPER(IFERROR(INDEX('Registro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5" s="19" t="str">
        <f aca="false">IF($B35="","",TRIM(SUBSTITUTE(SUBSTITUTE(SUBSTITUTE(SUBSTITUTE(SUBSTITUTE(SUBSTITUTE(UPPER(IFERROR(INDEX('Registro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5" s="20" t="str">
        <f aca="false">IF($B35="","",TRIM(SUBSTITUTE(SUBSTITUTE(SUBSTITUTE(SUBSTITUTE(SUBSTITUTE(SUBSTITUTE(UPPER(IFERROR(INDEX('Registro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5" s="20" t="str">
        <f aca="false">IF($B35="","",TRIM(SUBSTITUTE(SUBSTITUTE(SUBSTITUTE(SUBSTITUTE(SUBSTITUTE(SUBSTITUTE(UPPER(IFERROR(INDEX('Registro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5" s="20" t="str">
        <f aca="false">IF($B35="","",TRIM(SUBSTITUTE(SUBSTITUTE(SUBSTITUTE(SUBSTITUTE(SUBSTITUTE(SUBSTITUTE(UPPER(IFERROR(INDEX('Registro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5" s="19" t="str">
        <f aca="false">IF($B35="","",TRIM(SUBSTITUTE(SUBSTITUTE(SUBSTITUTE(SUBSTITUTE(SUBSTITUTE(SUBSTITUTE(UPPER(IFERROR(INDEX('Registro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5" s="26" t="str">
        <f aca="false">IF($B35="","",IFERROR(INDEX('Registro de Comisión'!$H$5:$H$304,MATCH(ROW()-21,'Registro de Comisión'!$P$5:$P$304,0)),""))</f>
        <v/>
      </c>
      <c r="J35" s="20" t="str">
        <f aca="false">IF($B35="","",TRIM(SUBSTITUTE(SUBSTITUTE(SUBSTITUTE(SUBSTITUTE(SUBSTITUTE(SUBSTITUTE(UPPER(IFERROR(INDEX(tblPeriodos[Institución en el Período],MATCH($B35&amp;"-1",tblPeriodos[Clave (uso interno)],0)),"SIN PERIODO REGISTRADO")),"Á","A"),"É","E"),"Í","I"),"Ó","O"),"Ú","U"),"Ü","U")))</f>
        <v/>
      </c>
      <c r="K35" s="22" t="str">
        <f aca="false">IF($B35="","",IFERROR(_xlfn.MINIFS(tblPeriodos[Fecha Inicio del Período],tblPeriodos[Cédula],$B35),""))</f>
        <v/>
      </c>
      <c r="L35" s="22" t="str">
        <f aca="false">IF($B35="","",IFERROR(_xlfn.MAXIFS(tblPeriodos[Fecha Fin del Período],tblPeriodos[Cédula],$B35),""))</f>
        <v/>
      </c>
      <c r="M35" s="19" t="str">
        <f aca="false">IF($B35="","",COUNTIFS(tblPeriodos[Cédula],$B35))</f>
        <v/>
      </c>
      <c r="N35" s="23" t="str">
        <f aca="false">IF($B35="","",SUMIFS(tblPeriodos[Días del Período],tblPeriodos[Cédula],$B35))</f>
        <v/>
      </c>
      <c r="O35" s="24" t="str">
        <f aca="false">IF($B35="","",ROUND(N35/365.25,1))</f>
        <v/>
      </c>
      <c r="P35" s="22" t="str">
        <f aca="false">IF($B35="","",EDATE(K35,72))</f>
        <v/>
      </c>
      <c r="Q35" s="23" t="str">
        <f aca="true">IF($B35="","",P35-TODAY())</f>
        <v/>
      </c>
      <c r="R35" s="19" t="str">
        <f aca="false">IF($B35="","",IF(Q35&lt;=0,"🔴 SUPERO LIMITE LEGAL",IF(Q35&lt;=180,"🟠 PROXIMO AL LIMITE (6 ANOS)",IF(Q35&lt;=365,"🟡 VIGILAR (&lt; 1 ANO)","🟢 DENTRO DEL LIMITE"))))</f>
        <v/>
      </c>
      <c r="S35" s="23" t="str">
        <f aca="true">IF($B35="","",L35-TODAY())</f>
        <v/>
      </c>
      <c r="T35" s="19" t="str">
        <f aca="false">IF($B35="","",IF(S35&lt;0,"🔴 COMISION VENCIDA",IF(S35&lt;=90,"🟠 VENCE PRONTO (&lt;=90 DIAS)",IF(S35&lt;=180,"🟡 PROXIMA A VENCER (&lt;=180 DIAS)","🟢 VIGENTE"))))</f>
        <v/>
      </c>
      <c r="U35" s="19" t="str">
        <f aca="false">IF($B35="","",IF(ABS(N35-(L35-K35+1))&lt;=3,"CONTINUA","CON INTERRUPCIONES - REVISAR"))</f>
        <v/>
      </c>
      <c r="V35" s="20" t="str">
        <f aca="false">IF($B35="","",TRIM(SUBSTITUTE(SUBSTITUTE(SUBSTITUTE(SUBSTITUTE(SUBSTITUTE(SUBSTITUTE(UPPER(IFERROR(INDEX('Registro de Comisión'!$L$5:$L$304,MATCH($B35&amp;"-ACT",'Registro de Comisión'!$N$5:$N$304,0)),"SIN REGISTRAR")),"Á","A"),"É","E"),"Í","I"),"Ó","O"),"Ú","U"),"Ü","U")))</f>
        <v/>
      </c>
      <c r="W35" s="20"/>
    </row>
    <row r="36" customFormat="false" ht="15" hidden="false" customHeight="false" outlineLevel="0" collapsed="false">
      <c r="A36" s="13" t="str">
        <f aca="false">IF($B36="","",ROW()-6)</f>
        <v/>
      </c>
      <c r="B36" s="13" t="str">
        <f aca="false">IFERROR(INDEX('Registro de Comisión'!$A$5:$A$304,MATCH(ROW()-21,'Registro de Comisión'!$P$5:$P$304,0)),"")</f>
        <v/>
      </c>
      <c r="C36" s="14" t="str">
        <f aca="false">IF($B36="","",TRIM(SUBSTITUTE(SUBSTITUTE(SUBSTITUTE(SUBSTITUTE(SUBSTITUTE(SUBSTITUTE(UPPER(IFERROR(INDEX('Registro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6" s="13" t="str">
        <f aca="false">IF($B36="","",TRIM(SUBSTITUTE(SUBSTITUTE(SUBSTITUTE(SUBSTITUTE(SUBSTITUTE(SUBSTITUTE(UPPER(IFERROR(INDEX('Registro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6" s="14" t="str">
        <f aca="false">IF($B36="","",TRIM(SUBSTITUTE(SUBSTITUTE(SUBSTITUTE(SUBSTITUTE(SUBSTITUTE(SUBSTITUTE(UPPER(IFERROR(INDEX('Registro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6" s="14" t="str">
        <f aca="false">IF($B36="","",TRIM(SUBSTITUTE(SUBSTITUTE(SUBSTITUTE(SUBSTITUTE(SUBSTITUTE(SUBSTITUTE(UPPER(IFERROR(INDEX('Registro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6" s="14" t="str">
        <f aca="false">IF($B36="","",TRIM(SUBSTITUTE(SUBSTITUTE(SUBSTITUTE(SUBSTITUTE(SUBSTITUTE(SUBSTITUTE(UPPER(IFERROR(INDEX('Registro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6" s="13" t="str">
        <f aca="false">IF($B36="","",TRIM(SUBSTITUTE(SUBSTITUTE(SUBSTITUTE(SUBSTITUTE(SUBSTITUTE(SUBSTITUTE(UPPER(IFERROR(INDEX('Registro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6" s="25" t="str">
        <f aca="false">IF($B36="","",IFERROR(INDEX('Registro de Comisión'!$H$5:$H$304,MATCH(ROW()-21,'Registro de Comisión'!$P$5:$P$304,0)),""))</f>
        <v/>
      </c>
      <c r="J36" s="14" t="str">
        <f aca="false">IF($B36="","",TRIM(SUBSTITUTE(SUBSTITUTE(SUBSTITUTE(SUBSTITUTE(SUBSTITUTE(SUBSTITUTE(UPPER(IFERROR(INDEX(tblPeriodos[Institución en el Período],MATCH($B36&amp;"-1",tblPeriodos[Clave (uso interno)],0)),"SIN PERIODO REGISTRADO")),"Á","A"),"É","E"),"Í","I"),"Ó","O"),"Ú","U"),"Ü","U")))</f>
        <v/>
      </c>
      <c r="K36" s="16" t="str">
        <f aca="false">IF($B36="","",IFERROR(_xlfn.MINIFS(tblPeriodos[Fecha Inicio del Período],tblPeriodos[Cédula],$B36),""))</f>
        <v/>
      </c>
      <c r="L36" s="16" t="str">
        <f aca="false">IF($B36="","",IFERROR(_xlfn.MAXIFS(tblPeriodos[Fecha Fin del Período],tblPeriodos[Cédula],$B36),""))</f>
        <v/>
      </c>
      <c r="M36" s="13" t="str">
        <f aca="false">IF($B36="","",COUNTIFS(tblPeriodos[Cédula],$B36))</f>
        <v/>
      </c>
      <c r="N36" s="17" t="str">
        <f aca="false">IF($B36="","",SUMIFS(tblPeriodos[Días del Período],tblPeriodos[Cédula],$B36))</f>
        <v/>
      </c>
      <c r="O36" s="18" t="str">
        <f aca="false">IF($B36="","",ROUND(N36/365.25,1))</f>
        <v/>
      </c>
      <c r="P36" s="16" t="str">
        <f aca="false">IF($B36="","",EDATE(K36,72))</f>
        <v/>
      </c>
      <c r="Q36" s="17" t="str">
        <f aca="true">IF($B36="","",P36-TODAY())</f>
        <v/>
      </c>
      <c r="R36" s="13" t="str">
        <f aca="false">IF($B36="","",IF(Q36&lt;=0,"🔴 SUPERO LIMITE LEGAL",IF(Q36&lt;=180,"🟠 PROXIMO AL LIMITE (6 ANOS)",IF(Q36&lt;=365,"🟡 VIGILAR (&lt; 1 ANO)","🟢 DENTRO DEL LIMITE"))))</f>
        <v/>
      </c>
      <c r="S36" s="17" t="str">
        <f aca="true">IF($B36="","",L36-TODAY())</f>
        <v/>
      </c>
      <c r="T36" s="13" t="str">
        <f aca="false">IF($B36="","",IF(S36&lt;0,"🔴 COMISION VENCIDA",IF(S36&lt;=90,"🟠 VENCE PRONTO (&lt;=90 DIAS)",IF(S36&lt;=180,"🟡 PROXIMA A VENCER (&lt;=180 DIAS)","🟢 VIGENTE"))))</f>
        <v/>
      </c>
      <c r="U36" s="13" t="str">
        <f aca="false">IF($B36="","",IF(ABS(N36-(L36-K36+1))&lt;=3,"CONTINUA","CON INTERRUPCIONES - REVISAR"))</f>
        <v/>
      </c>
      <c r="V36" s="14" t="str">
        <f aca="false">IF($B36="","",TRIM(SUBSTITUTE(SUBSTITUTE(SUBSTITUTE(SUBSTITUTE(SUBSTITUTE(SUBSTITUTE(UPPER(IFERROR(INDEX('Registro de Comisión'!$L$5:$L$304,MATCH($B36&amp;"-ACT",'Registro de Comisión'!$N$5:$N$304,0)),"SIN REGISTRAR")),"Á","A"),"É","E"),"Í","I"),"Ó","O"),"Ú","U"),"Ü","U")))</f>
        <v/>
      </c>
      <c r="W36" s="14"/>
    </row>
    <row r="37" customFormat="false" ht="15" hidden="false" customHeight="false" outlineLevel="0" collapsed="false">
      <c r="A37" s="19" t="str">
        <f aca="false">IF($B37="","",ROW()-6)</f>
        <v/>
      </c>
      <c r="B37" s="19" t="str">
        <f aca="false">IFERROR(INDEX('Registro de Comisión'!$A$5:$A$304,MATCH(ROW()-21,'Registro de Comisión'!$P$5:$P$304,0)),"")</f>
        <v/>
      </c>
      <c r="C37" s="20" t="str">
        <f aca="false">IF($B37="","",TRIM(SUBSTITUTE(SUBSTITUTE(SUBSTITUTE(SUBSTITUTE(SUBSTITUTE(SUBSTITUTE(UPPER(IFERROR(INDEX('Registro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7" s="19" t="str">
        <f aca="false">IF($B37="","",TRIM(SUBSTITUTE(SUBSTITUTE(SUBSTITUTE(SUBSTITUTE(SUBSTITUTE(SUBSTITUTE(UPPER(IFERROR(INDEX('Registro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7" s="20" t="str">
        <f aca="false">IF($B37="","",TRIM(SUBSTITUTE(SUBSTITUTE(SUBSTITUTE(SUBSTITUTE(SUBSTITUTE(SUBSTITUTE(UPPER(IFERROR(INDEX('Registro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7" s="20" t="str">
        <f aca="false">IF($B37="","",TRIM(SUBSTITUTE(SUBSTITUTE(SUBSTITUTE(SUBSTITUTE(SUBSTITUTE(SUBSTITUTE(UPPER(IFERROR(INDEX('Registro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7" s="20" t="str">
        <f aca="false">IF($B37="","",TRIM(SUBSTITUTE(SUBSTITUTE(SUBSTITUTE(SUBSTITUTE(SUBSTITUTE(SUBSTITUTE(UPPER(IFERROR(INDEX('Registro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7" s="19" t="str">
        <f aca="false">IF($B37="","",TRIM(SUBSTITUTE(SUBSTITUTE(SUBSTITUTE(SUBSTITUTE(SUBSTITUTE(SUBSTITUTE(UPPER(IFERROR(INDEX('Registro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7" s="26" t="str">
        <f aca="false">IF($B37="","",IFERROR(INDEX('Registro de Comisión'!$H$5:$H$304,MATCH(ROW()-21,'Registro de Comisión'!$P$5:$P$304,0)),""))</f>
        <v/>
      </c>
      <c r="J37" s="20" t="str">
        <f aca="false">IF($B37="","",TRIM(SUBSTITUTE(SUBSTITUTE(SUBSTITUTE(SUBSTITUTE(SUBSTITUTE(SUBSTITUTE(UPPER(IFERROR(INDEX(tblPeriodos[Institución en el Período],MATCH($B37&amp;"-1",tblPeriodos[Clave (uso interno)],0)),"SIN PERIODO REGISTRADO")),"Á","A"),"É","E"),"Í","I"),"Ó","O"),"Ú","U"),"Ü","U")))</f>
        <v/>
      </c>
      <c r="K37" s="22" t="str">
        <f aca="false">IF($B37="","",IFERROR(_xlfn.MINIFS(tblPeriodos[Fecha Inicio del Período],tblPeriodos[Cédula],$B37),""))</f>
        <v/>
      </c>
      <c r="L37" s="22" t="str">
        <f aca="false">IF($B37="","",IFERROR(_xlfn.MAXIFS(tblPeriodos[Fecha Fin del Período],tblPeriodos[Cédula],$B37),""))</f>
        <v/>
      </c>
      <c r="M37" s="19" t="str">
        <f aca="false">IF($B37="","",COUNTIFS(tblPeriodos[Cédula],$B37))</f>
        <v/>
      </c>
      <c r="N37" s="23" t="str">
        <f aca="false">IF($B37="","",SUMIFS(tblPeriodos[Días del Período],tblPeriodos[Cédula],$B37))</f>
        <v/>
      </c>
      <c r="O37" s="24" t="str">
        <f aca="false">IF($B37="","",ROUND(N37/365.25,1))</f>
        <v/>
      </c>
      <c r="P37" s="22" t="str">
        <f aca="false">IF($B37="","",EDATE(K37,72))</f>
        <v/>
      </c>
      <c r="Q37" s="23" t="str">
        <f aca="true">IF($B37="","",P37-TODAY())</f>
        <v/>
      </c>
      <c r="R37" s="19" t="str">
        <f aca="false">IF($B37="","",IF(Q37&lt;=0,"🔴 SUPERO LIMITE LEGAL",IF(Q37&lt;=180,"🟠 PROXIMO AL LIMITE (6 ANOS)",IF(Q37&lt;=365,"🟡 VIGILAR (&lt; 1 ANO)","🟢 DENTRO DEL LIMITE"))))</f>
        <v/>
      </c>
      <c r="S37" s="23" t="str">
        <f aca="true">IF($B37="","",L37-TODAY())</f>
        <v/>
      </c>
      <c r="T37" s="19" t="str">
        <f aca="false">IF($B37="","",IF(S37&lt;0,"🔴 COMISION VENCIDA",IF(S37&lt;=90,"🟠 VENCE PRONTO (&lt;=90 DIAS)",IF(S37&lt;=180,"🟡 PROXIMA A VENCER (&lt;=180 DIAS)","🟢 VIGENTE"))))</f>
        <v/>
      </c>
      <c r="U37" s="19" t="str">
        <f aca="false">IF($B37="","",IF(ABS(N37-(L37-K37+1))&lt;=3,"CONTINUA","CON INTERRUPCIONES - REVISAR"))</f>
        <v/>
      </c>
      <c r="V37" s="20" t="str">
        <f aca="false">IF($B37="","",TRIM(SUBSTITUTE(SUBSTITUTE(SUBSTITUTE(SUBSTITUTE(SUBSTITUTE(SUBSTITUTE(UPPER(IFERROR(INDEX('Registro de Comisión'!$L$5:$L$304,MATCH($B37&amp;"-ACT",'Registro de Comisión'!$N$5:$N$304,0)),"SIN REGISTRAR")),"Á","A"),"É","E"),"Í","I"),"Ó","O"),"Ú","U"),"Ü","U")))</f>
        <v/>
      </c>
      <c r="W37" s="20"/>
    </row>
    <row r="38" customFormat="false" ht="15" hidden="false" customHeight="false" outlineLevel="0" collapsed="false">
      <c r="A38" s="13" t="str">
        <f aca="false">IF($B38="","",ROW()-6)</f>
        <v/>
      </c>
      <c r="B38" s="13" t="str">
        <f aca="false">IFERROR(INDEX('Registro de Comisión'!$A$5:$A$304,MATCH(ROW()-21,'Registro de Comisión'!$P$5:$P$304,0)),"")</f>
        <v/>
      </c>
      <c r="C38" s="14" t="str">
        <f aca="false">IF($B38="","",TRIM(SUBSTITUTE(SUBSTITUTE(SUBSTITUTE(SUBSTITUTE(SUBSTITUTE(SUBSTITUTE(UPPER(IFERROR(INDEX('Registro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8" s="13" t="str">
        <f aca="false">IF($B38="","",TRIM(SUBSTITUTE(SUBSTITUTE(SUBSTITUTE(SUBSTITUTE(SUBSTITUTE(SUBSTITUTE(UPPER(IFERROR(INDEX('Registro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8" s="14" t="str">
        <f aca="false">IF($B38="","",TRIM(SUBSTITUTE(SUBSTITUTE(SUBSTITUTE(SUBSTITUTE(SUBSTITUTE(SUBSTITUTE(UPPER(IFERROR(INDEX('Registro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8" s="14" t="str">
        <f aca="false">IF($B38="","",TRIM(SUBSTITUTE(SUBSTITUTE(SUBSTITUTE(SUBSTITUTE(SUBSTITUTE(SUBSTITUTE(UPPER(IFERROR(INDEX('Registro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8" s="14" t="str">
        <f aca="false">IF($B38="","",TRIM(SUBSTITUTE(SUBSTITUTE(SUBSTITUTE(SUBSTITUTE(SUBSTITUTE(SUBSTITUTE(UPPER(IFERROR(INDEX('Registro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8" s="13" t="str">
        <f aca="false">IF($B38="","",TRIM(SUBSTITUTE(SUBSTITUTE(SUBSTITUTE(SUBSTITUTE(SUBSTITUTE(SUBSTITUTE(UPPER(IFERROR(INDEX('Registro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8" s="25" t="str">
        <f aca="false">IF($B38="","",IFERROR(INDEX('Registro de Comisión'!$H$5:$H$304,MATCH(ROW()-21,'Registro de Comisión'!$P$5:$P$304,0)),""))</f>
        <v/>
      </c>
      <c r="J38" s="14" t="str">
        <f aca="false">IF($B38="","",TRIM(SUBSTITUTE(SUBSTITUTE(SUBSTITUTE(SUBSTITUTE(SUBSTITUTE(SUBSTITUTE(UPPER(IFERROR(INDEX(tblPeriodos[Institución en el Período],MATCH($B38&amp;"-1",tblPeriodos[Clave (uso interno)],0)),"SIN PERIODO REGISTRADO")),"Á","A"),"É","E"),"Í","I"),"Ó","O"),"Ú","U"),"Ü","U")))</f>
        <v/>
      </c>
      <c r="K38" s="16" t="str">
        <f aca="false">IF($B38="","",IFERROR(_xlfn.MINIFS(tblPeriodos[Fecha Inicio del Período],tblPeriodos[Cédula],$B38),""))</f>
        <v/>
      </c>
      <c r="L38" s="16" t="str">
        <f aca="false">IF($B38="","",IFERROR(_xlfn.MAXIFS(tblPeriodos[Fecha Fin del Período],tblPeriodos[Cédula],$B38),""))</f>
        <v/>
      </c>
      <c r="M38" s="13" t="str">
        <f aca="false">IF($B38="","",COUNTIFS(tblPeriodos[Cédula],$B38))</f>
        <v/>
      </c>
      <c r="N38" s="17" t="str">
        <f aca="false">IF($B38="","",SUMIFS(tblPeriodos[Días del Período],tblPeriodos[Cédula],$B38))</f>
        <v/>
      </c>
      <c r="O38" s="18" t="str">
        <f aca="false">IF($B38="","",ROUND(N38/365.25,1))</f>
        <v/>
      </c>
      <c r="P38" s="16" t="str">
        <f aca="false">IF($B38="","",EDATE(K38,72))</f>
        <v/>
      </c>
      <c r="Q38" s="17" t="str">
        <f aca="true">IF($B38="","",P38-TODAY())</f>
        <v/>
      </c>
      <c r="R38" s="13" t="str">
        <f aca="false">IF($B38="","",IF(Q38&lt;=0,"🔴 SUPERO LIMITE LEGAL",IF(Q38&lt;=180,"🟠 PROXIMO AL LIMITE (6 ANOS)",IF(Q38&lt;=365,"🟡 VIGILAR (&lt; 1 ANO)","🟢 DENTRO DEL LIMITE"))))</f>
        <v/>
      </c>
      <c r="S38" s="17" t="str">
        <f aca="true">IF($B38="","",L38-TODAY())</f>
        <v/>
      </c>
      <c r="T38" s="13" t="str">
        <f aca="false">IF($B38="","",IF(S38&lt;0,"🔴 COMISION VENCIDA",IF(S38&lt;=90,"🟠 VENCE PRONTO (&lt;=90 DIAS)",IF(S38&lt;=180,"🟡 PROXIMA A VENCER (&lt;=180 DIAS)","🟢 VIGENTE"))))</f>
        <v/>
      </c>
      <c r="U38" s="13" t="str">
        <f aca="false">IF($B38="","",IF(ABS(N38-(L38-K38+1))&lt;=3,"CONTINUA","CON INTERRUPCIONES - REVISAR"))</f>
        <v/>
      </c>
      <c r="V38" s="14" t="str">
        <f aca="false">IF($B38="","",TRIM(SUBSTITUTE(SUBSTITUTE(SUBSTITUTE(SUBSTITUTE(SUBSTITUTE(SUBSTITUTE(UPPER(IFERROR(INDEX('Registro de Comisión'!$L$5:$L$304,MATCH($B38&amp;"-ACT",'Registro de Comisión'!$N$5:$N$304,0)),"SIN REGISTRAR")),"Á","A"),"É","E"),"Í","I"),"Ó","O"),"Ú","U"),"Ü","U")))</f>
        <v/>
      </c>
      <c r="W38" s="14"/>
    </row>
    <row r="39" customFormat="false" ht="15" hidden="false" customHeight="false" outlineLevel="0" collapsed="false">
      <c r="A39" s="19" t="str">
        <f aca="false">IF($B39="","",ROW()-6)</f>
        <v/>
      </c>
      <c r="B39" s="19" t="str">
        <f aca="false">IFERROR(INDEX('Registro de Comisión'!$A$5:$A$304,MATCH(ROW()-21,'Registro de Comisión'!$P$5:$P$304,0)),"")</f>
        <v/>
      </c>
      <c r="C39" s="20" t="str">
        <f aca="false">IF($B39="","",TRIM(SUBSTITUTE(SUBSTITUTE(SUBSTITUTE(SUBSTITUTE(SUBSTITUTE(SUBSTITUTE(UPPER(IFERROR(INDEX('Registro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39" s="19" t="str">
        <f aca="false">IF($B39="","",TRIM(SUBSTITUTE(SUBSTITUTE(SUBSTITUTE(SUBSTITUTE(SUBSTITUTE(SUBSTITUTE(UPPER(IFERROR(INDEX('Registro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39" s="20" t="str">
        <f aca="false">IF($B39="","",TRIM(SUBSTITUTE(SUBSTITUTE(SUBSTITUTE(SUBSTITUTE(SUBSTITUTE(SUBSTITUTE(UPPER(IFERROR(INDEX('Registro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39" s="20" t="str">
        <f aca="false">IF($B39="","",TRIM(SUBSTITUTE(SUBSTITUTE(SUBSTITUTE(SUBSTITUTE(SUBSTITUTE(SUBSTITUTE(UPPER(IFERROR(INDEX('Registro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39" s="20" t="str">
        <f aca="false">IF($B39="","",TRIM(SUBSTITUTE(SUBSTITUTE(SUBSTITUTE(SUBSTITUTE(SUBSTITUTE(SUBSTITUTE(UPPER(IFERROR(INDEX('Registro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39" s="19" t="str">
        <f aca="false">IF($B39="","",TRIM(SUBSTITUTE(SUBSTITUTE(SUBSTITUTE(SUBSTITUTE(SUBSTITUTE(SUBSTITUTE(UPPER(IFERROR(INDEX('Registro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39" s="26" t="str">
        <f aca="false">IF($B39="","",IFERROR(INDEX('Registro de Comisión'!$H$5:$H$304,MATCH(ROW()-21,'Registro de Comisión'!$P$5:$P$304,0)),""))</f>
        <v/>
      </c>
      <c r="J39" s="20" t="str">
        <f aca="false">IF($B39="","",TRIM(SUBSTITUTE(SUBSTITUTE(SUBSTITUTE(SUBSTITUTE(SUBSTITUTE(SUBSTITUTE(UPPER(IFERROR(INDEX(tblPeriodos[Institución en el Período],MATCH($B39&amp;"-1",tblPeriodos[Clave (uso interno)],0)),"SIN PERIODO REGISTRADO")),"Á","A"),"É","E"),"Í","I"),"Ó","O"),"Ú","U"),"Ü","U")))</f>
        <v/>
      </c>
      <c r="K39" s="22" t="str">
        <f aca="false">IF($B39="","",IFERROR(_xlfn.MINIFS(tblPeriodos[Fecha Inicio del Período],tblPeriodos[Cédula],$B39),""))</f>
        <v/>
      </c>
      <c r="L39" s="22" t="str">
        <f aca="false">IF($B39="","",IFERROR(_xlfn.MAXIFS(tblPeriodos[Fecha Fin del Período],tblPeriodos[Cédula],$B39),""))</f>
        <v/>
      </c>
      <c r="M39" s="19" t="str">
        <f aca="false">IF($B39="","",COUNTIFS(tblPeriodos[Cédula],$B39))</f>
        <v/>
      </c>
      <c r="N39" s="23" t="str">
        <f aca="false">IF($B39="","",SUMIFS(tblPeriodos[Días del Período],tblPeriodos[Cédula],$B39))</f>
        <v/>
      </c>
      <c r="O39" s="24" t="str">
        <f aca="false">IF($B39="","",ROUND(N39/365.25,1))</f>
        <v/>
      </c>
      <c r="P39" s="22" t="str">
        <f aca="false">IF($B39="","",EDATE(K39,72))</f>
        <v/>
      </c>
      <c r="Q39" s="23" t="str">
        <f aca="true">IF($B39="","",P39-TODAY())</f>
        <v/>
      </c>
      <c r="R39" s="19" t="str">
        <f aca="false">IF($B39="","",IF(Q39&lt;=0,"🔴 SUPERO LIMITE LEGAL",IF(Q39&lt;=180,"🟠 PROXIMO AL LIMITE (6 ANOS)",IF(Q39&lt;=365,"🟡 VIGILAR (&lt; 1 ANO)","🟢 DENTRO DEL LIMITE"))))</f>
        <v/>
      </c>
      <c r="S39" s="23" t="str">
        <f aca="true">IF($B39="","",L39-TODAY())</f>
        <v/>
      </c>
      <c r="T39" s="19" t="str">
        <f aca="false">IF($B39="","",IF(S39&lt;0,"🔴 COMISION VENCIDA",IF(S39&lt;=90,"🟠 VENCE PRONTO (&lt;=90 DIAS)",IF(S39&lt;=180,"🟡 PROXIMA A VENCER (&lt;=180 DIAS)","🟢 VIGENTE"))))</f>
        <v/>
      </c>
      <c r="U39" s="19" t="str">
        <f aca="false">IF($B39="","",IF(ABS(N39-(L39-K39+1))&lt;=3,"CONTINUA","CON INTERRUPCIONES - REVISAR"))</f>
        <v/>
      </c>
      <c r="V39" s="20" t="str">
        <f aca="false">IF($B39="","",TRIM(SUBSTITUTE(SUBSTITUTE(SUBSTITUTE(SUBSTITUTE(SUBSTITUTE(SUBSTITUTE(UPPER(IFERROR(INDEX('Registro de Comisión'!$L$5:$L$304,MATCH($B39&amp;"-ACT",'Registro de Comisión'!$N$5:$N$304,0)),"SIN REGISTRAR")),"Á","A"),"É","E"),"Í","I"),"Ó","O"),"Ú","U"),"Ü","U")))</f>
        <v/>
      </c>
      <c r="W39" s="20"/>
    </row>
    <row r="40" customFormat="false" ht="15" hidden="false" customHeight="false" outlineLevel="0" collapsed="false">
      <c r="A40" s="13" t="str">
        <f aca="false">IF($B40="","",ROW()-6)</f>
        <v/>
      </c>
      <c r="B40" s="13" t="str">
        <f aca="false">IFERROR(INDEX('Registro de Comisión'!$A$5:$A$304,MATCH(ROW()-21,'Registro de Comisión'!$P$5:$P$304,0)),"")</f>
        <v/>
      </c>
      <c r="C40" s="14" t="str">
        <f aca="false">IF($B40="","",TRIM(SUBSTITUTE(SUBSTITUTE(SUBSTITUTE(SUBSTITUTE(SUBSTITUTE(SUBSTITUTE(UPPER(IFERROR(INDEX('Registro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0" s="13" t="str">
        <f aca="false">IF($B40="","",TRIM(SUBSTITUTE(SUBSTITUTE(SUBSTITUTE(SUBSTITUTE(SUBSTITUTE(SUBSTITUTE(UPPER(IFERROR(INDEX('Registro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0" s="14" t="str">
        <f aca="false">IF($B40="","",TRIM(SUBSTITUTE(SUBSTITUTE(SUBSTITUTE(SUBSTITUTE(SUBSTITUTE(SUBSTITUTE(UPPER(IFERROR(INDEX('Registro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0" s="14" t="str">
        <f aca="false">IF($B40="","",TRIM(SUBSTITUTE(SUBSTITUTE(SUBSTITUTE(SUBSTITUTE(SUBSTITUTE(SUBSTITUTE(UPPER(IFERROR(INDEX('Registro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0" s="14" t="str">
        <f aca="false">IF($B40="","",TRIM(SUBSTITUTE(SUBSTITUTE(SUBSTITUTE(SUBSTITUTE(SUBSTITUTE(SUBSTITUTE(UPPER(IFERROR(INDEX('Registro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0" s="13" t="str">
        <f aca="false">IF($B40="","",TRIM(SUBSTITUTE(SUBSTITUTE(SUBSTITUTE(SUBSTITUTE(SUBSTITUTE(SUBSTITUTE(UPPER(IFERROR(INDEX('Registro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0" s="25" t="str">
        <f aca="false">IF($B40="","",IFERROR(INDEX('Registro de Comisión'!$H$5:$H$304,MATCH(ROW()-21,'Registro de Comisión'!$P$5:$P$304,0)),""))</f>
        <v/>
      </c>
      <c r="J40" s="14" t="str">
        <f aca="false">IF($B40="","",TRIM(SUBSTITUTE(SUBSTITUTE(SUBSTITUTE(SUBSTITUTE(SUBSTITUTE(SUBSTITUTE(UPPER(IFERROR(INDEX(tblPeriodos[Institución en el Período],MATCH($B40&amp;"-1",tblPeriodos[Clave (uso interno)],0)),"SIN PERIODO REGISTRADO")),"Á","A"),"É","E"),"Í","I"),"Ó","O"),"Ú","U"),"Ü","U")))</f>
        <v/>
      </c>
      <c r="K40" s="16" t="str">
        <f aca="false">IF($B40="","",IFERROR(_xlfn.MINIFS(tblPeriodos[Fecha Inicio del Período],tblPeriodos[Cédula],$B40),""))</f>
        <v/>
      </c>
      <c r="L40" s="16" t="str">
        <f aca="false">IF($B40="","",IFERROR(_xlfn.MAXIFS(tblPeriodos[Fecha Fin del Período],tblPeriodos[Cédula],$B40),""))</f>
        <v/>
      </c>
      <c r="M40" s="13" t="str">
        <f aca="false">IF($B40="","",COUNTIFS(tblPeriodos[Cédula],$B40))</f>
        <v/>
      </c>
      <c r="N40" s="17" t="str">
        <f aca="false">IF($B40="","",SUMIFS(tblPeriodos[Días del Período],tblPeriodos[Cédula],$B40))</f>
        <v/>
      </c>
      <c r="O40" s="18" t="str">
        <f aca="false">IF($B40="","",ROUND(N40/365.25,1))</f>
        <v/>
      </c>
      <c r="P40" s="16" t="str">
        <f aca="false">IF($B40="","",EDATE(K40,72))</f>
        <v/>
      </c>
      <c r="Q40" s="17" t="str">
        <f aca="true">IF($B40="","",P40-TODAY())</f>
        <v/>
      </c>
      <c r="R40" s="13" t="str">
        <f aca="false">IF($B40="","",IF(Q40&lt;=0,"🔴 SUPERO LIMITE LEGAL",IF(Q40&lt;=180,"🟠 PROXIMO AL LIMITE (6 ANOS)",IF(Q40&lt;=365,"🟡 VIGILAR (&lt; 1 ANO)","🟢 DENTRO DEL LIMITE"))))</f>
        <v/>
      </c>
      <c r="S40" s="17" t="str">
        <f aca="true">IF($B40="","",L40-TODAY())</f>
        <v/>
      </c>
      <c r="T40" s="13" t="str">
        <f aca="false">IF($B40="","",IF(S40&lt;0,"🔴 COMISION VENCIDA",IF(S40&lt;=90,"🟠 VENCE PRONTO (&lt;=90 DIAS)",IF(S40&lt;=180,"🟡 PROXIMA A VENCER (&lt;=180 DIAS)","🟢 VIGENTE"))))</f>
        <v/>
      </c>
      <c r="U40" s="13" t="str">
        <f aca="false">IF($B40="","",IF(ABS(N40-(L40-K40+1))&lt;=3,"CONTINUA","CON INTERRUPCIONES - REVISAR"))</f>
        <v/>
      </c>
      <c r="V40" s="14" t="str">
        <f aca="false">IF($B40="","",TRIM(SUBSTITUTE(SUBSTITUTE(SUBSTITUTE(SUBSTITUTE(SUBSTITUTE(SUBSTITUTE(UPPER(IFERROR(INDEX('Registro de Comisión'!$L$5:$L$304,MATCH($B40&amp;"-ACT",'Registro de Comisión'!$N$5:$N$304,0)),"SIN REGISTRAR")),"Á","A"),"É","E"),"Í","I"),"Ó","O"),"Ú","U"),"Ü","U")))</f>
        <v/>
      </c>
      <c r="W40" s="14"/>
    </row>
    <row r="41" customFormat="false" ht="15" hidden="false" customHeight="false" outlineLevel="0" collapsed="false">
      <c r="A41" s="19" t="str">
        <f aca="false">IF($B41="","",ROW()-6)</f>
        <v/>
      </c>
      <c r="B41" s="19" t="str">
        <f aca="false">IFERROR(INDEX('Registro de Comisión'!$A$5:$A$304,MATCH(ROW()-21,'Registro de Comisión'!$P$5:$P$304,0)),"")</f>
        <v/>
      </c>
      <c r="C41" s="20" t="str">
        <f aca="false">IF($B41="","",TRIM(SUBSTITUTE(SUBSTITUTE(SUBSTITUTE(SUBSTITUTE(SUBSTITUTE(SUBSTITUTE(UPPER(IFERROR(INDEX('Registro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1" s="19" t="str">
        <f aca="false">IF($B41="","",TRIM(SUBSTITUTE(SUBSTITUTE(SUBSTITUTE(SUBSTITUTE(SUBSTITUTE(SUBSTITUTE(UPPER(IFERROR(INDEX('Registro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1" s="20" t="str">
        <f aca="false">IF($B41="","",TRIM(SUBSTITUTE(SUBSTITUTE(SUBSTITUTE(SUBSTITUTE(SUBSTITUTE(SUBSTITUTE(UPPER(IFERROR(INDEX('Registro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1" s="20" t="str">
        <f aca="false">IF($B41="","",TRIM(SUBSTITUTE(SUBSTITUTE(SUBSTITUTE(SUBSTITUTE(SUBSTITUTE(SUBSTITUTE(UPPER(IFERROR(INDEX('Registro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1" s="20" t="str">
        <f aca="false">IF($B41="","",TRIM(SUBSTITUTE(SUBSTITUTE(SUBSTITUTE(SUBSTITUTE(SUBSTITUTE(SUBSTITUTE(UPPER(IFERROR(INDEX('Registro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1" s="19" t="str">
        <f aca="false">IF($B41="","",TRIM(SUBSTITUTE(SUBSTITUTE(SUBSTITUTE(SUBSTITUTE(SUBSTITUTE(SUBSTITUTE(UPPER(IFERROR(INDEX('Registro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1" s="26" t="str">
        <f aca="false">IF($B41="","",IFERROR(INDEX('Registro de Comisión'!$H$5:$H$304,MATCH(ROW()-21,'Registro de Comisión'!$P$5:$P$304,0)),""))</f>
        <v/>
      </c>
      <c r="J41" s="20" t="str">
        <f aca="false">IF($B41="","",TRIM(SUBSTITUTE(SUBSTITUTE(SUBSTITUTE(SUBSTITUTE(SUBSTITUTE(SUBSTITUTE(UPPER(IFERROR(INDEX(tblPeriodos[Institución en el Período],MATCH($B41&amp;"-1",tblPeriodos[Clave (uso interno)],0)),"SIN PERIODO REGISTRADO")),"Á","A"),"É","E"),"Í","I"),"Ó","O"),"Ú","U"),"Ü","U")))</f>
        <v/>
      </c>
      <c r="K41" s="22" t="str">
        <f aca="false">IF($B41="","",IFERROR(_xlfn.MINIFS(tblPeriodos[Fecha Inicio del Período],tblPeriodos[Cédula],$B41),""))</f>
        <v/>
      </c>
      <c r="L41" s="22" t="str">
        <f aca="false">IF($B41="","",IFERROR(_xlfn.MAXIFS(tblPeriodos[Fecha Fin del Período],tblPeriodos[Cédula],$B41),""))</f>
        <v/>
      </c>
      <c r="M41" s="19" t="str">
        <f aca="false">IF($B41="","",COUNTIFS(tblPeriodos[Cédula],$B41))</f>
        <v/>
      </c>
      <c r="N41" s="23" t="str">
        <f aca="false">IF($B41="","",SUMIFS(tblPeriodos[Días del Período],tblPeriodos[Cédula],$B41))</f>
        <v/>
      </c>
      <c r="O41" s="24" t="str">
        <f aca="false">IF($B41="","",ROUND(N41/365.25,1))</f>
        <v/>
      </c>
      <c r="P41" s="22" t="str">
        <f aca="false">IF($B41="","",EDATE(K41,72))</f>
        <v/>
      </c>
      <c r="Q41" s="23" t="str">
        <f aca="true">IF($B41="","",P41-TODAY())</f>
        <v/>
      </c>
      <c r="R41" s="19" t="str">
        <f aca="false">IF($B41="","",IF(Q41&lt;=0,"🔴 SUPERO LIMITE LEGAL",IF(Q41&lt;=180,"🟠 PROXIMO AL LIMITE (6 ANOS)",IF(Q41&lt;=365,"🟡 VIGILAR (&lt; 1 ANO)","🟢 DENTRO DEL LIMITE"))))</f>
        <v/>
      </c>
      <c r="S41" s="23" t="str">
        <f aca="true">IF($B41="","",L41-TODAY())</f>
        <v/>
      </c>
      <c r="T41" s="19" t="str">
        <f aca="false">IF($B41="","",IF(S41&lt;0,"🔴 COMISION VENCIDA",IF(S41&lt;=90,"🟠 VENCE PRONTO (&lt;=90 DIAS)",IF(S41&lt;=180,"🟡 PROXIMA A VENCER (&lt;=180 DIAS)","🟢 VIGENTE"))))</f>
        <v/>
      </c>
      <c r="U41" s="19" t="str">
        <f aca="false">IF($B41="","",IF(ABS(N41-(L41-K41+1))&lt;=3,"CONTINUA","CON INTERRUPCIONES - REVISAR"))</f>
        <v/>
      </c>
      <c r="V41" s="20" t="str">
        <f aca="false">IF($B41="","",TRIM(SUBSTITUTE(SUBSTITUTE(SUBSTITUTE(SUBSTITUTE(SUBSTITUTE(SUBSTITUTE(UPPER(IFERROR(INDEX('Registro de Comisión'!$L$5:$L$304,MATCH($B41&amp;"-ACT",'Registro de Comisión'!$N$5:$N$304,0)),"SIN REGISTRAR")),"Á","A"),"É","E"),"Í","I"),"Ó","O"),"Ú","U"),"Ü","U")))</f>
        <v/>
      </c>
      <c r="W41" s="20"/>
    </row>
    <row r="42" customFormat="false" ht="15" hidden="false" customHeight="false" outlineLevel="0" collapsed="false">
      <c r="A42" s="13" t="str">
        <f aca="false">IF($B42="","",ROW()-6)</f>
        <v/>
      </c>
      <c r="B42" s="13" t="str">
        <f aca="false">IFERROR(INDEX('Registro de Comisión'!$A$5:$A$304,MATCH(ROW()-21,'Registro de Comisión'!$P$5:$P$304,0)),"")</f>
        <v/>
      </c>
      <c r="C42" s="14" t="str">
        <f aca="false">IF($B42="","",TRIM(SUBSTITUTE(SUBSTITUTE(SUBSTITUTE(SUBSTITUTE(SUBSTITUTE(SUBSTITUTE(UPPER(IFERROR(INDEX('Registro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2" s="13" t="str">
        <f aca="false">IF($B42="","",TRIM(SUBSTITUTE(SUBSTITUTE(SUBSTITUTE(SUBSTITUTE(SUBSTITUTE(SUBSTITUTE(UPPER(IFERROR(INDEX('Registro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2" s="14" t="str">
        <f aca="false">IF($B42="","",TRIM(SUBSTITUTE(SUBSTITUTE(SUBSTITUTE(SUBSTITUTE(SUBSTITUTE(SUBSTITUTE(UPPER(IFERROR(INDEX('Registro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2" s="14" t="str">
        <f aca="false">IF($B42="","",TRIM(SUBSTITUTE(SUBSTITUTE(SUBSTITUTE(SUBSTITUTE(SUBSTITUTE(SUBSTITUTE(UPPER(IFERROR(INDEX('Registro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2" s="14" t="str">
        <f aca="false">IF($B42="","",TRIM(SUBSTITUTE(SUBSTITUTE(SUBSTITUTE(SUBSTITUTE(SUBSTITUTE(SUBSTITUTE(UPPER(IFERROR(INDEX('Registro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2" s="13" t="str">
        <f aca="false">IF($B42="","",TRIM(SUBSTITUTE(SUBSTITUTE(SUBSTITUTE(SUBSTITUTE(SUBSTITUTE(SUBSTITUTE(UPPER(IFERROR(INDEX('Registro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2" s="25" t="str">
        <f aca="false">IF($B42="","",IFERROR(INDEX('Registro de Comisión'!$H$5:$H$304,MATCH(ROW()-21,'Registro de Comisión'!$P$5:$P$304,0)),""))</f>
        <v/>
      </c>
      <c r="J42" s="14" t="str">
        <f aca="false">IF($B42="","",TRIM(SUBSTITUTE(SUBSTITUTE(SUBSTITUTE(SUBSTITUTE(SUBSTITUTE(SUBSTITUTE(UPPER(IFERROR(INDEX(tblPeriodos[Institución en el Período],MATCH($B42&amp;"-1",tblPeriodos[Clave (uso interno)],0)),"SIN PERIODO REGISTRADO")),"Á","A"),"É","E"),"Í","I"),"Ó","O"),"Ú","U"),"Ü","U")))</f>
        <v/>
      </c>
      <c r="K42" s="16" t="str">
        <f aca="false">IF($B42="","",IFERROR(_xlfn.MINIFS(tblPeriodos[Fecha Inicio del Período],tblPeriodos[Cédula],$B42),""))</f>
        <v/>
      </c>
      <c r="L42" s="16" t="str">
        <f aca="false">IF($B42="","",IFERROR(_xlfn.MAXIFS(tblPeriodos[Fecha Fin del Período],tblPeriodos[Cédula],$B42),""))</f>
        <v/>
      </c>
      <c r="M42" s="13" t="str">
        <f aca="false">IF($B42="","",COUNTIFS(tblPeriodos[Cédula],$B42))</f>
        <v/>
      </c>
      <c r="N42" s="17" t="str">
        <f aca="false">IF($B42="","",SUMIFS(tblPeriodos[Días del Período],tblPeriodos[Cédula],$B42))</f>
        <v/>
      </c>
      <c r="O42" s="18" t="str">
        <f aca="false">IF($B42="","",ROUND(N42/365.25,1))</f>
        <v/>
      </c>
      <c r="P42" s="16" t="str">
        <f aca="false">IF($B42="","",EDATE(K42,72))</f>
        <v/>
      </c>
      <c r="Q42" s="17" t="str">
        <f aca="true">IF($B42="","",P42-TODAY())</f>
        <v/>
      </c>
      <c r="R42" s="13" t="str">
        <f aca="false">IF($B42="","",IF(Q42&lt;=0,"🔴 SUPERO LIMITE LEGAL",IF(Q42&lt;=180,"🟠 PROXIMO AL LIMITE (6 ANOS)",IF(Q42&lt;=365,"🟡 VIGILAR (&lt; 1 ANO)","🟢 DENTRO DEL LIMITE"))))</f>
        <v/>
      </c>
      <c r="S42" s="17" t="str">
        <f aca="true">IF($B42="","",L42-TODAY())</f>
        <v/>
      </c>
      <c r="T42" s="13" t="str">
        <f aca="false">IF($B42="","",IF(S42&lt;0,"🔴 COMISION VENCIDA",IF(S42&lt;=90,"🟠 VENCE PRONTO (&lt;=90 DIAS)",IF(S42&lt;=180,"🟡 PROXIMA A VENCER (&lt;=180 DIAS)","🟢 VIGENTE"))))</f>
        <v/>
      </c>
      <c r="U42" s="13" t="str">
        <f aca="false">IF($B42="","",IF(ABS(N42-(L42-K42+1))&lt;=3,"CONTINUA","CON INTERRUPCIONES - REVISAR"))</f>
        <v/>
      </c>
      <c r="V42" s="14" t="str">
        <f aca="false">IF($B42="","",TRIM(SUBSTITUTE(SUBSTITUTE(SUBSTITUTE(SUBSTITUTE(SUBSTITUTE(SUBSTITUTE(UPPER(IFERROR(INDEX('Registro de Comisión'!$L$5:$L$304,MATCH($B42&amp;"-ACT",'Registro de Comisión'!$N$5:$N$304,0)),"SIN REGISTRAR")),"Á","A"),"É","E"),"Í","I"),"Ó","O"),"Ú","U"),"Ü","U")))</f>
        <v/>
      </c>
      <c r="W42" s="14"/>
    </row>
    <row r="43" customFormat="false" ht="15" hidden="false" customHeight="false" outlineLevel="0" collapsed="false">
      <c r="A43" s="19" t="str">
        <f aca="false">IF($B43="","",ROW()-6)</f>
        <v/>
      </c>
      <c r="B43" s="19" t="str">
        <f aca="false">IFERROR(INDEX('Registro de Comisión'!$A$5:$A$304,MATCH(ROW()-21,'Registro de Comisión'!$P$5:$P$304,0)),"")</f>
        <v/>
      </c>
      <c r="C43" s="20" t="str">
        <f aca="false">IF($B43="","",TRIM(SUBSTITUTE(SUBSTITUTE(SUBSTITUTE(SUBSTITUTE(SUBSTITUTE(SUBSTITUTE(UPPER(IFERROR(INDEX('Registro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3" s="19" t="str">
        <f aca="false">IF($B43="","",TRIM(SUBSTITUTE(SUBSTITUTE(SUBSTITUTE(SUBSTITUTE(SUBSTITUTE(SUBSTITUTE(UPPER(IFERROR(INDEX('Registro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3" s="20" t="str">
        <f aca="false">IF($B43="","",TRIM(SUBSTITUTE(SUBSTITUTE(SUBSTITUTE(SUBSTITUTE(SUBSTITUTE(SUBSTITUTE(UPPER(IFERROR(INDEX('Registro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3" s="20" t="str">
        <f aca="false">IF($B43="","",TRIM(SUBSTITUTE(SUBSTITUTE(SUBSTITUTE(SUBSTITUTE(SUBSTITUTE(SUBSTITUTE(UPPER(IFERROR(INDEX('Registro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3" s="20" t="str">
        <f aca="false">IF($B43="","",TRIM(SUBSTITUTE(SUBSTITUTE(SUBSTITUTE(SUBSTITUTE(SUBSTITUTE(SUBSTITUTE(UPPER(IFERROR(INDEX('Registro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3" s="19" t="str">
        <f aca="false">IF($B43="","",TRIM(SUBSTITUTE(SUBSTITUTE(SUBSTITUTE(SUBSTITUTE(SUBSTITUTE(SUBSTITUTE(UPPER(IFERROR(INDEX('Registro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3" s="26" t="str">
        <f aca="false">IF($B43="","",IFERROR(INDEX('Registro de Comisión'!$H$5:$H$304,MATCH(ROW()-21,'Registro de Comisión'!$P$5:$P$304,0)),""))</f>
        <v/>
      </c>
      <c r="J43" s="20" t="str">
        <f aca="false">IF($B43="","",TRIM(SUBSTITUTE(SUBSTITUTE(SUBSTITUTE(SUBSTITUTE(SUBSTITUTE(SUBSTITUTE(UPPER(IFERROR(INDEX(tblPeriodos[Institución en el Período],MATCH($B43&amp;"-1",tblPeriodos[Clave (uso interno)],0)),"SIN PERIODO REGISTRADO")),"Á","A"),"É","E"),"Í","I"),"Ó","O"),"Ú","U"),"Ü","U")))</f>
        <v/>
      </c>
      <c r="K43" s="22" t="str">
        <f aca="false">IF($B43="","",IFERROR(_xlfn.MINIFS(tblPeriodos[Fecha Inicio del Período],tblPeriodos[Cédula],$B43),""))</f>
        <v/>
      </c>
      <c r="L43" s="22" t="str">
        <f aca="false">IF($B43="","",IFERROR(_xlfn.MAXIFS(tblPeriodos[Fecha Fin del Período],tblPeriodos[Cédula],$B43),""))</f>
        <v/>
      </c>
      <c r="M43" s="19" t="str">
        <f aca="false">IF($B43="","",COUNTIFS(tblPeriodos[Cédula],$B43))</f>
        <v/>
      </c>
      <c r="N43" s="23" t="str">
        <f aca="false">IF($B43="","",SUMIFS(tblPeriodos[Días del Período],tblPeriodos[Cédula],$B43))</f>
        <v/>
      </c>
      <c r="O43" s="24" t="str">
        <f aca="false">IF($B43="","",ROUND(N43/365.25,1))</f>
        <v/>
      </c>
      <c r="P43" s="22" t="str">
        <f aca="false">IF($B43="","",EDATE(K43,72))</f>
        <v/>
      </c>
      <c r="Q43" s="23" t="str">
        <f aca="true">IF($B43="","",P43-TODAY())</f>
        <v/>
      </c>
      <c r="R43" s="19" t="str">
        <f aca="false">IF($B43="","",IF(Q43&lt;=0,"🔴 SUPERO LIMITE LEGAL",IF(Q43&lt;=180,"🟠 PROXIMO AL LIMITE (6 ANOS)",IF(Q43&lt;=365,"🟡 VIGILAR (&lt; 1 ANO)","🟢 DENTRO DEL LIMITE"))))</f>
        <v/>
      </c>
      <c r="S43" s="23" t="str">
        <f aca="true">IF($B43="","",L43-TODAY())</f>
        <v/>
      </c>
      <c r="T43" s="19" t="str">
        <f aca="false">IF($B43="","",IF(S43&lt;0,"🔴 COMISION VENCIDA",IF(S43&lt;=90,"🟠 VENCE PRONTO (&lt;=90 DIAS)",IF(S43&lt;=180,"🟡 PROXIMA A VENCER (&lt;=180 DIAS)","🟢 VIGENTE"))))</f>
        <v/>
      </c>
      <c r="U43" s="19" t="str">
        <f aca="false">IF($B43="","",IF(ABS(N43-(L43-K43+1))&lt;=3,"CONTINUA","CON INTERRUPCIONES - REVISAR"))</f>
        <v/>
      </c>
      <c r="V43" s="20" t="str">
        <f aca="false">IF($B43="","",TRIM(SUBSTITUTE(SUBSTITUTE(SUBSTITUTE(SUBSTITUTE(SUBSTITUTE(SUBSTITUTE(UPPER(IFERROR(INDEX('Registro de Comisión'!$L$5:$L$304,MATCH($B43&amp;"-ACT",'Registro de Comisión'!$N$5:$N$304,0)),"SIN REGISTRAR")),"Á","A"),"É","E"),"Í","I"),"Ó","O"),"Ú","U"),"Ü","U")))</f>
        <v/>
      </c>
      <c r="W43" s="20"/>
    </row>
    <row r="44" customFormat="false" ht="15" hidden="false" customHeight="false" outlineLevel="0" collapsed="false">
      <c r="A44" s="13" t="str">
        <f aca="false">IF($B44="","",ROW()-6)</f>
        <v/>
      </c>
      <c r="B44" s="13" t="str">
        <f aca="false">IFERROR(INDEX('Registro de Comisión'!$A$5:$A$304,MATCH(ROW()-21,'Registro de Comisión'!$P$5:$P$304,0)),"")</f>
        <v/>
      </c>
      <c r="C44" s="14" t="str">
        <f aca="false">IF($B44="","",TRIM(SUBSTITUTE(SUBSTITUTE(SUBSTITUTE(SUBSTITUTE(SUBSTITUTE(SUBSTITUTE(UPPER(IFERROR(INDEX('Registro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4" s="13" t="str">
        <f aca="false">IF($B44="","",TRIM(SUBSTITUTE(SUBSTITUTE(SUBSTITUTE(SUBSTITUTE(SUBSTITUTE(SUBSTITUTE(UPPER(IFERROR(INDEX('Registro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4" s="14" t="str">
        <f aca="false">IF($B44="","",TRIM(SUBSTITUTE(SUBSTITUTE(SUBSTITUTE(SUBSTITUTE(SUBSTITUTE(SUBSTITUTE(UPPER(IFERROR(INDEX('Registro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4" s="14" t="str">
        <f aca="false">IF($B44="","",TRIM(SUBSTITUTE(SUBSTITUTE(SUBSTITUTE(SUBSTITUTE(SUBSTITUTE(SUBSTITUTE(UPPER(IFERROR(INDEX('Registro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4" s="14" t="str">
        <f aca="false">IF($B44="","",TRIM(SUBSTITUTE(SUBSTITUTE(SUBSTITUTE(SUBSTITUTE(SUBSTITUTE(SUBSTITUTE(UPPER(IFERROR(INDEX('Registro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4" s="13" t="str">
        <f aca="false">IF($B44="","",TRIM(SUBSTITUTE(SUBSTITUTE(SUBSTITUTE(SUBSTITUTE(SUBSTITUTE(SUBSTITUTE(UPPER(IFERROR(INDEX('Registro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4" s="25" t="str">
        <f aca="false">IF($B44="","",IFERROR(INDEX('Registro de Comisión'!$H$5:$H$304,MATCH(ROW()-21,'Registro de Comisión'!$P$5:$P$304,0)),""))</f>
        <v/>
      </c>
      <c r="J44" s="14" t="str">
        <f aca="false">IF($B44="","",TRIM(SUBSTITUTE(SUBSTITUTE(SUBSTITUTE(SUBSTITUTE(SUBSTITUTE(SUBSTITUTE(UPPER(IFERROR(INDEX(tblPeriodos[Institución en el Período],MATCH($B44&amp;"-1",tblPeriodos[Clave (uso interno)],0)),"SIN PERIODO REGISTRADO")),"Á","A"),"É","E"),"Í","I"),"Ó","O"),"Ú","U"),"Ü","U")))</f>
        <v/>
      </c>
      <c r="K44" s="16" t="str">
        <f aca="false">IF($B44="","",IFERROR(_xlfn.MINIFS(tblPeriodos[Fecha Inicio del Período],tblPeriodos[Cédula],$B44),""))</f>
        <v/>
      </c>
      <c r="L44" s="16" t="str">
        <f aca="false">IF($B44="","",IFERROR(_xlfn.MAXIFS(tblPeriodos[Fecha Fin del Período],tblPeriodos[Cédula],$B44),""))</f>
        <v/>
      </c>
      <c r="M44" s="13" t="str">
        <f aca="false">IF($B44="","",COUNTIFS(tblPeriodos[Cédula],$B44))</f>
        <v/>
      </c>
      <c r="N44" s="17" t="str">
        <f aca="false">IF($B44="","",SUMIFS(tblPeriodos[Días del Período],tblPeriodos[Cédula],$B44))</f>
        <v/>
      </c>
      <c r="O44" s="18" t="str">
        <f aca="false">IF($B44="","",ROUND(N44/365.25,1))</f>
        <v/>
      </c>
      <c r="P44" s="16" t="str">
        <f aca="false">IF($B44="","",EDATE(K44,72))</f>
        <v/>
      </c>
      <c r="Q44" s="17" t="str">
        <f aca="true">IF($B44="","",P44-TODAY())</f>
        <v/>
      </c>
      <c r="R44" s="13" t="str">
        <f aca="false">IF($B44="","",IF(Q44&lt;=0,"🔴 SUPERO LIMITE LEGAL",IF(Q44&lt;=180,"🟠 PROXIMO AL LIMITE (6 ANOS)",IF(Q44&lt;=365,"🟡 VIGILAR (&lt; 1 ANO)","🟢 DENTRO DEL LIMITE"))))</f>
        <v/>
      </c>
      <c r="S44" s="17" t="str">
        <f aca="true">IF($B44="","",L44-TODAY())</f>
        <v/>
      </c>
      <c r="T44" s="13" t="str">
        <f aca="false">IF($B44="","",IF(S44&lt;0,"🔴 COMISION VENCIDA",IF(S44&lt;=90,"🟠 VENCE PRONTO (&lt;=90 DIAS)",IF(S44&lt;=180,"🟡 PROXIMA A VENCER (&lt;=180 DIAS)","🟢 VIGENTE"))))</f>
        <v/>
      </c>
      <c r="U44" s="13" t="str">
        <f aca="false">IF($B44="","",IF(ABS(N44-(L44-K44+1))&lt;=3,"CONTINUA","CON INTERRUPCIONES - REVISAR"))</f>
        <v/>
      </c>
      <c r="V44" s="14" t="str">
        <f aca="false">IF($B44="","",TRIM(SUBSTITUTE(SUBSTITUTE(SUBSTITUTE(SUBSTITUTE(SUBSTITUTE(SUBSTITUTE(UPPER(IFERROR(INDEX('Registro de Comisión'!$L$5:$L$304,MATCH($B44&amp;"-ACT",'Registro de Comisión'!$N$5:$N$304,0)),"SIN REGISTRAR")),"Á","A"),"É","E"),"Í","I"),"Ó","O"),"Ú","U"),"Ü","U")))</f>
        <v/>
      </c>
      <c r="W44" s="14"/>
    </row>
    <row r="45" customFormat="false" ht="15" hidden="false" customHeight="false" outlineLevel="0" collapsed="false">
      <c r="A45" s="19" t="str">
        <f aca="false">IF($B45="","",ROW()-6)</f>
        <v/>
      </c>
      <c r="B45" s="19" t="str">
        <f aca="false">IFERROR(INDEX('Registro de Comisión'!$A$5:$A$304,MATCH(ROW()-21,'Registro de Comisión'!$P$5:$P$304,0)),"")</f>
        <v/>
      </c>
      <c r="C45" s="20" t="str">
        <f aca="false">IF($B45="","",TRIM(SUBSTITUTE(SUBSTITUTE(SUBSTITUTE(SUBSTITUTE(SUBSTITUTE(SUBSTITUTE(UPPER(IFERROR(INDEX('Registro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5" s="19" t="str">
        <f aca="false">IF($B45="","",TRIM(SUBSTITUTE(SUBSTITUTE(SUBSTITUTE(SUBSTITUTE(SUBSTITUTE(SUBSTITUTE(UPPER(IFERROR(INDEX('Registro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5" s="20" t="str">
        <f aca="false">IF($B45="","",TRIM(SUBSTITUTE(SUBSTITUTE(SUBSTITUTE(SUBSTITUTE(SUBSTITUTE(SUBSTITUTE(UPPER(IFERROR(INDEX('Registro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5" s="20" t="str">
        <f aca="false">IF($B45="","",TRIM(SUBSTITUTE(SUBSTITUTE(SUBSTITUTE(SUBSTITUTE(SUBSTITUTE(SUBSTITUTE(UPPER(IFERROR(INDEX('Registro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5" s="20" t="str">
        <f aca="false">IF($B45="","",TRIM(SUBSTITUTE(SUBSTITUTE(SUBSTITUTE(SUBSTITUTE(SUBSTITUTE(SUBSTITUTE(UPPER(IFERROR(INDEX('Registro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5" s="19" t="str">
        <f aca="false">IF($B45="","",TRIM(SUBSTITUTE(SUBSTITUTE(SUBSTITUTE(SUBSTITUTE(SUBSTITUTE(SUBSTITUTE(UPPER(IFERROR(INDEX('Registro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5" s="26" t="str">
        <f aca="false">IF($B45="","",IFERROR(INDEX('Registro de Comisión'!$H$5:$H$304,MATCH(ROW()-21,'Registro de Comisión'!$P$5:$P$304,0)),""))</f>
        <v/>
      </c>
      <c r="J45" s="20" t="str">
        <f aca="false">IF($B45="","",TRIM(SUBSTITUTE(SUBSTITUTE(SUBSTITUTE(SUBSTITUTE(SUBSTITUTE(SUBSTITUTE(UPPER(IFERROR(INDEX(tblPeriodos[Institución en el Período],MATCH($B45&amp;"-1",tblPeriodos[Clave (uso interno)],0)),"SIN PERIODO REGISTRADO")),"Á","A"),"É","E"),"Í","I"),"Ó","O"),"Ú","U"),"Ü","U")))</f>
        <v/>
      </c>
      <c r="K45" s="22" t="str">
        <f aca="false">IF($B45="","",IFERROR(_xlfn.MINIFS(tblPeriodos[Fecha Inicio del Período],tblPeriodos[Cédula],$B45),""))</f>
        <v/>
      </c>
      <c r="L45" s="22" t="str">
        <f aca="false">IF($B45="","",IFERROR(_xlfn.MAXIFS(tblPeriodos[Fecha Fin del Período],tblPeriodos[Cédula],$B45),""))</f>
        <v/>
      </c>
      <c r="M45" s="19" t="str">
        <f aca="false">IF($B45="","",COUNTIFS(tblPeriodos[Cédula],$B45))</f>
        <v/>
      </c>
      <c r="N45" s="23" t="str">
        <f aca="false">IF($B45="","",SUMIFS(tblPeriodos[Días del Período],tblPeriodos[Cédula],$B45))</f>
        <v/>
      </c>
      <c r="O45" s="24" t="str">
        <f aca="false">IF($B45="","",ROUND(N45/365.25,1))</f>
        <v/>
      </c>
      <c r="P45" s="22" t="str">
        <f aca="false">IF($B45="","",EDATE(K45,72))</f>
        <v/>
      </c>
      <c r="Q45" s="23" t="str">
        <f aca="true">IF($B45="","",P45-TODAY())</f>
        <v/>
      </c>
      <c r="R45" s="19" t="str">
        <f aca="false">IF($B45="","",IF(Q45&lt;=0,"🔴 SUPERO LIMITE LEGAL",IF(Q45&lt;=180,"🟠 PROXIMO AL LIMITE (6 ANOS)",IF(Q45&lt;=365,"🟡 VIGILAR (&lt; 1 ANO)","🟢 DENTRO DEL LIMITE"))))</f>
        <v/>
      </c>
      <c r="S45" s="23" t="str">
        <f aca="true">IF($B45="","",L45-TODAY())</f>
        <v/>
      </c>
      <c r="T45" s="19" t="str">
        <f aca="false">IF($B45="","",IF(S45&lt;0,"🔴 COMISION VENCIDA",IF(S45&lt;=90,"🟠 VENCE PRONTO (&lt;=90 DIAS)",IF(S45&lt;=180,"🟡 PROXIMA A VENCER (&lt;=180 DIAS)","🟢 VIGENTE"))))</f>
        <v/>
      </c>
      <c r="U45" s="19" t="str">
        <f aca="false">IF($B45="","",IF(ABS(N45-(L45-K45+1))&lt;=3,"CONTINUA","CON INTERRUPCIONES - REVISAR"))</f>
        <v/>
      </c>
      <c r="V45" s="20" t="str">
        <f aca="false">IF($B45="","",TRIM(SUBSTITUTE(SUBSTITUTE(SUBSTITUTE(SUBSTITUTE(SUBSTITUTE(SUBSTITUTE(UPPER(IFERROR(INDEX('Registro de Comisión'!$L$5:$L$304,MATCH($B45&amp;"-ACT",'Registro de Comisión'!$N$5:$N$304,0)),"SIN REGISTRAR")),"Á","A"),"É","E"),"Í","I"),"Ó","O"),"Ú","U"),"Ü","U")))</f>
        <v/>
      </c>
      <c r="W45" s="20"/>
    </row>
    <row r="46" customFormat="false" ht="15" hidden="false" customHeight="false" outlineLevel="0" collapsed="false">
      <c r="A46" s="13" t="str">
        <f aca="false">IF($B46="","",ROW()-6)</f>
        <v/>
      </c>
      <c r="B46" s="13" t="str">
        <f aca="false">IFERROR(INDEX('Registro de Comisión'!$A$5:$A$304,MATCH(ROW()-21,'Registro de Comisión'!$P$5:$P$304,0)),"")</f>
        <v/>
      </c>
      <c r="C46" s="14" t="str">
        <f aca="false">IF($B46="","",TRIM(SUBSTITUTE(SUBSTITUTE(SUBSTITUTE(SUBSTITUTE(SUBSTITUTE(SUBSTITUTE(UPPER(IFERROR(INDEX('Registro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6" s="13" t="str">
        <f aca="false">IF($B46="","",TRIM(SUBSTITUTE(SUBSTITUTE(SUBSTITUTE(SUBSTITUTE(SUBSTITUTE(SUBSTITUTE(UPPER(IFERROR(INDEX('Registro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6" s="14" t="str">
        <f aca="false">IF($B46="","",TRIM(SUBSTITUTE(SUBSTITUTE(SUBSTITUTE(SUBSTITUTE(SUBSTITUTE(SUBSTITUTE(UPPER(IFERROR(INDEX('Registro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6" s="14" t="str">
        <f aca="false">IF($B46="","",TRIM(SUBSTITUTE(SUBSTITUTE(SUBSTITUTE(SUBSTITUTE(SUBSTITUTE(SUBSTITUTE(UPPER(IFERROR(INDEX('Registro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6" s="14" t="str">
        <f aca="false">IF($B46="","",TRIM(SUBSTITUTE(SUBSTITUTE(SUBSTITUTE(SUBSTITUTE(SUBSTITUTE(SUBSTITUTE(UPPER(IFERROR(INDEX('Registro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6" s="13" t="str">
        <f aca="false">IF($B46="","",TRIM(SUBSTITUTE(SUBSTITUTE(SUBSTITUTE(SUBSTITUTE(SUBSTITUTE(SUBSTITUTE(UPPER(IFERROR(INDEX('Registro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6" s="25" t="str">
        <f aca="false">IF($B46="","",IFERROR(INDEX('Registro de Comisión'!$H$5:$H$304,MATCH(ROW()-21,'Registro de Comisión'!$P$5:$P$304,0)),""))</f>
        <v/>
      </c>
      <c r="J46" s="14" t="str">
        <f aca="false">IF($B46="","",TRIM(SUBSTITUTE(SUBSTITUTE(SUBSTITUTE(SUBSTITUTE(SUBSTITUTE(SUBSTITUTE(UPPER(IFERROR(INDEX(tblPeriodos[Institución en el Período],MATCH($B46&amp;"-1",tblPeriodos[Clave (uso interno)],0)),"SIN PERIODO REGISTRADO")),"Á","A"),"É","E"),"Í","I"),"Ó","O"),"Ú","U"),"Ü","U")))</f>
        <v/>
      </c>
      <c r="K46" s="16" t="str">
        <f aca="false">IF($B46="","",IFERROR(_xlfn.MINIFS(tblPeriodos[Fecha Inicio del Período],tblPeriodos[Cédula],$B46),""))</f>
        <v/>
      </c>
      <c r="L46" s="16" t="str">
        <f aca="false">IF($B46="","",IFERROR(_xlfn.MAXIFS(tblPeriodos[Fecha Fin del Período],tblPeriodos[Cédula],$B46),""))</f>
        <v/>
      </c>
      <c r="M46" s="13" t="str">
        <f aca="false">IF($B46="","",COUNTIFS(tblPeriodos[Cédula],$B46))</f>
        <v/>
      </c>
      <c r="N46" s="17" t="str">
        <f aca="false">IF($B46="","",SUMIFS(tblPeriodos[Días del Período],tblPeriodos[Cédula],$B46))</f>
        <v/>
      </c>
      <c r="O46" s="18" t="str">
        <f aca="false">IF($B46="","",ROUND(N46/365.25,1))</f>
        <v/>
      </c>
      <c r="P46" s="16" t="str">
        <f aca="false">IF($B46="","",EDATE(K46,72))</f>
        <v/>
      </c>
      <c r="Q46" s="17" t="str">
        <f aca="true">IF($B46="","",P46-TODAY())</f>
        <v/>
      </c>
      <c r="R46" s="13" t="str">
        <f aca="false">IF($B46="","",IF(Q46&lt;=0,"🔴 SUPERO LIMITE LEGAL",IF(Q46&lt;=180,"🟠 PROXIMO AL LIMITE (6 ANOS)",IF(Q46&lt;=365,"🟡 VIGILAR (&lt; 1 ANO)","🟢 DENTRO DEL LIMITE"))))</f>
        <v/>
      </c>
      <c r="S46" s="17" t="str">
        <f aca="true">IF($B46="","",L46-TODAY())</f>
        <v/>
      </c>
      <c r="T46" s="13" t="str">
        <f aca="false">IF($B46="","",IF(S46&lt;0,"🔴 COMISION VENCIDA",IF(S46&lt;=90,"🟠 VENCE PRONTO (&lt;=90 DIAS)",IF(S46&lt;=180,"🟡 PROXIMA A VENCER (&lt;=180 DIAS)","🟢 VIGENTE"))))</f>
        <v/>
      </c>
      <c r="U46" s="13" t="str">
        <f aca="false">IF($B46="","",IF(ABS(N46-(L46-K46+1))&lt;=3,"CONTINUA","CON INTERRUPCIONES - REVISAR"))</f>
        <v/>
      </c>
      <c r="V46" s="14" t="str">
        <f aca="false">IF($B46="","",TRIM(SUBSTITUTE(SUBSTITUTE(SUBSTITUTE(SUBSTITUTE(SUBSTITUTE(SUBSTITUTE(UPPER(IFERROR(INDEX('Registro de Comisión'!$L$5:$L$304,MATCH($B46&amp;"-ACT",'Registro de Comisión'!$N$5:$N$304,0)),"SIN REGISTRAR")),"Á","A"),"É","E"),"Í","I"),"Ó","O"),"Ú","U"),"Ü","U")))</f>
        <v/>
      </c>
      <c r="W46" s="14"/>
    </row>
    <row r="47" customFormat="false" ht="15" hidden="false" customHeight="false" outlineLevel="0" collapsed="false">
      <c r="A47" s="19" t="str">
        <f aca="false">IF($B47="","",ROW()-6)</f>
        <v/>
      </c>
      <c r="B47" s="19" t="str">
        <f aca="false">IFERROR(INDEX('Registro de Comisión'!$A$5:$A$304,MATCH(ROW()-21,'Registro de Comisión'!$P$5:$P$304,0)),"")</f>
        <v/>
      </c>
      <c r="C47" s="20" t="str">
        <f aca="false">IF($B47="","",TRIM(SUBSTITUTE(SUBSTITUTE(SUBSTITUTE(SUBSTITUTE(SUBSTITUTE(SUBSTITUTE(UPPER(IFERROR(INDEX('Registro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7" s="19" t="str">
        <f aca="false">IF($B47="","",TRIM(SUBSTITUTE(SUBSTITUTE(SUBSTITUTE(SUBSTITUTE(SUBSTITUTE(SUBSTITUTE(UPPER(IFERROR(INDEX('Registro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7" s="20" t="str">
        <f aca="false">IF($B47="","",TRIM(SUBSTITUTE(SUBSTITUTE(SUBSTITUTE(SUBSTITUTE(SUBSTITUTE(SUBSTITUTE(UPPER(IFERROR(INDEX('Registro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7" s="20" t="str">
        <f aca="false">IF($B47="","",TRIM(SUBSTITUTE(SUBSTITUTE(SUBSTITUTE(SUBSTITUTE(SUBSTITUTE(SUBSTITUTE(UPPER(IFERROR(INDEX('Registro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7" s="20" t="str">
        <f aca="false">IF($B47="","",TRIM(SUBSTITUTE(SUBSTITUTE(SUBSTITUTE(SUBSTITUTE(SUBSTITUTE(SUBSTITUTE(UPPER(IFERROR(INDEX('Registro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7" s="19" t="str">
        <f aca="false">IF($B47="","",TRIM(SUBSTITUTE(SUBSTITUTE(SUBSTITUTE(SUBSTITUTE(SUBSTITUTE(SUBSTITUTE(UPPER(IFERROR(INDEX('Registro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7" s="26" t="str">
        <f aca="false">IF($B47="","",IFERROR(INDEX('Registro de Comisión'!$H$5:$H$304,MATCH(ROW()-21,'Registro de Comisión'!$P$5:$P$304,0)),""))</f>
        <v/>
      </c>
      <c r="J47" s="20" t="str">
        <f aca="false">IF($B47="","",TRIM(SUBSTITUTE(SUBSTITUTE(SUBSTITUTE(SUBSTITUTE(SUBSTITUTE(SUBSTITUTE(UPPER(IFERROR(INDEX(tblPeriodos[Institución en el Período],MATCH($B47&amp;"-1",tblPeriodos[Clave (uso interno)],0)),"SIN PERIODO REGISTRADO")),"Á","A"),"É","E"),"Í","I"),"Ó","O"),"Ú","U"),"Ü","U")))</f>
        <v/>
      </c>
      <c r="K47" s="22" t="str">
        <f aca="false">IF($B47="","",IFERROR(_xlfn.MINIFS(tblPeriodos[Fecha Inicio del Período],tblPeriodos[Cédula],$B47),""))</f>
        <v/>
      </c>
      <c r="L47" s="22" t="str">
        <f aca="false">IF($B47="","",IFERROR(_xlfn.MAXIFS(tblPeriodos[Fecha Fin del Período],tblPeriodos[Cédula],$B47),""))</f>
        <v/>
      </c>
      <c r="M47" s="19" t="str">
        <f aca="false">IF($B47="","",COUNTIFS(tblPeriodos[Cédula],$B47))</f>
        <v/>
      </c>
      <c r="N47" s="23" t="str">
        <f aca="false">IF($B47="","",SUMIFS(tblPeriodos[Días del Período],tblPeriodos[Cédula],$B47))</f>
        <v/>
      </c>
      <c r="O47" s="24" t="str">
        <f aca="false">IF($B47="","",ROUND(N47/365.25,1))</f>
        <v/>
      </c>
      <c r="P47" s="22" t="str">
        <f aca="false">IF($B47="","",EDATE(K47,72))</f>
        <v/>
      </c>
      <c r="Q47" s="23" t="str">
        <f aca="true">IF($B47="","",P47-TODAY())</f>
        <v/>
      </c>
      <c r="R47" s="19" t="str">
        <f aca="false">IF($B47="","",IF(Q47&lt;=0,"🔴 SUPERO LIMITE LEGAL",IF(Q47&lt;=180,"🟠 PROXIMO AL LIMITE (6 ANOS)",IF(Q47&lt;=365,"🟡 VIGILAR (&lt; 1 ANO)","🟢 DENTRO DEL LIMITE"))))</f>
        <v/>
      </c>
      <c r="S47" s="23" t="str">
        <f aca="true">IF($B47="","",L47-TODAY())</f>
        <v/>
      </c>
      <c r="T47" s="19" t="str">
        <f aca="false">IF($B47="","",IF(S47&lt;0,"🔴 COMISION VENCIDA",IF(S47&lt;=90,"🟠 VENCE PRONTO (&lt;=90 DIAS)",IF(S47&lt;=180,"🟡 PROXIMA A VENCER (&lt;=180 DIAS)","🟢 VIGENTE"))))</f>
        <v/>
      </c>
      <c r="U47" s="19" t="str">
        <f aca="false">IF($B47="","",IF(ABS(N47-(L47-K47+1))&lt;=3,"CONTINUA","CON INTERRUPCIONES - REVISAR"))</f>
        <v/>
      </c>
      <c r="V47" s="20" t="str">
        <f aca="false">IF($B47="","",TRIM(SUBSTITUTE(SUBSTITUTE(SUBSTITUTE(SUBSTITUTE(SUBSTITUTE(SUBSTITUTE(UPPER(IFERROR(INDEX('Registro de Comisión'!$L$5:$L$304,MATCH($B47&amp;"-ACT",'Registro de Comisión'!$N$5:$N$304,0)),"SIN REGISTRAR")),"Á","A"),"É","E"),"Í","I"),"Ó","O"),"Ú","U"),"Ü","U")))</f>
        <v/>
      </c>
      <c r="W47" s="20"/>
    </row>
    <row r="48" customFormat="false" ht="15" hidden="false" customHeight="false" outlineLevel="0" collapsed="false">
      <c r="A48" s="13" t="str">
        <f aca="false">IF($B48="","",ROW()-6)</f>
        <v/>
      </c>
      <c r="B48" s="13" t="str">
        <f aca="false">IFERROR(INDEX('Registro de Comisión'!$A$5:$A$304,MATCH(ROW()-21,'Registro de Comisión'!$P$5:$P$304,0)),"")</f>
        <v/>
      </c>
      <c r="C48" s="14" t="str">
        <f aca="false">IF($B48="","",TRIM(SUBSTITUTE(SUBSTITUTE(SUBSTITUTE(SUBSTITUTE(SUBSTITUTE(SUBSTITUTE(UPPER(IFERROR(INDEX('Registro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8" s="13" t="str">
        <f aca="false">IF($B48="","",TRIM(SUBSTITUTE(SUBSTITUTE(SUBSTITUTE(SUBSTITUTE(SUBSTITUTE(SUBSTITUTE(UPPER(IFERROR(INDEX('Registro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8" s="14" t="str">
        <f aca="false">IF($B48="","",TRIM(SUBSTITUTE(SUBSTITUTE(SUBSTITUTE(SUBSTITUTE(SUBSTITUTE(SUBSTITUTE(UPPER(IFERROR(INDEX('Registro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8" s="14" t="str">
        <f aca="false">IF($B48="","",TRIM(SUBSTITUTE(SUBSTITUTE(SUBSTITUTE(SUBSTITUTE(SUBSTITUTE(SUBSTITUTE(UPPER(IFERROR(INDEX('Registro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8" s="14" t="str">
        <f aca="false">IF($B48="","",TRIM(SUBSTITUTE(SUBSTITUTE(SUBSTITUTE(SUBSTITUTE(SUBSTITUTE(SUBSTITUTE(UPPER(IFERROR(INDEX('Registro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8" s="13" t="str">
        <f aca="false">IF($B48="","",TRIM(SUBSTITUTE(SUBSTITUTE(SUBSTITUTE(SUBSTITUTE(SUBSTITUTE(SUBSTITUTE(UPPER(IFERROR(INDEX('Registro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8" s="25" t="str">
        <f aca="false">IF($B48="","",IFERROR(INDEX('Registro de Comisión'!$H$5:$H$304,MATCH(ROW()-21,'Registro de Comisión'!$P$5:$P$304,0)),""))</f>
        <v/>
      </c>
      <c r="J48" s="14" t="str">
        <f aca="false">IF($B48="","",TRIM(SUBSTITUTE(SUBSTITUTE(SUBSTITUTE(SUBSTITUTE(SUBSTITUTE(SUBSTITUTE(UPPER(IFERROR(INDEX(tblPeriodos[Institución en el Período],MATCH($B48&amp;"-1",tblPeriodos[Clave (uso interno)],0)),"SIN PERIODO REGISTRADO")),"Á","A"),"É","E"),"Í","I"),"Ó","O"),"Ú","U"),"Ü","U")))</f>
        <v/>
      </c>
      <c r="K48" s="16" t="str">
        <f aca="false">IF($B48="","",IFERROR(_xlfn.MINIFS(tblPeriodos[Fecha Inicio del Período],tblPeriodos[Cédula],$B48),""))</f>
        <v/>
      </c>
      <c r="L48" s="16" t="str">
        <f aca="false">IF($B48="","",IFERROR(_xlfn.MAXIFS(tblPeriodos[Fecha Fin del Período],tblPeriodos[Cédula],$B48),""))</f>
        <v/>
      </c>
      <c r="M48" s="13" t="str">
        <f aca="false">IF($B48="","",COUNTIFS(tblPeriodos[Cédula],$B48))</f>
        <v/>
      </c>
      <c r="N48" s="17" t="str">
        <f aca="false">IF($B48="","",SUMIFS(tblPeriodos[Días del Período],tblPeriodos[Cédula],$B48))</f>
        <v/>
      </c>
      <c r="O48" s="18" t="str">
        <f aca="false">IF($B48="","",ROUND(N48/365.25,1))</f>
        <v/>
      </c>
      <c r="P48" s="16" t="str">
        <f aca="false">IF($B48="","",EDATE(K48,72))</f>
        <v/>
      </c>
      <c r="Q48" s="17" t="str">
        <f aca="true">IF($B48="","",P48-TODAY())</f>
        <v/>
      </c>
      <c r="R48" s="13" t="str">
        <f aca="false">IF($B48="","",IF(Q48&lt;=0,"🔴 SUPERO LIMITE LEGAL",IF(Q48&lt;=180,"🟠 PROXIMO AL LIMITE (6 ANOS)",IF(Q48&lt;=365,"🟡 VIGILAR (&lt; 1 ANO)","🟢 DENTRO DEL LIMITE"))))</f>
        <v/>
      </c>
      <c r="S48" s="17" t="str">
        <f aca="true">IF($B48="","",L48-TODAY())</f>
        <v/>
      </c>
      <c r="T48" s="13" t="str">
        <f aca="false">IF($B48="","",IF(S48&lt;0,"🔴 COMISION VENCIDA",IF(S48&lt;=90,"🟠 VENCE PRONTO (&lt;=90 DIAS)",IF(S48&lt;=180,"🟡 PROXIMA A VENCER (&lt;=180 DIAS)","🟢 VIGENTE"))))</f>
        <v/>
      </c>
      <c r="U48" s="13" t="str">
        <f aca="false">IF($B48="","",IF(ABS(N48-(L48-K48+1))&lt;=3,"CONTINUA","CON INTERRUPCIONES - REVISAR"))</f>
        <v/>
      </c>
      <c r="V48" s="14" t="str">
        <f aca="false">IF($B48="","",TRIM(SUBSTITUTE(SUBSTITUTE(SUBSTITUTE(SUBSTITUTE(SUBSTITUTE(SUBSTITUTE(UPPER(IFERROR(INDEX('Registro de Comisión'!$L$5:$L$304,MATCH($B48&amp;"-ACT",'Registro de Comisión'!$N$5:$N$304,0)),"SIN REGISTRAR")),"Á","A"),"É","E"),"Í","I"),"Ó","O"),"Ú","U"),"Ü","U")))</f>
        <v/>
      </c>
      <c r="W48" s="14"/>
    </row>
    <row r="49" customFormat="false" ht="15" hidden="false" customHeight="false" outlineLevel="0" collapsed="false">
      <c r="A49" s="19" t="str">
        <f aca="false">IF($B49="","",ROW()-6)</f>
        <v/>
      </c>
      <c r="B49" s="19" t="str">
        <f aca="false">IFERROR(INDEX('Registro de Comisión'!$A$5:$A$304,MATCH(ROW()-21,'Registro de Comisión'!$P$5:$P$304,0)),"")</f>
        <v/>
      </c>
      <c r="C49" s="20" t="str">
        <f aca="false">IF($B49="","",TRIM(SUBSTITUTE(SUBSTITUTE(SUBSTITUTE(SUBSTITUTE(SUBSTITUTE(SUBSTITUTE(UPPER(IFERROR(INDEX('Registro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49" s="19" t="str">
        <f aca="false">IF($B49="","",TRIM(SUBSTITUTE(SUBSTITUTE(SUBSTITUTE(SUBSTITUTE(SUBSTITUTE(SUBSTITUTE(UPPER(IFERROR(INDEX('Registro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49" s="20" t="str">
        <f aca="false">IF($B49="","",TRIM(SUBSTITUTE(SUBSTITUTE(SUBSTITUTE(SUBSTITUTE(SUBSTITUTE(SUBSTITUTE(UPPER(IFERROR(INDEX('Registro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49" s="20" t="str">
        <f aca="false">IF($B49="","",TRIM(SUBSTITUTE(SUBSTITUTE(SUBSTITUTE(SUBSTITUTE(SUBSTITUTE(SUBSTITUTE(UPPER(IFERROR(INDEX('Registro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49" s="20" t="str">
        <f aca="false">IF($B49="","",TRIM(SUBSTITUTE(SUBSTITUTE(SUBSTITUTE(SUBSTITUTE(SUBSTITUTE(SUBSTITUTE(UPPER(IFERROR(INDEX('Registro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49" s="19" t="str">
        <f aca="false">IF($B49="","",TRIM(SUBSTITUTE(SUBSTITUTE(SUBSTITUTE(SUBSTITUTE(SUBSTITUTE(SUBSTITUTE(UPPER(IFERROR(INDEX('Registro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49" s="26" t="str">
        <f aca="false">IF($B49="","",IFERROR(INDEX('Registro de Comisión'!$H$5:$H$304,MATCH(ROW()-21,'Registro de Comisión'!$P$5:$P$304,0)),""))</f>
        <v/>
      </c>
      <c r="J49" s="20" t="str">
        <f aca="false">IF($B49="","",TRIM(SUBSTITUTE(SUBSTITUTE(SUBSTITUTE(SUBSTITUTE(SUBSTITUTE(SUBSTITUTE(UPPER(IFERROR(INDEX(tblPeriodos[Institución en el Período],MATCH($B49&amp;"-1",tblPeriodos[Clave (uso interno)],0)),"SIN PERIODO REGISTRADO")),"Á","A"),"É","E"),"Í","I"),"Ó","O"),"Ú","U"),"Ü","U")))</f>
        <v/>
      </c>
      <c r="K49" s="22" t="str">
        <f aca="false">IF($B49="","",IFERROR(_xlfn.MINIFS(tblPeriodos[Fecha Inicio del Período],tblPeriodos[Cédula],$B49),""))</f>
        <v/>
      </c>
      <c r="L49" s="22" t="str">
        <f aca="false">IF($B49="","",IFERROR(_xlfn.MAXIFS(tblPeriodos[Fecha Fin del Período],tblPeriodos[Cédula],$B49),""))</f>
        <v/>
      </c>
      <c r="M49" s="19" t="str">
        <f aca="false">IF($B49="","",COUNTIFS(tblPeriodos[Cédula],$B49))</f>
        <v/>
      </c>
      <c r="N49" s="23" t="str">
        <f aca="false">IF($B49="","",SUMIFS(tblPeriodos[Días del Período],tblPeriodos[Cédula],$B49))</f>
        <v/>
      </c>
      <c r="O49" s="24" t="str">
        <f aca="false">IF($B49="","",ROUND(N49/365.25,1))</f>
        <v/>
      </c>
      <c r="P49" s="22" t="str">
        <f aca="false">IF($B49="","",EDATE(K49,72))</f>
        <v/>
      </c>
      <c r="Q49" s="23" t="str">
        <f aca="true">IF($B49="","",P49-TODAY())</f>
        <v/>
      </c>
      <c r="R49" s="19" t="str">
        <f aca="false">IF($B49="","",IF(Q49&lt;=0,"🔴 SUPERO LIMITE LEGAL",IF(Q49&lt;=180,"🟠 PROXIMO AL LIMITE (6 ANOS)",IF(Q49&lt;=365,"🟡 VIGILAR (&lt; 1 ANO)","🟢 DENTRO DEL LIMITE"))))</f>
        <v/>
      </c>
      <c r="S49" s="23" t="str">
        <f aca="true">IF($B49="","",L49-TODAY())</f>
        <v/>
      </c>
      <c r="T49" s="19" t="str">
        <f aca="false">IF($B49="","",IF(S49&lt;0,"🔴 COMISION VENCIDA",IF(S49&lt;=90,"🟠 VENCE PRONTO (&lt;=90 DIAS)",IF(S49&lt;=180,"🟡 PROXIMA A VENCER (&lt;=180 DIAS)","🟢 VIGENTE"))))</f>
        <v/>
      </c>
      <c r="U49" s="19" t="str">
        <f aca="false">IF($B49="","",IF(ABS(N49-(L49-K49+1))&lt;=3,"CONTINUA","CON INTERRUPCIONES - REVISAR"))</f>
        <v/>
      </c>
      <c r="V49" s="20" t="str">
        <f aca="false">IF($B49="","",TRIM(SUBSTITUTE(SUBSTITUTE(SUBSTITUTE(SUBSTITUTE(SUBSTITUTE(SUBSTITUTE(UPPER(IFERROR(INDEX('Registro de Comisión'!$L$5:$L$304,MATCH($B49&amp;"-ACT",'Registro de Comisión'!$N$5:$N$304,0)),"SIN REGISTRAR")),"Á","A"),"É","E"),"Í","I"),"Ó","O"),"Ú","U"),"Ü","U")))</f>
        <v/>
      </c>
      <c r="W49" s="20"/>
    </row>
    <row r="50" customFormat="false" ht="15" hidden="false" customHeight="false" outlineLevel="0" collapsed="false">
      <c r="A50" s="13" t="str">
        <f aca="false">IF($B50="","",ROW()-6)</f>
        <v/>
      </c>
      <c r="B50" s="13" t="str">
        <f aca="false">IFERROR(INDEX('Registro de Comisión'!$A$5:$A$304,MATCH(ROW()-21,'Registro de Comisión'!$P$5:$P$304,0)),"")</f>
        <v/>
      </c>
      <c r="C50" s="14" t="str">
        <f aca="false">IF($B50="","",TRIM(SUBSTITUTE(SUBSTITUTE(SUBSTITUTE(SUBSTITUTE(SUBSTITUTE(SUBSTITUTE(UPPER(IFERROR(INDEX('Registro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0" s="13" t="str">
        <f aca="false">IF($B50="","",TRIM(SUBSTITUTE(SUBSTITUTE(SUBSTITUTE(SUBSTITUTE(SUBSTITUTE(SUBSTITUTE(UPPER(IFERROR(INDEX('Registro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0" s="14" t="str">
        <f aca="false">IF($B50="","",TRIM(SUBSTITUTE(SUBSTITUTE(SUBSTITUTE(SUBSTITUTE(SUBSTITUTE(SUBSTITUTE(UPPER(IFERROR(INDEX('Registro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0" s="14" t="str">
        <f aca="false">IF($B50="","",TRIM(SUBSTITUTE(SUBSTITUTE(SUBSTITUTE(SUBSTITUTE(SUBSTITUTE(SUBSTITUTE(UPPER(IFERROR(INDEX('Registro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0" s="14" t="str">
        <f aca="false">IF($B50="","",TRIM(SUBSTITUTE(SUBSTITUTE(SUBSTITUTE(SUBSTITUTE(SUBSTITUTE(SUBSTITUTE(UPPER(IFERROR(INDEX('Registro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0" s="13" t="str">
        <f aca="false">IF($B50="","",TRIM(SUBSTITUTE(SUBSTITUTE(SUBSTITUTE(SUBSTITUTE(SUBSTITUTE(SUBSTITUTE(UPPER(IFERROR(INDEX('Registro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0" s="25" t="str">
        <f aca="false">IF($B50="","",IFERROR(INDEX('Registro de Comisión'!$H$5:$H$304,MATCH(ROW()-21,'Registro de Comisión'!$P$5:$P$304,0)),""))</f>
        <v/>
      </c>
      <c r="J50" s="14" t="str">
        <f aca="false">IF($B50="","",TRIM(SUBSTITUTE(SUBSTITUTE(SUBSTITUTE(SUBSTITUTE(SUBSTITUTE(SUBSTITUTE(UPPER(IFERROR(INDEX(tblPeriodos[Institución en el Período],MATCH($B50&amp;"-1",tblPeriodos[Clave (uso interno)],0)),"SIN PERIODO REGISTRADO")),"Á","A"),"É","E"),"Í","I"),"Ó","O"),"Ú","U"),"Ü","U")))</f>
        <v/>
      </c>
      <c r="K50" s="16" t="str">
        <f aca="false">IF($B50="","",IFERROR(_xlfn.MINIFS(tblPeriodos[Fecha Inicio del Período],tblPeriodos[Cédula],$B50),""))</f>
        <v/>
      </c>
      <c r="L50" s="16" t="str">
        <f aca="false">IF($B50="","",IFERROR(_xlfn.MAXIFS(tblPeriodos[Fecha Fin del Período],tblPeriodos[Cédula],$B50),""))</f>
        <v/>
      </c>
      <c r="M50" s="13" t="str">
        <f aca="false">IF($B50="","",COUNTIFS(tblPeriodos[Cédula],$B50))</f>
        <v/>
      </c>
      <c r="N50" s="17" t="str">
        <f aca="false">IF($B50="","",SUMIFS(tblPeriodos[Días del Período],tblPeriodos[Cédula],$B50))</f>
        <v/>
      </c>
      <c r="O50" s="18" t="str">
        <f aca="false">IF($B50="","",ROUND(N50/365.25,1))</f>
        <v/>
      </c>
      <c r="P50" s="16" t="str">
        <f aca="false">IF($B50="","",EDATE(K50,72))</f>
        <v/>
      </c>
      <c r="Q50" s="17" t="str">
        <f aca="true">IF($B50="","",P50-TODAY())</f>
        <v/>
      </c>
      <c r="R50" s="13" t="str">
        <f aca="false">IF($B50="","",IF(Q50&lt;=0,"🔴 SUPERO LIMITE LEGAL",IF(Q50&lt;=180,"🟠 PROXIMO AL LIMITE (6 ANOS)",IF(Q50&lt;=365,"🟡 VIGILAR (&lt; 1 ANO)","🟢 DENTRO DEL LIMITE"))))</f>
        <v/>
      </c>
      <c r="S50" s="17" t="str">
        <f aca="true">IF($B50="","",L50-TODAY())</f>
        <v/>
      </c>
      <c r="T50" s="13" t="str">
        <f aca="false">IF($B50="","",IF(S50&lt;0,"🔴 COMISION VENCIDA",IF(S50&lt;=90,"🟠 VENCE PRONTO (&lt;=90 DIAS)",IF(S50&lt;=180,"🟡 PROXIMA A VENCER (&lt;=180 DIAS)","🟢 VIGENTE"))))</f>
        <v/>
      </c>
      <c r="U50" s="13" t="str">
        <f aca="false">IF($B50="","",IF(ABS(N50-(L50-K50+1))&lt;=3,"CONTINUA","CON INTERRUPCIONES - REVISAR"))</f>
        <v/>
      </c>
      <c r="V50" s="14" t="str">
        <f aca="false">IF($B50="","",TRIM(SUBSTITUTE(SUBSTITUTE(SUBSTITUTE(SUBSTITUTE(SUBSTITUTE(SUBSTITUTE(UPPER(IFERROR(INDEX('Registro de Comisión'!$L$5:$L$304,MATCH($B50&amp;"-ACT",'Registro de Comisión'!$N$5:$N$304,0)),"SIN REGISTRAR")),"Á","A"),"É","E"),"Í","I"),"Ó","O"),"Ú","U"),"Ü","U")))</f>
        <v/>
      </c>
      <c r="W50" s="14"/>
    </row>
    <row r="51" customFormat="false" ht="15" hidden="false" customHeight="false" outlineLevel="0" collapsed="false">
      <c r="A51" s="19" t="str">
        <f aca="false">IF($B51="","",ROW()-6)</f>
        <v/>
      </c>
      <c r="B51" s="19" t="str">
        <f aca="false">IFERROR(INDEX('Registro de Comisión'!$A$5:$A$304,MATCH(ROW()-21,'Registro de Comisión'!$P$5:$P$304,0)),"")</f>
        <v/>
      </c>
      <c r="C51" s="20" t="str">
        <f aca="false">IF($B51="","",TRIM(SUBSTITUTE(SUBSTITUTE(SUBSTITUTE(SUBSTITUTE(SUBSTITUTE(SUBSTITUTE(UPPER(IFERROR(INDEX('Registro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1" s="19" t="str">
        <f aca="false">IF($B51="","",TRIM(SUBSTITUTE(SUBSTITUTE(SUBSTITUTE(SUBSTITUTE(SUBSTITUTE(SUBSTITUTE(UPPER(IFERROR(INDEX('Registro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1" s="20" t="str">
        <f aca="false">IF($B51="","",TRIM(SUBSTITUTE(SUBSTITUTE(SUBSTITUTE(SUBSTITUTE(SUBSTITUTE(SUBSTITUTE(UPPER(IFERROR(INDEX('Registro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1" s="20" t="str">
        <f aca="false">IF($B51="","",TRIM(SUBSTITUTE(SUBSTITUTE(SUBSTITUTE(SUBSTITUTE(SUBSTITUTE(SUBSTITUTE(UPPER(IFERROR(INDEX('Registro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1" s="20" t="str">
        <f aca="false">IF($B51="","",TRIM(SUBSTITUTE(SUBSTITUTE(SUBSTITUTE(SUBSTITUTE(SUBSTITUTE(SUBSTITUTE(UPPER(IFERROR(INDEX('Registro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1" s="19" t="str">
        <f aca="false">IF($B51="","",TRIM(SUBSTITUTE(SUBSTITUTE(SUBSTITUTE(SUBSTITUTE(SUBSTITUTE(SUBSTITUTE(UPPER(IFERROR(INDEX('Registro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1" s="26" t="str">
        <f aca="false">IF($B51="","",IFERROR(INDEX('Registro de Comisión'!$H$5:$H$304,MATCH(ROW()-21,'Registro de Comisión'!$P$5:$P$304,0)),""))</f>
        <v/>
      </c>
      <c r="J51" s="20" t="str">
        <f aca="false">IF($B51="","",TRIM(SUBSTITUTE(SUBSTITUTE(SUBSTITUTE(SUBSTITUTE(SUBSTITUTE(SUBSTITUTE(UPPER(IFERROR(INDEX(tblPeriodos[Institución en el Período],MATCH($B51&amp;"-1",tblPeriodos[Clave (uso interno)],0)),"SIN PERIODO REGISTRADO")),"Á","A"),"É","E"),"Í","I"),"Ó","O"),"Ú","U"),"Ü","U")))</f>
        <v/>
      </c>
      <c r="K51" s="22" t="str">
        <f aca="false">IF($B51="","",IFERROR(_xlfn.MINIFS(tblPeriodos[Fecha Inicio del Período],tblPeriodos[Cédula],$B51),""))</f>
        <v/>
      </c>
      <c r="L51" s="22" t="str">
        <f aca="false">IF($B51="","",IFERROR(_xlfn.MAXIFS(tblPeriodos[Fecha Fin del Período],tblPeriodos[Cédula],$B51),""))</f>
        <v/>
      </c>
      <c r="M51" s="19" t="str">
        <f aca="false">IF($B51="","",COUNTIFS(tblPeriodos[Cédula],$B51))</f>
        <v/>
      </c>
      <c r="N51" s="23" t="str">
        <f aca="false">IF($B51="","",SUMIFS(tblPeriodos[Días del Período],tblPeriodos[Cédula],$B51))</f>
        <v/>
      </c>
      <c r="O51" s="24" t="str">
        <f aca="false">IF($B51="","",ROUND(N51/365.25,1))</f>
        <v/>
      </c>
      <c r="P51" s="22" t="str">
        <f aca="false">IF($B51="","",EDATE(K51,72))</f>
        <v/>
      </c>
      <c r="Q51" s="23" t="str">
        <f aca="true">IF($B51="","",P51-TODAY())</f>
        <v/>
      </c>
      <c r="R51" s="19" t="str">
        <f aca="false">IF($B51="","",IF(Q51&lt;=0,"🔴 SUPERO LIMITE LEGAL",IF(Q51&lt;=180,"🟠 PROXIMO AL LIMITE (6 ANOS)",IF(Q51&lt;=365,"🟡 VIGILAR (&lt; 1 ANO)","🟢 DENTRO DEL LIMITE"))))</f>
        <v/>
      </c>
      <c r="S51" s="23" t="str">
        <f aca="true">IF($B51="","",L51-TODAY())</f>
        <v/>
      </c>
      <c r="T51" s="19" t="str">
        <f aca="false">IF($B51="","",IF(S51&lt;0,"🔴 COMISION VENCIDA",IF(S51&lt;=90,"🟠 VENCE PRONTO (&lt;=90 DIAS)",IF(S51&lt;=180,"🟡 PROXIMA A VENCER (&lt;=180 DIAS)","🟢 VIGENTE"))))</f>
        <v/>
      </c>
      <c r="U51" s="19" t="str">
        <f aca="false">IF($B51="","",IF(ABS(N51-(L51-K51+1))&lt;=3,"CONTINUA","CON INTERRUPCIONES - REVISAR"))</f>
        <v/>
      </c>
      <c r="V51" s="20" t="str">
        <f aca="false">IF($B51="","",TRIM(SUBSTITUTE(SUBSTITUTE(SUBSTITUTE(SUBSTITUTE(SUBSTITUTE(SUBSTITUTE(UPPER(IFERROR(INDEX('Registro de Comisión'!$L$5:$L$304,MATCH($B51&amp;"-ACT",'Registro de Comisión'!$N$5:$N$304,0)),"SIN REGISTRAR")),"Á","A"),"É","E"),"Í","I"),"Ó","O"),"Ú","U"),"Ü","U")))</f>
        <v/>
      </c>
      <c r="W51" s="20"/>
    </row>
    <row r="52" customFormat="false" ht="15" hidden="false" customHeight="false" outlineLevel="0" collapsed="false">
      <c r="A52" s="13" t="str">
        <f aca="false">IF($B52="","",ROW()-6)</f>
        <v/>
      </c>
      <c r="B52" s="13" t="str">
        <f aca="false">IFERROR(INDEX('Registro de Comisión'!$A$5:$A$304,MATCH(ROW()-21,'Registro de Comisión'!$P$5:$P$304,0)),"")</f>
        <v/>
      </c>
      <c r="C52" s="14" t="str">
        <f aca="false">IF($B52="","",TRIM(SUBSTITUTE(SUBSTITUTE(SUBSTITUTE(SUBSTITUTE(SUBSTITUTE(SUBSTITUTE(UPPER(IFERROR(INDEX('Registro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2" s="13" t="str">
        <f aca="false">IF($B52="","",TRIM(SUBSTITUTE(SUBSTITUTE(SUBSTITUTE(SUBSTITUTE(SUBSTITUTE(SUBSTITUTE(UPPER(IFERROR(INDEX('Registro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2" s="14" t="str">
        <f aca="false">IF($B52="","",TRIM(SUBSTITUTE(SUBSTITUTE(SUBSTITUTE(SUBSTITUTE(SUBSTITUTE(SUBSTITUTE(UPPER(IFERROR(INDEX('Registro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2" s="14" t="str">
        <f aca="false">IF($B52="","",TRIM(SUBSTITUTE(SUBSTITUTE(SUBSTITUTE(SUBSTITUTE(SUBSTITUTE(SUBSTITUTE(UPPER(IFERROR(INDEX('Registro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2" s="14" t="str">
        <f aca="false">IF($B52="","",TRIM(SUBSTITUTE(SUBSTITUTE(SUBSTITUTE(SUBSTITUTE(SUBSTITUTE(SUBSTITUTE(UPPER(IFERROR(INDEX('Registro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2" s="13" t="str">
        <f aca="false">IF($B52="","",TRIM(SUBSTITUTE(SUBSTITUTE(SUBSTITUTE(SUBSTITUTE(SUBSTITUTE(SUBSTITUTE(UPPER(IFERROR(INDEX('Registro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2" s="25" t="str">
        <f aca="false">IF($B52="","",IFERROR(INDEX('Registro de Comisión'!$H$5:$H$304,MATCH(ROW()-21,'Registro de Comisión'!$P$5:$P$304,0)),""))</f>
        <v/>
      </c>
      <c r="J52" s="14" t="str">
        <f aca="false">IF($B52="","",TRIM(SUBSTITUTE(SUBSTITUTE(SUBSTITUTE(SUBSTITUTE(SUBSTITUTE(SUBSTITUTE(UPPER(IFERROR(INDEX(tblPeriodos[Institución en el Período],MATCH($B52&amp;"-1",tblPeriodos[Clave (uso interno)],0)),"SIN PERIODO REGISTRADO")),"Á","A"),"É","E"),"Í","I"),"Ó","O"),"Ú","U"),"Ü","U")))</f>
        <v/>
      </c>
      <c r="K52" s="16" t="str">
        <f aca="false">IF($B52="","",IFERROR(_xlfn.MINIFS(tblPeriodos[Fecha Inicio del Período],tblPeriodos[Cédula],$B52),""))</f>
        <v/>
      </c>
      <c r="L52" s="16" t="str">
        <f aca="false">IF($B52="","",IFERROR(_xlfn.MAXIFS(tblPeriodos[Fecha Fin del Período],tblPeriodos[Cédula],$B52),""))</f>
        <v/>
      </c>
      <c r="M52" s="13" t="str">
        <f aca="false">IF($B52="","",COUNTIFS(tblPeriodos[Cédula],$B52))</f>
        <v/>
      </c>
      <c r="N52" s="17" t="str">
        <f aca="false">IF($B52="","",SUMIFS(tblPeriodos[Días del Período],tblPeriodos[Cédula],$B52))</f>
        <v/>
      </c>
      <c r="O52" s="18" t="str">
        <f aca="false">IF($B52="","",ROUND(N52/365.25,1))</f>
        <v/>
      </c>
      <c r="P52" s="16" t="str">
        <f aca="false">IF($B52="","",EDATE(K52,72))</f>
        <v/>
      </c>
      <c r="Q52" s="17" t="str">
        <f aca="true">IF($B52="","",P52-TODAY())</f>
        <v/>
      </c>
      <c r="R52" s="13" t="str">
        <f aca="false">IF($B52="","",IF(Q52&lt;=0,"🔴 SUPERO LIMITE LEGAL",IF(Q52&lt;=180,"🟠 PROXIMO AL LIMITE (6 ANOS)",IF(Q52&lt;=365,"🟡 VIGILAR (&lt; 1 ANO)","🟢 DENTRO DEL LIMITE"))))</f>
        <v/>
      </c>
      <c r="S52" s="17" t="str">
        <f aca="true">IF($B52="","",L52-TODAY())</f>
        <v/>
      </c>
      <c r="T52" s="13" t="str">
        <f aca="false">IF($B52="","",IF(S52&lt;0,"🔴 COMISION VENCIDA",IF(S52&lt;=90,"🟠 VENCE PRONTO (&lt;=90 DIAS)",IF(S52&lt;=180,"🟡 PROXIMA A VENCER (&lt;=180 DIAS)","🟢 VIGENTE"))))</f>
        <v/>
      </c>
      <c r="U52" s="13" t="str">
        <f aca="false">IF($B52="","",IF(ABS(N52-(L52-K52+1))&lt;=3,"CONTINUA","CON INTERRUPCIONES - REVISAR"))</f>
        <v/>
      </c>
      <c r="V52" s="14" t="str">
        <f aca="false">IF($B52="","",TRIM(SUBSTITUTE(SUBSTITUTE(SUBSTITUTE(SUBSTITUTE(SUBSTITUTE(SUBSTITUTE(UPPER(IFERROR(INDEX('Registro de Comisión'!$L$5:$L$304,MATCH($B52&amp;"-ACT",'Registro de Comisión'!$N$5:$N$304,0)),"SIN REGISTRAR")),"Á","A"),"É","E"),"Í","I"),"Ó","O"),"Ú","U"),"Ü","U")))</f>
        <v/>
      </c>
      <c r="W52" s="14"/>
    </row>
    <row r="53" customFormat="false" ht="15" hidden="false" customHeight="false" outlineLevel="0" collapsed="false">
      <c r="A53" s="19" t="str">
        <f aca="false">IF($B53="","",ROW()-6)</f>
        <v/>
      </c>
      <c r="B53" s="19" t="str">
        <f aca="false">IFERROR(INDEX('Registro de Comisión'!$A$5:$A$304,MATCH(ROW()-21,'Registro de Comisión'!$P$5:$P$304,0)),"")</f>
        <v/>
      </c>
      <c r="C53" s="20" t="str">
        <f aca="false">IF($B53="","",TRIM(SUBSTITUTE(SUBSTITUTE(SUBSTITUTE(SUBSTITUTE(SUBSTITUTE(SUBSTITUTE(UPPER(IFERROR(INDEX('Registro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3" s="19" t="str">
        <f aca="false">IF($B53="","",TRIM(SUBSTITUTE(SUBSTITUTE(SUBSTITUTE(SUBSTITUTE(SUBSTITUTE(SUBSTITUTE(UPPER(IFERROR(INDEX('Registro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3" s="20" t="str">
        <f aca="false">IF($B53="","",TRIM(SUBSTITUTE(SUBSTITUTE(SUBSTITUTE(SUBSTITUTE(SUBSTITUTE(SUBSTITUTE(UPPER(IFERROR(INDEX('Registro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3" s="20" t="str">
        <f aca="false">IF($B53="","",TRIM(SUBSTITUTE(SUBSTITUTE(SUBSTITUTE(SUBSTITUTE(SUBSTITUTE(SUBSTITUTE(UPPER(IFERROR(INDEX('Registro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3" s="20" t="str">
        <f aca="false">IF($B53="","",TRIM(SUBSTITUTE(SUBSTITUTE(SUBSTITUTE(SUBSTITUTE(SUBSTITUTE(SUBSTITUTE(UPPER(IFERROR(INDEX('Registro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3" s="19" t="str">
        <f aca="false">IF($B53="","",TRIM(SUBSTITUTE(SUBSTITUTE(SUBSTITUTE(SUBSTITUTE(SUBSTITUTE(SUBSTITUTE(UPPER(IFERROR(INDEX('Registro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3" s="26" t="str">
        <f aca="false">IF($B53="","",IFERROR(INDEX('Registro de Comisión'!$H$5:$H$304,MATCH(ROW()-21,'Registro de Comisión'!$P$5:$P$304,0)),""))</f>
        <v/>
      </c>
      <c r="J53" s="20" t="str">
        <f aca="false">IF($B53="","",TRIM(SUBSTITUTE(SUBSTITUTE(SUBSTITUTE(SUBSTITUTE(SUBSTITUTE(SUBSTITUTE(UPPER(IFERROR(INDEX(tblPeriodos[Institución en el Período],MATCH($B53&amp;"-1",tblPeriodos[Clave (uso interno)],0)),"SIN PERIODO REGISTRADO")),"Á","A"),"É","E"),"Í","I"),"Ó","O"),"Ú","U"),"Ü","U")))</f>
        <v/>
      </c>
      <c r="K53" s="22" t="str">
        <f aca="false">IF($B53="","",IFERROR(_xlfn.MINIFS(tblPeriodos[Fecha Inicio del Período],tblPeriodos[Cédula],$B53),""))</f>
        <v/>
      </c>
      <c r="L53" s="22" t="str">
        <f aca="false">IF($B53="","",IFERROR(_xlfn.MAXIFS(tblPeriodos[Fecha Fin del Período],tblPeriodos[Cédula],$B53),""))</f>
        <v/>
      </c>
      <c r="M53" s="19" t="str">
        <f aca="false">IF($B53="","",COUNTIFS(tblPeriodos[Cédula],$B53))</f>
        <v/>
      </c>
      <c r="N53" s="23" t="str">
        <f aca="false">IF($B53="","",SUMIFS(tblPeriodos[Días del Período],tblPeriodos[Cédula],$B53))</f>
        <v/>
      </c>
      <c r="O53" s="24" t="str">
        <f aca="false">IF($B53="","",ROUND(N53/365.25,1))</f>
        <v/>
      </c>
      <c r="P53" s="22" t="str">
        <f aca="false">IF($B53="","",EDATE(K53,72))</f>
        <v/>
      </c>
      <c r="Q53" s="23" t="str">
        <f aca="true">IF($B53="","",P53-TODAY())</f>
        <v/>
      </c>
      <c r="R53" s="19" t="str">
        <f aca="false">IF($B53="","",IF(Q53&lt;=0,"🔴 SUPERO LIMITE LEGAL",IF(Q53&lt;=180,"🟠 PROXIMO AL LIMITE (6 ANOS)",IF(Q53&lt;=365,"🟡 VIGILAR (&lt; 1 ANO)","🟢 DENTRO DEL LIMITE"))))</f>
        <v/>
      </c>
      <c r="S53" s="23" t="str">
        <f aca="true">IF($B53="","",L53-TODAY())</f>
        <v/>
      </c>
      <c r="T53" s="19" t="str">
        <f aca="false">IF($B53="","",IF(S53&lt;0,"🔴 COMISION VENCIDA",IF(S53&lt;=90,"🟠 VENCE PRONTO (&lt;=90 DIAS)",IF(S53&lt;=180,"🟡 PROXIMA A VENCER (&lt;=180 DIAS)","🟢 VIGENTE"))))</f>
        <v/>
      </c>
      <c r="U53" s="19" t="str">
        <f aca="false">IF($B53="","",IF(ABS(N53-(L53-K53+1))&lt;=3,"CONTINUA","CON INTERRUPCIONES - REVISAR"))</f>
        <v/>
      </c>
      <c r="V53" s="20" t="str">
        <f aca="false">IF($B53="","",TRIM(SUBSTITUTE(SUBSTITUTE(SUBSTITUTE(SUBSTITUTE(SUBSTITUTE(SUBSTITUTE(UPPER(IFERROR(INDEX('Registro de Comisión'!$L$5:$L$304,MATCH($B53&amp;"-ACT",'Registro de Comisión'!$N$5:$N$304,0)),"SIN REGISTRAR")),"Á","A"),"É","E"),"Í","I"),"Ó","O"),"Ú","U"),"Ü","U")))</f>
        <v/>
      </c>
      <c r="W53" s="20"/>
    </row>
    <row r="54" customFormat="false" ht="15" hidden="false" customHeight="false" outlineLevel="0" collapsed="false">
      <c r="A54" s="13" t="str">
        <f aca="false">IF($B54="","",ROW()-6)</f>
        <v/>
      </c>
      <c r="B54" s="13" t="str">
        <f aca="false">IFERROR(INDEX('Registro de Comisión'!$A$5:$A$304,MATCH(ROW()-21,'Registro de Comisión'!$P$5:$P$304,0)),"")</f>
        <v/>
      </c>
      <c r="C54" s="14" t="str">
        <f aca="false">IF($B54="","",TRIM(SUBSTITUTE(SUBSTITUTE(SUBSTITUTE(SUBSTITUTE(SUBSTITUTE(SUBSTITUTE(UPPER(IFERROR(INDEX('Registro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4" s="13" t="str">
        <f aca="false">IF($B54="","",TRIM(SUBSTITUTE(SUBSTITUTE(SUBSTITUTE(SUBSTITUTE(SUBSTITUTE(SUBSTITUTE(UPPER(IFERROR(INDEX('Registro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4" s="14" t="str">
        <f aca="false">IF($B54="","",TRIM(SUBSTITUTE(SUBSTITUTE(SUBSTITUTE(SUBSTITUTE(SUBSTITUTE(SUBSTITUTE(UPPER(IFERROR(INDEX('Registro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4" s="14" t="str">
        <f aca="false">IF($B54="","",TRIM(SUBSTITUTE(SUBSTITUTE(SUBSTITUTE(SUBSTITUTE(SUBSTITUTE(SUBSTITUTE(UPPER(IFERROR(INDEX('Registro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4" s="14" t="str">
        <f aca="false">IF($B54="","",TRIM(SUBSTITUTE(SUBSTITUTE(SUBSTITUTE(SUBSTITUTE(SUBSTITUTE(SUBSTITUTE(UPPER(IFERROR(INDEX('Registro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4" s="13" t="str">
        <f aca="false">IF($B54="","",TRIM(SUBSTITUTE(SUBSTITUTE(SUBSTITUTE(SUBSTITUTE(SUBSTITUTE(SUBSTITUTE(UPPER(IFERROR(INDEX('Registro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4" s="25" t="str">
        <f aca="false">IF($B54="","",IFERROR(INDEX('Registro de Comisión'!$H$5:$H$304,MATCH(ROW()-21,'Registro de Comisión'!$P$5:$P$304,0)),""))</f>
        <v/>
      </c>
      <c r="J54" s="14" t="str">
        <f aca="false">IF($B54="","",TRIM(SUBSTITUTE(SUBSTITUTE(SUBSTITUTE(SUBSTITUTE(SUBSTITUTE(SUBSTITUTE(UPPER(IFERROR(INDEX(tblPeriodos[Institución en el Período],MATCH($B54&amp;"-1",tblPeriodos[Clave (uso interno)],0)),"SIN PERIODO REGISTRADO")),"Á","A"),"É","E"),"Í","I"),"Ó","O"),"Ú","U"),"Ü","U")))</f>
        <v/>
      </c>
      <c r="K54" s="16" t="str">
        <f aca="false">IF($B54="","",IFERROR(_xlfn.MINIFS(tblPeriodos[Fecha Inicio del Período],tblPeriodos[Cédula],$B54),""))</f>
        <v/>
      </c>
      <c r="L54" s="16" t="str">
        <f aca="false">IF($B54="","",IFERROR(_xlfn.MAXIFS(tblPeriodos[Fecha Fin del Período],tblPeriodos[Cédula],$B54),""))</f>
        <v/>
      </c>
      <c r="M54" s="13" t="str">
        <f aca="false">IF($B54="","",COUNTIFS(tblPeriodos[Cédula],$B54))</f>
        <v/>
      </c>
      <c r="N54" s="17" t="str">
        <f aca="false">IF($B54="","",SUMIFS(tblPeriodos[Días del Período],tblPeriodos[Cédula],$B54))</f>
        <v/>
      </c>
      <c r="O54" s="18" t="str">
        <f aca="false">IF($B54="","",ROUND(N54/365.25,1))</f>
        <v/>
      </c>
      <c r="P54" s="16" t="str">
        <f aca="false">IF($B54="","",EDATE(K54,72))</f>
        <v/>
      </c>
      <c r="Q54" s="17" t="str">
        <f aca="true">IF($B54="","",P54-TODAY())</f>
        <v/>
      </c>
      <c r="R54" s="13" t="str">
        <f aca="false">IF($B54="","",IF(Q54&lt;=0,"🔴 SUPERO LIMITE LEGAL",IF(Q54&lt;=180,"🟠 PROXIMO AL LIMITE (6 ANOS)",IF(Q54&lt;=365,"🟡 VIGILAR (&lt; 1 ANO)","🟢 DENTRO DEL LIMITE"))))</f>
        <v/>
      </c>
      <c r="S54" s="17" t="str">
        <f aca="true">IF($B54="","",L54-TODAY())</f>
        <v/>
      </c>
      <c r="T54" s="13" t="str">
        <f aca="false">IF($B54="","",IF(S54&lt;0,"🔴 COMISION VENCIDA",IF(S54&lt;=90,"🟠 VENCE PRONTO (&lt;=90 DIAS)",IF(S54&lt;=180,"🟡 PROXIMA A VENCER (&lt;=180 DIAS)","🟢 VIGENTE"))))</f>
        <v/>
      </c>
      <c r="U54" s="13" t="str">
        <f aca="false">IF($B54="","",IF(ABS(N54-(L54-K54+1))&lt;=3,"CONTINUA","CON INTERRUPCIONES - REVISAR"))</f>
        <v/>
      </c>
      <c r="V54" s="14" t="str">
        <f aca="false">IF($B54="","",TRIM(SUBSTITUTE(SUBSTITUTE(SUBSTITUTE(SUBSTITUTE(SUBSTITUTE(SUBSTITUTE(UPPER(IFERROR(INDEX('Registro de Comisión'!$L$5:$L$304,MATCH($B54&amp;"-ACT",'Registro de Comisión'!$N$5:$N$304,0)),"SIN REGISTRAR")),"Á","A"),"É","E"),"Í","I"),"Ó","O"),"Ú","U"),"Ü","U")))</f>
        <v/>
      </c>
      <c r="W54" s="14"/>
    </row>
    <row r="55" customFormat="false" ht="15" hidden="false" customHeight="false" outlineLevel="0" collapsed="false">
      <c r="A55" s="19" t="str">
        <f aca="false">IF($B55="","",ROW()-6)</f>
        <v/>
      </c>
      <c r="B55" s="19" t="str">
        <f aca="false">IFERROR(INDEX('Registro de Comisión'!$A$5:$A$304,MATCH(ROW()-21,'Registro de Comisión'!$P$5:$P$304,0)),"")</f>
        <v/>
      </c>
      <c r="C55" s="20" t="str">
        <f aca="false">IF($B55="","",TRIM(SUBSTITUTE(SUBSTITUTE(SUBSTITUTE(SUBSTITUTE(SUBSTITUTE(SUBSTITUTE(UPPER(IFERROR(INDEX('Registro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5" s="19" t="str">
        <f aca="false">IF($B55="","",TRIM(SUBSTITUTE(SUBSTITUTE(SUBSTITUTE(SUBSTITUTE(SUBSTITUTE(SUBSTITUTE(UPPER(IFERROR(INDEX('Registro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5" s="20" t="str">
        <f aca="false">IF($B55="","",TRIM(SUBSTITUTE(SUBSTITUTE(SUBSTITUTE(SUBSTITUTE(SUBSTITUTE(SUBSTITUTE(UPPER(IFERROR(INDEX('Registro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5" s="20" t="str">
        <f aca="false">IF($B55="","",TRIM(SUBSTITUTE(SUBSTITUTE(SUBSTITUTE(SUBSTITUTE(SUBSTITUTE(SUBSTITUTE(UPPER(IFERROR(INDEX('Registro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5" s="20" t="str">
        <f aca="false">IF($B55="","",TRIM(SUBSTITUTE(SUBSTITUTE(SUBSTITUTE(SUBSTITUTE(SUBSTITUTE(SUBSTITUTE(UPPER(IFERROR(INDEX('Registro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5" s="19" t="str">
        <f aca="false">IF($B55="","",TRIM(SUBSTITUTE(SUBSTITUTE(SUBSTITUTE(SUBSTITUTE(SUBSTITUTE(SUBSTITUTE(UPPER(IFERROR(INDEX('Registro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5" s="26" t="str">
        <f aca="false">IF($B55="","",IFERROR(INDEX('Registro de Comisión'!$H$5:$H$304,MATCH(ROW()-21,'Registro de Comisión'!$P$5:$P$304,0)),""))</f>
        <v/>
      </c>
      <c r="J55" s="20" t="str">
        <f aca="false">IF($B55="","",TRIM(SUBSTITUTE(SUBSTITUTE(SUBSTITUTE(SUBSTITUTE(SUBSTITUTE(SUBSTITUTE(UPPER(IFERROR(INDEX(tblPeriodos[Institución en el Período],MATCH($B55&amp;"-1",tblPeriodos[Clave (uso interno)],0)),"SIN PERIODO REGISTRADO")),"Á","A"),"É","E"),"Í","I"),"Ó","O"),"Ú","U"),"Ü","U")))</f>
        <v/>
      </c>
      <c r="K55" s="22" t="str">
        <f aca="false">IF($B55="","",IFERROR(_xlfn.MINIFS(tblPeriodos[Fecha Inicio del Período],tblPeriodos[Cédula],$B55),""))</f>
        <v/>
      </c>
      <c r="L55" s="22" t="str">
        <f aca="false">IF($B55="","",IFERROR(_xlfn.MAXIFS(tblPeriodos[Fecha Fin del Período],tblPeriodos[Cédula],$B55),""))</f>
        <v/>
      </c>
      <c r="M55" s="19" t="str">
        <f aca="false">IF($B55="","",COUNTIFS(tblPeriodos[Cédula],$B55))</f>
        <v/>
      </c>
      <c r="N55" s="23" t="str">
        <f aca="false">IF($B55="","",SUMIFS(tblPeriodos[Días del Período],tblPeriodos[Cédula],$B55))</f>
        <v/>
      </c>
      <c r="O55" s="24" t="str">
        <f aca="false">IF($B55="","",ROUND(N55/365.25,1))</f>
        <v/>
      </c>
      <c r="P55" s="22" t="str">
        <f aca="false">IF($B55="","",EDATE(K55,72))</f>
        <v/>
      </c>
      <c r="Q55" s="23" t="str">
        <f aca="true">IF($B55="","",P55-TODAY())</f>
        <v/>
      </c>
      <c r="R55" s="19" t="str">
        <f aca="false">IF($B55="","",IF(Q55&lt;=0,"🔴 SUPERO LIMITE LEGAL",IF(Q55&lt;=180,"🟠 PROXIMO AL LIMITE (6 ANOS)",IF(Q55&lt;=365,"🟡 VIGILAR (&lt; 1 ANO)","🟢 DENTRO DEL LIMITE"))))</f>
        <v/>
      </c>
      <c r="S55" s="23" t="str">
        <f aca="true">IF($B55="","",L55-TODAY())</f>
        <v/>
      </c>
      <c r="T55" s="19" t="str">
        <f aca="false">IF($B55="","",IF(S55&lt;0,"🔴 COMISION VENCIDA",IF(S55&lt;=90,"🟠 VENCE PRONTO (&lt;=90 DIAS)",IF(S55&lt;=180,"🟡 PROXIMA A VENCER (&lt;=180 DIAS)","🟢 VIGENTE"))))</f>
        <v/>
      </c>
      <c r="U55" s="19" t="str">
        <f aca="false">IF($B55="","",IF(ABS(N55-(L55-K55+1))&lt;=3,"CONTINUA","CON INTERRUPCIONES - REVISAR"))</f>
        <v/>
      </c>
      <c r="V55" s="20" t="str">
        <f aca="false">IF($B55="","",TRIM(SUBSTITUTE(SUBSTITUTE(SUBSTITUTE(SUBSTITUTE(SUBSTITUTE(SUBSTITUTE(UPPER(IFERROR(INDEX('Registro de Comisión'!$L$5:$L$304,MATCH($B55&amp;"-ACT",'Registro de Comisión'!$N$5:$N$304,0)),"SIN REGISTRAR")),"Á","A"),"É","E"),"Í","I"),"Ó","O"),"Ú","U"),"Ü","U")))</f>
        <v/>
      </c>
      <c r="W55" s="20"/>
    </row>
    <row r="56" customFormat="false" ht="15" hidden="false" customHeight="false" outlineLevel="0" collapsed="false">
      <c r="A56" s="13" t="str">
        <f aca="false">IF($B56="","",ROW()-6)</f>
        <v/>
      </c>
      <c r="B56" s="13" t="str">
        <f aca="false">IFERROR(INDEX('Registro de Comisión'!$A$5:$A$304,MATCH(ROW()-21,'Registro de Comisión'!$P$5:$P$304,0)),"")</f>
        <v/>
      </c>
      <c r="C56" s="14" t="str">
        <f aca="false">IF($B56="","",TRIM(SUBSTITUTE(SUBSTITUTE(SUBSTITUTE(SUBSTITUTE(SUBSTITUTE(SUBSTITUTE(UPPER(IFERROR(INDEX('Registro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6" s="13" t="str">
        <f aca="false">IF($B56="","",TRIM(SUBSTITUTE(SUBSTITUTE(SUBSTITUTE(SUBSTITUTE(SUBSTITUTE(SUBSTITUTE(UPPER(IFERROR(INDEX('Registro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6" s="14" t="str">
        <f aca="false">IF($B56="","",TRIM(SUBSTITUTE(SUBSTITUTE(SUBSTITUTE(SUBSTITUTE(SUBSTITUTE(SUBSTITUTE(UPPER(IFERROR(INDEX('Registro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6" s="14" t="str">
        <f aca="false">IF($B56="","",TRIM(SUBSTITUTE(SUBSTITUTE(SUBSTITUTE(SUBSTITUTE(SUBSTITUTE(SUBSTITUTE(UPPER(IFERROR(INDEX('Registro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6" s="14" t="str">
        <f aca="false">IF($B56="","",TRIM(SUBSTITUTE(SUBSTITUTE(SUBSTITUTE(SUBSTITUTE(SUBSTITUTE(SUBSTITUTE(UPPER(IFERROR(INDEX('Registro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6" s="13" t="str">
        <f aca="false">IF($B56="","",TRIM(SUBSTITUTE(SUBSTITUTE(SUBSTITUTE(SUBSTITUTE(SUBSTITUTE(SUBSTITUTE(UPPER(IFERROR(INDEX('Registro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6" s="25" t="str">
        <f aca="false">IF($B56="","",IFERROR(INDEX('Registro de Comisión'!$H$5:$H$304,MATCH(ROW()-21,'Registro de Comisión'!$P$5:$P$304,0)),""))</f>
        <v/>
      </c>
      <c r="J56" s="14" t="str">
        <f aca="false">IF($B56="","",TRIM(SUBSTITUTE(SUBSTITUTE(SUBSTITUTE(SUBSTITUTE(SUBSTITUTE(SUBSTITUTE(UPPER(IFERROR(INDEX(tblPeriodos[Institución en el Período],MATCH($B56&amp;"-1",tblPeriodos[Clave (uso interno)],0)),"SIN PERIODO REGISTRADO")),"Á","A"),"É","E"),"Í","I"),"Ó","O"),"Ú","U"),"Ü","U")))</f>
        <v/>
      </c>
      <c r="K56" s="16" t="str">
        <f aca="false">IF($B56="","",IFERROR(_xlfn.MINIFS(tblPeriodos[Fecha Inicio del Período],tblPeriodos[Cédula],$B56),""))</f>
        <v/>
      </c>
      <c r="L56" s="16" t="str">
        <f aca="false">IF($B56="","",IFERROR(_xlfn.MAXIFS(tblPeriodos[Fecha Fin del Período],tblPeriodos[Cédula],$B56),""))</f>
        <v/>
      </c>
      <c r="M56" s="13" t="str">
        <f aca="false">IF($B56="","",COUNTIFS(tblPeriodos[Cédula],$B56))</f>
        <v/>
      </c>
      <c r="N56" s="17" t="str">
        <f aca="false">IF($B56="","",SUMIFS(tblPeriodos[Días del Período],tblPeriodos[Cédula],$B56))</f>
        <v/>
      </c>
      <c r="O56" s="18" t="str">
        <f aca="false">IF($B56="","",ROUND(N56/365.25,1))</f>
        <v/>
      </c>
      <c r="P56" s="16" t="str">
        <f aca="false">IF($B56="","",EDATE(K56,72))</f>
        <v/>
      </c>
      <c r="Q56" s="17" t="str">
        <f aca="true">IF($B56="","",P56-TODAY())</f>
        <v/>
      </c>
      <c r="R56" s="13" t="str">
        <f aca="false">IF($B56="","",IF(Q56&lt;=0,"🔴 SUPERO LIMITE LEGAL",IF(Q56&lt;=180,"🟠 PROXIMO AL LIMITE (6 ANOS)",IF(Q56&lt;=365,"🟡 VIGILAR (&lt; 1 ANO)","🟢 DENTRO DEL LIMITE"))))</f>
        <v/>
      </c>
      <c r="S56" s="17" t="str">
        <f aca="true">IF($B56="","",L56-TODAY())</f>
        <v/>
      </c>
      <c r="T56" s="13" t="str">
        <f aca="false">IF($B56="","",IF(S56&lt;0,"🔴 COMISION VENCIDA",IF(S56&lt;=90,"🟠 VENCE PRONTO (&lt;=90 DIAS)",IF(S56&lt;=180,"🟡 PROXIMA A VENCER (&lt;=180 DIAS)","🟢 VIGENTE"))))</f>
        <v/>
      </c>
      <c r="U56" s="13" t="str">
        <f aca="false">IF($B56="","",IF(ABS(N56-(L56-K56+1))&lt;=3,"CONTINUA","CON INTERRUPCIONES - REVISAR"))</f>
        <v/>
      </c>
      <c r="V56" s="14" t="str">
        <f aca="false">IF($B56="","",TRIM(SUBSTITUTE(SUBSTITUTE(SUBSTITUTE(SUBSTITUTE(SUBSTITUTE(SUBSTITUTE(UPPER(IFERROR(INDEX('Registro de Comisión'!$L$5:$L$304,MATCH($B56&amp;"-ACT",'Registro de Comisión'!$N$5:$N$304,0)),"SIN REGISTRAR")),"Á","A"),"É","E"),"Í","I"),"Ó","O"),"Ú","U"),"Ü","U")))</f>
        <v/>
      </c>
      <c r="W56" s="14"/>
    </row>
    <row r="57" customFormat="false" ht="15" hidden="false" customHeight="false" outlineLevel="0" collapsed="false">
      <c r="A57" s="19" t="str">
        <f aca="false">IF($B57="","",ROW()-6)</f>
        <v/>
      </c>
      <c r="B57" s="19" t="str">
        <f aca="false">IFERROR(INDEX('Registro de Comisión'!$A$5:$A$304,MATCH(ROW()-21,'Registro de Comisión'!$P$5:$P$304,0)),"")</f>
        <v/>
      </c>
      <c r="C57" s="20" t="str">
        <f aca="false">IF($B57="","",TRIM(SUBSTITUTE(SUBSTITUTE(SUBSTITUTE(SUBSTITUTE(SUBSTITUTE(SUBSTITUTE(UPPER(IFERROR(INDEX('Registro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7" s="19" t="str">
        <f aca="false">IF($B57="","",TRIM(SUBSTITUTE(SUBSTITUTE(SUBSTITUTE(SUBSTITUTE(SUBSTITUTE(SUBSTITUTE(UPPER(IFERROR(INDEX('Registro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7" s="20" t="str">
        <f aca="false">IF($B57="","",TRIM(SUBSTITUTE(SUBSTITUTE(SUBSTITUTE(SUBSTITUTE(SUBSTITUTE(SUBSTITUTE(UPPER(IFERROR(INDEX('Registro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7" s="20" t="str">
        <f aca="false">IF($B57="","",TRIM(SUBSTITUTE(SUBSTITUTE(SUBSTITUTE(SUBSTITUTE(SUBSTITUTE(SUBSTITUTE(UPPER(IFERROR(INDEX('Registro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7" s="20" t="str">
        <f aca="false">IF($B57="","",TRIM(SUBSTITUTE(SUBSTITUTE(SUBSTITUTE(SUBSTITUTE(SUBSTITUTE(SUBSTITUTE(UPPER(IFERROR(INDEX('Registro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7" s="19" t="str">
        <f aca="false">IF($B57="","",TRIM(SUBSTITUTE(SUBSTITUTE(SUBSTITUTE(SUBSTITUTE(SUBSTITUTE(SUBSTITUTE(UPPER(IFERROR(INDEX('Registro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7" s="26" t="str">
        <f aca="false">IF($B57="","",IFERROR(INDEX('Registro de Comisión'!$H$5:$H$304,MATCH(ROW()-21,'Registro de Comisión'!$P$5:$P$304,0)),""))</f>
        <v/>
      </c>
      <c r="J57" s="20" t="str">
        <f aca="false">IF($B57="","",TRIM(SUBSTITUTE(SUBSTITUTE(SUBSTITUTE(SUBSTITUTE(SUBSTITUTE(SUBSTITUTE(UPPER(IFERROR(INDEX(tblPeriodos[Institución en el Período],MATCH($B57&amp;"-1",tblPeriodos[Clave (uso interno)],0)),"SIN PERIODO REGISTRADO")),"Á","A"),"É","E"),"Í","I"),"Ó","O"),"Ú","U"),"Ü","U")))</f>
        <v/>
      </c>
      <c r="K57" s="22" t="str">
        <f aca="false">IF($B57="","",IFERROR(_xlfn.MINIFS(tblPeriodos[Fecha Inicio del Período],tblPeriodos[Cédula],$B57),""))</f>
        <v/>
      </c>
      <c r="L57" s="22" t="str">
        <f aca="false">IF($B57="","",IFERROR(_xlfn.MAXIFS(tblPeriodos[Fecha Fin del Período],tblPeriodos[Cédula],$B57),""))</f>
        <v/>
      </c>
      <c r="M57" s="19" t="str">
        <f aca="false">IF($B57="","",COUNTIFS(tblPeriodos[Cédula],$B57))</f>
        <v/>
      </c>
      <c r="N57" s="23" t="str">
        <f aca="false">IF($B57="","",SUMIFS(tblPeriodos[Días del Período],tblPeriodos[Cédula],$B57))</f>
        <v/>
      </c>
      <c r="O57" s="24" t="str">
        <f aca="false">IF($B57="","",ROUND(N57/365.25,1))</f>
        <v/>
      </c>
      <c r="P57" s="22" t="str">
        <f aca="false">IF($B57="","",EDATE(K57,72))</f>
        <v/>
      </c>
      <c r="Q57" s="23" t="str">
        <f aca="true">IF($B57="","",P57-TODAY())</f>
        <v/>
      </c>
      <c r="R57" s="19" t="str">
        <f aca="false">IF($B57="","",IF(Q57&lt;=0,"🔴 SUPERO LIMITE LEGAL",IF(Q57&lt;=180,"🟠 PROXIMO AL LIMITE (6 ANOS)",IF(Q57&lt;=365,"🟡 VIGILAR (&lt; 1 ANO)","🟢 DENTRO DEL LIMITE"))))</f>
        <v/>
      </c>
      <c r="S57" s="23" t="str">
        <f aca="true">IF($B57="","",L57-TODAY())</f>
        <v/>
      </c>
      <c r="T57" s="19" t="str">
        <f aca="false">IF($B57="","",IF(S57&lt;0,"🔴 COMISION VENCIDA",IF(S57&lt;=90,"🟠 VENCE PRONTO (&lt;=90 DIAS)",IF(S57&lt;=180,"🟡 PROXIMA A VENCER (&lt;=180 DIAS)","🟢 VIGENTE"))))</f>
        <v/>
      </c>
      <c r="U57" s="19" t="str">
        <f aca="false">IF($B57="","",IF(ABS(N57-(L57-K57+1))&lt;=3,"CONTINUA","CON INTERRUPCIONES - REVISAR"))</f>
        <v/>
      </c>
      <c r="V57" s="20" t="str">
        <f aca="false">IF($B57="","",TRIM(SUBSTITUTE(SUBSTITUTE(SUBSTITUTE(SUBSTITUTE(SUBSTITUTE(SUBSTITUTE(UPPER(IFERROR(INDEX('Registro de Comisión'!$L$5:$L$304,MATCH($B57&amp;"-ACT",'Registro de Comisión'!$N$5:$N$304,0)),"SIN REGISTRAR")),"Á","A"),"É","E"),"Í","I"),"Ó","O"),"Ú","U"),"Ü","U")))</f>
        <v/>
      </c>
      <c r="W57" s="20"/>
    </row>
    <row r="58" customFormat="false" ht="15" hidden="false" customHeight="false" outlineLevel="0" collapsed="false">
      <c r="A58" s="13" t="str">
        <f aca="false">IF($B58="","",ROW()-6)</f>
        <v/>
      </c>
      <c r="B58" s="13" t="str">
        <f aca="false">IFERROR(INDEX('Registro de Comisión'!$A$5:$A$304,MATCH(ROW()-21,'Registro de Comisión'!$P$5:$P$304,0)),"")</f>
        <v/>
      </c>
      <c r="C58" s="14" t="str">
        <f aca="false">IF($B58="","",TRIM(SUBSTITUTE(SUBSTITUTE(SUBSTITUTE(SUBSTITUTE(SUBSTITUTE(SUBSTITUTE(UPPER(IFERROR(INDEX('Registro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8" s="13" t="str">
        <f aca="false">IF($B58="","",TRIM(SUBSTITUTE(SUBSTITUTE(SUBSTITUTE(SUBSTITUTE(SUBSTITUTE(SUBSTITUTE(UPPER(IFERROR(INDEX('Registro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8" s="14" t="str">
        <f aca="false">IF($B58="","",TRIM(SUBSTITUTE(SUBSTITUTE(SUBSTITUTE(SUBSTITUTE(SUBSTITUTE(SUBSTITUTE(UPPER(IFERROR(INDEX('Registro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8" s="14" t="str">
        <f aca="false">IF($B58="","",TRIM(SUBSTITUTE(SUBSTITUTE(SUBSTITUTE(SUBSTITUTE(SUBSTITUTE(SUBSTITUTE(UPPER(IFERROR(INDEX('Registro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8" s="14" t="str">
        <f aca="false">IF($B58="","",TRIM(SUBSTITUTE(SUBSTITUTE(SUBSTITUTE(SUBSTITUTE(SUBSTITUTE(SUBSTITUTE(UPPER(IFERROR(INDEX('Registro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8" s="13" t="str">
        <f aca="false">IF($B58="","",TRIM(SUBSTITUTE(SUBSTITUTE(SUBSTITUTE(SUBSTITUTE(SUBSTITUTE(SUBSTITUTE(UPPER(IFERROR(INDEX('Registro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8" s="25" t="str">
        <f aca="false">IF($B58="","",IFERROR(INDEX('Registro de Comisión'!$H$5:$H$304,MATCH(ROW()-21,'Registro de Comisión'!$P$5:$P$304,0)),""))</f>
        <v/>
      </c>
      <c r="J58" s="14" t="str">
        <f aca="false">IF($B58="","",TRIM(SUBSTITUTE(SUBSTITUTE(SUBSTITUTE(SUBSTITUTE(SUBSTITUTE(SUBSTITUTE(UPPER(IFERROR(INDEX(tblPeriodos[Institución en el Período],MATCH($B58&amp;"-1",tblPeriodos[Clave (uso interno)],0)),"SIN PERIODO REGISTRADO")),"Á","A"),"É","E"),"Í","I"),"Ó","O"),"Ú","U"),"Ü","U")))</f>
        <v/>
      </c>
      <c r="K58" s="16" t="str">
        <f aca="false">IF($B58="","",IFERROR(_xlfn.MINIFS(tblPeriodos[Fecha Inicio del Período],tblPeriodos[Cédula],$B58),""))</f>
        <v/>
      </c>
      <c r="L58" s="16" t="str">
        <f aca="false">IF($B58="","",IFERROR(_xlfn.MAXIFS(tblPeriodos[Fecha Fin del Período],tblPeriodos[Cédula],$B58),""))</f>
        <v/>
      </c>
      <c r="M58" s="13" t="str">
        <f aca="false">IF($B58="","",COUNTIFS(tblPeriodos[Cédula],$B58))</f>
        <v/>
      </c>
      <c r="N58" s="17" t="str">
        <f aca="false">IF($B58="","",SUMIFS(tblPeriodos[Días del Período],tblPeriodos[Cédula],$B58))</f>
        <v/>
      </c>
      <c r="O58" s="18" t="str">
        <f aca="false">IF($B58="","",ROUND(N58/365.25,1))</f>
        <v/>
      </c>
      <c r="P58" s="16" t="str">
        <f aca="false">IF($B58="","",EDATE(K58,72))</f>
        <v/>
      </c>
      <c r="Q58" s="17" t="str">
        <f aca="true">IF($B58="","",P58-TODAY())</f>
        <v/>
      </c>
      <c r="R58" s="13" t="str">
        <f aca="false">IF($B58="","",IF(Q58&lt;=0,"🔴 SUPERO LIMITE LEGAL",IF(Q58&lt;=180,"🟠 PROXIMO AL LIMITE (6 ANOS)",IF(Q58&lt;=365,"🟡 VIGILAR (&lt; 1 ANO)","🟢 DENTRO DEL LIMITE"))))</f>
        <v/>
      </c>
      <c r="S58" s="17" t="str">
        <f aca="true">IF($B58="","",L58-TODAY())</f>
        <v/>
      </c>
      <c r="T58" s="13" t="str">
        <f aca="false">IF($B58="","",IF(S58&lt;0,"🔴 COMISION VENCIDA",IF(S58&lt;=90,"🟠 VENCE PRONTO (&lt;=90 DIAS)",IF(S58&lt;=180,"🟡 PROXIMA A VENCER (&lt;=180 DIAS)","🟢 VIGENTE"))))</f>
        <v/>
      </c>
      <c r="U58" s="13" t="str">
        <f aca="false">IF($B58="","",IF(ABS(N58-(L58-K58+1))&lt;=3,"CONTINUA","CON INTERRUPCIONES - REVISAR"))</f>
        <v/>
      </c>
      <c r="V58" s="14" t="str">
        <f aca="false">IF($B58="","",TRIM(SUBSTITUTE(SUBSTITUTE(SUBSTITUTE(SUBSTITUTE(SUBSTITUTE(SUBSTITUTE(UPPER(IFERROR(INDEX('Registro de Comisión'!$L$5:$L$304,MATCH($B58&amp;"-ACT",'Registro de Comisión'!$N$5:$N$304,0)),"SIN REGISTRAR")),"Á","A"),"É","E"),"Í","I"),"Ó","O"),"Ú","U"),"Ü","U")))</f>
        <v/>
      </c>
      <c r="W58" s="14"/>
    </row>
    <row r="59" customFormat="false" ht="15" hidden="false" customHeight="false" outlineLevel="0" collapsed="false">
      <c r="A59" s="19" t="str">
        <f aca="false">IF($B59="","",ROW()-6)</f>
        <v/>
      </c>
      <c r="B59" s="19" t="str">
        <f aca="false">IFERROR(INDEX('Registro de Comisión'!$A$5:$A$304,MATCH(ROW()-21,'Registro de Comisión'!$P$5:$P$304,0)),"")</f>
        <v/>
      </c>
      <c r="C59" s="20" t="str">
        <f aca="false">IF($B59="","",TRIM(SUBSTITUTE(SUBSTITUTE(SUBSTITUTE(SUBSTITUTE(SUBSTITUTE(SUBSTITUTE(UPPER(IFERROR(INDEX('Registro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59" s="19" t="str">
        <f aca="false">IF($B59="","",TRIM(SUBSTITUTE(SUBSTITUTE(SUBSTITUTE(SUBSTITUTE(SUBSTITUTE(SUBSTITUTE(UPPER(IFERROR(INDEX('Registro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59" s="20" t="str">
        <f aca="false">IF($B59="","",TRIM(SUBSTITUTE(SUBSTITUTE(SUBSTITUTE(SUBSTITUTE(SUBSTITUTE(SUBSTITUTE(UPPER(IFERROR(INDEX('Registro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59" s="20" t="str">
        <f aca="false">IF($B59="","",TRIM(SUBSTITUTE(SUBSTITUTE(SUBSTITUTE(SUBSTITUTE(SUBSTITUTE(SUBSTITUTE(UPPER(IFERROR(INDEX('Registro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59" s="20" t="str">
        <f aca="false">IF($B59="","",TRIM(SUBSTITUTE(SUBSTITUTE(SUBSTITUTE(SUBSTITUTE(SUBSTITUTE(SUBSTITUTE(UPPER(IFERROR(INDEX('Registro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59" s="19" t="str">
        <f aca="false">IF($B59="","",TRIM(SUBSTITUTE(SUBSTITUTE(SUBSTITUTE(SUBSTITUTE(SUBSTITUTE(SUBSTITUTE(UPPER(IFERROR(INDEX('Registro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59" s="26" t="str">
        <f aca="false">IF($B59="","",IFERROR(INDEX('Registro de Comisión'!$H$5:$H$304,MATCH(ROW()-21,'Registro de Comisión'!$P$5:$P$304,0)),""))</f>
        <v/>
      </c>
      <c r="J59" s="20" t="str">
        <f aca="false">IF($B59="","",TRIM(SUBSTITUTE(SUBSTITUTE(SUBSTITUTE(SUBSTITUTE(SUBSTITUTE(SUBSTITUTE(UPPER(IFERROR(INDEX(tblPeriodos[Institución en el Período],MATCH($B59&amp;"-1",tblPeriodos[Clave (uso interno)],0)),"SIN PERIODO REGISTRADO")),"Á","A"),"É","E"),"Í","I"),"Ó","O"),"Ú","U"),"Ü","U")))</f>
        <v/>
      </c>
      <c r="K59" s="22" t="str">
        <f aca="false">IF($B59="","",IFERROR(_xlfn.MINIFS(tblPeriodos[Fecha Inicio del Período],tblPeriodos[Cédula],$B59),""))</f>
        <v/>
      </c>
      <c r="L59" s="22" t="str">
        <f aca="false">IF($B59="","",IFERROR(_xlfn.MAXIFS(tblPeriodos[Fecha Fin del Período],tblPeriodos[Cédula],$B59),""))</f>
        <v/>
      </c>
      <c r="M59" s="19" t="str">
        <f aca="false">IF($B59="","",COUNTIFS(tblPeriodos[Cédula],$B59))</f>
        <v/>
      </c>
      <c r="N59" s="23" t="str">
        <f aca="false">IF($B59="","",SUMIFS(tblPeriodos[Días del Período],tblPeriodos[Cédula],$B59))</f>
        <v/>
      </c>
      <c r="O59" s="24" t="str">
        <f aca="false">IF($B59="","",ROUND(N59/365.25,1))</f>
        <v/>
      </c>
      <c r="P59" s="22" t="str">
        <f aca="false">IF($B59="","",EDATE(K59,72))</f>
        <v/>
      </c>
      <c r="Q59" s="23" t="str">
        <f aca="true">IF($B59="","",P59-TODAY())</f>
        <v/>
      </c>
      <c r="R59" s="19" t="str">
        <f aca="false">IF($B59="","",IF(Q59&lt;=0,"🔴 SUPERO LIMITE LEGAL",IF(Q59&lt;=180,"🟠 PROXIMO AL LIMITE (6 ANOS)",IF(Q59&lt;=365,"🟡 VIGILAR (&lt; 1 ANO)","🟢 DENTRO DEL LIMITE"))))</f>
        <v/>
      </c>
      <c r="S59" s="23" t="str">
        <f aca="true">IF($B59="","",L59-TODAY())</f>
        <v/>
      </c>
      <c r="T59" s="19" t="str">
        <f aca="false">IF($B59="","",IF(S59&lt;0,"🔴 COMISION VENCIDA",IF(S59&lt;=90,"🟠 VENCE PRONTO (&lt;=90 DIAS)",IF(S59&lt;=180,"🟡 PROXIMA A VENCER (&lt;=180 DIAS)","🟢 VIGENTE"))))</f>
        <v/>
      </c>
      <c r="U59" s="19" t="str">
        <f aca="false">IF($B59="","",IF(ABS(N59-(L59-K59+1))&lt;=3,"CONTINUA","CON INTERRUPCIONES - REVISAR"))</f>
        <v/>
      </c>
      <c r="V59" s="20" t="str">
        <f aca="false">IF($B59="","",TRIM(SUBSTITUTE(SUBSTITUTE(SUBSTITUTE(SUBSTITUTE(SUBSTITUTE(SUBSTITUTE(UPPER(IFERROR(INDEX('Registro de Comisión'!$L$5:$L$304,MATCH($B59&amp;"-ACT",'Registro de Comisión'!$N$5:$N$304,0)),"SIN REGISTRAR")),"Á","A"),"É","E"),"Í","I"),"Ó","O"),"Ú","U"),"Ü","U")))</f>
        <v/>
      </c>
      <c r="W59" s="20"/>
    </row>
    <row r="60" customFormat="false" ht="15" hidden="false" customHeight="false" outlineLevel="0" collapsed="false">
      <c r="A60" s="13" t="str">
        <f aca="false">IF($B60="","",ROW()-6)</f>
        <v/>
      </c>
      <c r="B60" s="13" t="str">
        <f aca="false">IFERROR(INDEX('Registro de Comisión'!$A$5:$A$304,MATCH(ROW()-21,'Registro de Comisión'!$P$5:$P$304,0)),"")</f>
        <v/>
      </c>
      <c r="C60" s="14" t="str">
        <f aca="false">IF($B60="","",TRIM(SUBSTITUTE(SUBSTITUTE(SUBSTITUTE(SUBSTITUTE(SUBSTITUTE(SUBSTITUTE(UPPER(IFERROR(INDEX('Registro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0" s="13" t="str">
        <f aca="false">IF($B60="","",TRIM(SUBSTITUTE(SUBSTITUTE(SUBSTITUTE(SUBSTITUTE(SUBSTITUTE(SUBSTITUTE(UPPER(IFERROR(INDEX('Registro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0" s="14" t="str">
        <f aca="false">IF($B60="","",TRIM(SUBSTITUTE(SUBSTITUTE(SUBSTITUTE(SUBSTITUTE(SUBSTITUTE(SUBSTITUTE(UPPER(IFERROR(INDEX('Registro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0" s="14" t="str">
        <f aca="false">IF($B60="","",TRIM(SUBSTITUTE(SUBSTITUTE(SUBSTITUTE(SUBSTITUTE(SUBSTITUTE(SUBSTITUTE(UPPER(IFERROR(INDEX('Registro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0" s="14" t="str">
        <f aca="false">IF($B60="","",TRIM(SUBSTITUTE(SUBSTITUTE(SUBSTITUTE(SUBSTITUTE(SUBSTITUTE(SUBSTITUTE(UPPER(IFERROR(INDEX('Registro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0" s="13" t="str">
        <f aca="false">IF($B60="","",TRIM(SUBSTITUTE(SUBSTITUTE(SUBSTITUTE(SUBSTITUTE(SUBSTITUTE(SUBSTITUTE(UPPER(IFERROR(INDEX('Registro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0" s="25" t="str">
        <f aca="false">IF($B60="","",IFERROR(INDEX('Registro de Comisión'!$H$5:$H$304,MATCH(ROW()-21,'Registro de Comisión'!$P$5:$P$304,0)),""))</f>
        <v/>
      </c>
      <c r="J60" s="14" t="str">
        <f aca="false">IF($B60="","",TRIM(SUBSTITUTE(SUBSTITUTE(SUBSTITUTE(SUBSTITUTE(SUBSTITUTE(SUBSTITUTE(UPPER(IFERROR(INDEX(tblPeriodos[Institución en el Período],MATCH($B60&amp;"-1",tblPeriodos[Clave (uso interno)],0)),"SIN PERIODO REGISTRADO")),"Á","A"),"É","E"),"Í","I"),"Ó","O"),"Ú","U"),"Ü","U")))</f>
        <v/>
      </c>
      <c r="K60" s="16" t="str">
        <f aca="false">IF($B60="","",IFERROR(_xlfn.MINIFS(tblPeriodos[Fecha Inicio del Período],tblPeriodos[Cédula],$B60),""))</f>
        <v/>
      </c>
      <c r="L60" s="16" t="str">
        <f aca="false">IF($B60="","",IFERROR(_xlfn.MAXIFS(tblPeriodos[Fecha Fin del Período],tblPeriodos[Cédula],$B60),""))</f>
        <v/>
      </c>
      <c r="M60" s="13" t="str">
        <f aca="false">IF($B60="","",COUNTIFS(tblPeriodos[Cédula],$B60))</f>
        <v/>
      </c>
      <c r="N60" s="17" t="str">
        <f aca="false">IF($B60="","",SUMIFS(tblPeriodos[Días del Período],tblPeriodos[Cédula],$B60))</f>
        <v/>
      </c>
      <c r="O60" s="18" t="str">
        <f aca="false">IF($B60="","",ROUND(N60/365.25,1))</f>
        <v/>
      </c>
      <c r="P60" s="16" t="str">
        <f aca="false">IF($B60="","",EDATE(K60,72))</f>
        <v/>
      </c>
      <c r="Q60" s="17" t="str">
        <f aca="true">IF($B60="","",P60-TODAY())</f>
        <v/>
      </c>
      <c r="R60" s="13" t="str">
        <f aca="false">IF($B60="","",IF(Q60&lt;=0,"🔴 SUPERO LIMITE LEGAL",IF(Q60&lt;=180,"🟠 PROXIMO AL LIMITE (6 ANOS)",IF(Q60&lt;=365,"🟡 VIGILAR (&lt; 1 ANO)","🟢 DENTRO DEL LIMITE"))))</f>
        <v/>
      </c>
      <c r="S60" s="17" t="str">
        <f aca="true">IF($B60="","",L60-TODAY())</f>
        <v/>
      </c>
      <c r="T60" s="13" t="str">
        <f aca="false">IF($B60="","",IF(S60&lt;0,"🔴 COMISION VENCIDA",IF(S60&lt;=90,"🟠 VENCE PRONTO (&lt;=90 DIAS)",IF(S60&lt;=180,"🟡 PROXIMA A VENCER (&lt;=180 DIAS)","🟢 VIGENTE"))))</f>
        <v/>
      </c>
      <c r="U60" s="13" t="str">
        <f aca="false">IF($B60="","",IF(ABS(N60-(L60-K60+1))&lt;=3,"CONTINUA","CON INTERRUPCIONES - REVISAR"))</f>
        <v/>
      </c>
      <c r="V60" s="14" t="str">
        <f aca="false">IF($B60="","",TRIM(SUBSTITUTE(SUBSTITUTE(SUBSTITUTE(SUBSTITUTE(SUBSTITUTE(SUBSTITUTE(UPPER(IFERROR(INDEX('Registro de Comisión'!$L$5:$L$304,MATCH($B60&amp;"-ACT",'Registro de Comisión'!$N$5:$N$304,0)),"SIN REGISTRAR")),"Á","A"),"É","E"),"Í","I"),"Ó","O"),"Ú","U"),"Ü","U")))</f>
        <v/>
      </c>
      <c r="W60" s="14"/>
    </row>
    <row r="61" customFormat="false" ht="15" hidden="false" customHeight="false" outlineLevel="0" collapsed="false">
      <c r="A61" s="19" t="str">
        <f aca="false">IF($B61="","",ROW()-6)</f>
        <v/>
      </c>
      <c r="B61" s="19" t="str">
        <f aca="false">IFERROR(INDEX('Registro de Comisión'!$A$5:$A$304,MATCH(ROW()-21,'Registro de Comisión'!$P$5:$P$304,0)),"")</f>
        <v/>
      </c>
      <c r="C61" s="20" t="str">
        <f aca="false">IF($B61="","",TRIM(SUBSTITUTE(SUBSTITUTE(SUBSTITUTE(SUBSTITUTE(SUBSTITUTE(SUBSTITUTE(UPPER(IFERROR(INDEX('Registro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1" s="19" t="str">
        <f aca="false">IF($B61="","",TRIM(SUBSTITUTE(SUBSTITUTE(SUBSTITUTE(SUBSTITUTE(SUBSTITUTE(SUBSTITUTE(UPPER(IFERROR(INDEX('Registro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1" s="20" t="str">
        <f aca="false">IF($B61="","",TRIM(SUBSTITUTE(SUBSTITUTE(SUBSTITUTE(SUBSTITUTE(SUBSTITUTE(SUBSTITUTE(UPPER(IFERROR(INDEX('Registro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1" s="20" t="str">
        <f aca="false">IF($B61="","",TRIM(SUBSTITUTE(SUBSTITUTE(SUBSTITUTE(SUBSTITUTE(SUBSTITUTE(SUBSTITUTE(UPPER(IFERROR(INDEX('Registro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1" s="20" t="str">
        <f aca="false">IF($B61="","",TRIM(SUBSTITUTE(SUBSTITUTE(SUBSTITUTE(SUBSTITUTE(SUBSTITUTE(SUBSTITUTE(UPPER(IFERROR(INDEX('Registro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1" s="19" t="str">
        <f aca="false">IF($B61="","",TRIM(SUBSTITUTE(SUBSTITUTE(SUBSTITUTE(SUBSTITUTE(SUBSTITUTE(SUBSTITUTE(UPPER(IFERROR(INDEX('Registro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1" s="26" t="str">
        <f aca="false">IF($B61="","",IFERROR(INDEX('Registro de Comisión'!$H$5:$H$304,MATCH(ROW()-21,'Registro de Comisión'!$P$5:$P$304,0)),""))</f>
        <v/>
      </c>
      <c r="J61" s="20" t="str">
        <f aca="false">IF($B61="","",TRIM(SUBSTITUTE(SUBSTITUTE(SUBSTITUTE(SUBSTITUTE(SUBSTITUTE(SUBSTITUTE(UPPER(IFERROR(INDEX(tblPeriodos[Institución en el Período],MATCH($B61&amp;"-1",tblPeriodos[Clave (uso interno)],0)),"SIN PERIODO REGISTRADO")),"Á","A"),"É","E"),"Í","I"),"Ó","O"),"Ú","U"),"Ü","U")))</f>
        <v/>
      </c>
      <c r="K61" s="22" t="str">
        <f aca="false">IF($B61="","",IFERROR(_xlfn.MINIFS(tblPeriodos[Fecha Inicio del Período],tblPeriodos[Cédula],$B61),""))</f>
        <v/>
      </c>
      <c r="L61" s="22" t="str">
        <f aca="false">IF($B61="","",IFERROR(_xlfn.MAXIFS(tblPeriodos[Fecha Fin del Período],tblPeriodos[Cédula],$B61),""))</f>
        <v/>
      </c>
      <c r="M61" s="19" t="str">
        <f aca="false">IF($B61="","",COUNTIFS(tblPeriodos[Cédula],$B61))</f>
        <v/>
      </c>
      <c r="N61" s="23" t="str">
        <f aca="false">IF($B61="","",SUMIFS(tblPeriodos[Días del Período],tblPeriodos[Cédula],$B61))</f>
        <v/>
      </c>
      <c r="O61" s="24" t="str">
        <f aca="false">IF($B61="","",ROUND(N61/365.25,1))</f>
        <v/>
      </c>
      <c r="P61" s="22" t="str">
        <f aca="false">IF($B61="","",EDATE(K61,72))</f>
        <v/>
      </c>
      <c r="Q61" s="23" t="str">
        <f aca="true">IF($B61="","",P61-TODAY())</f>
        <v/>
      </c>
      <c r="R61" s="19" t="str">
        <f aca="false">IF($B61="","",IF(Q61&lt;=0,"🔴 SUPERO LIMITE LEGAL",IF(Q61&lt;=180,"🟠 PROXIMO AL LIMITE (6 ANOS)",IF(Q61&lt;=365,"🟡 VIGILAR (&lt; 1 ANO)","🟢 DENTRO DEL LIMITE"))))</f>
        <v/>
      </c>
      <c r="S61" s="23" t="str">
        <f aca="true">IF($B61="","",L61-TODAY())</f>
        <v/>
      </c>
      <c r="T61" s="19" t="str">
        <f aca="false">IF($B61="","",IF(S61&lt;0,"🔴 COMISION VENCIDA",IF(S61&lt;=90,"🟠 VENCE PRONTO (&lt;=90 DIAS)",IF(S61&lt;=180,"🟡 PROXIMA A VENCER (&lt;=180 DIAS)","🟢 VIGENTE"))))</f>
        <v/>
      </c>
      <c r="U61" s="19" t="str">
        <f aca="false">IF($B61="","",IF(ABS(N61-(L61-K61+1))&lt;=3,"CONTINUA","CON INTERRUPCIONES - REVISAR"))</f>
        <v/>
      </c>
      <c r="V61" s="20" t="str">
        <f aca="false">IF($B61="","",TRIM(SUBSTITUTE(SUBSTITUTE(SUBSTITUTE(SUBSTITUTE(SUBSTITUTE(SUBSTITUTE(UPPER(IFERROR(INDEX('Registro de Comisión'!$L$5:$L$304,MATCH($B61&amp;"-ACT",'Registro de Comisión'!$N$5:$N$304,0)),"SIN REGISTRAR")),"Á","A"),"É","E"),"Í","I"),"Ó","O"),"Ú","U"),"Ü","U")))</f>
        <v/>
      </c>
      <c r="W61" s="20"/>
    </row>
    <row r="62" customFormat="false" ht="15" hidden="false" customHeight="false" outlineLevel="0" collapsed="false">
      <c r="A62" s="13" t="str">
        <f aca="false">IF($B62="","",ROW()-6)</f>
        <v/>
      </c>
      <c r="B62" s="13" t="str">
        <f aca="false">IFERROR(INDEX('Registro de Comisión'!$A$5:$A$304,MATCH(ROW()-21,'Registro de Comisión'!$P$5:$P$304,0)),"")</f>
        <v/>
      </c>
      <c r="C62" s="14" t="str">
        <f aca="false">IF($B62="","",TRIM(SUBSTITUTE(SUBSTITUTE(SUBSTITUTE(SUBSTITUTE(SUBSTITUTE(SUBSTITUTE(UPPER(IFERROR(INDEX('Registro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2" s="13" t="str">
        <f aca="false">IF($B62="","",TRIM(SUBSTITUTE(SUBSTITUTE(SUBSTITUTE(SUBSTITUTE(SUBSTITUTE(SUBSTITUTE(UPPER(IFERROR(INDEX('Registro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2" s="14" t="str">
        <f aca="false">IF($B62="","",TRIM(SUBSTITUTE(SUBSTITUTE(SUBSTITUTE(SUBSTITUTE(SUBSTITUTE(SUBSTITUTE(UPPER(IFERROR(INDEX('Registro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2" s="14" t="str">
        <f aca="false">IF($B62="","",TRIM(SUBSTITUTE(SUBSTITUTE(SUBSTITUTE(SUBSTITUTE(SUBSTITUTE(SUBSTITUTE(UPPER(IFERROR(INDEX('Registro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2" s="14" t="str">
        <f aca="false">IF($B62="","",TRIM(SUBSTITUTE(SUBSTITUTE(SUBSTITUTE(SUBSTITUTE(SUBSTITUTE(SUBSTITUTE(UPPER(IFERROR(INDEX('Registro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2" s="13" t="str">
        <f aca="false">IF($B62="","",TRIM(SUBSTITUTE(SUBSTITUTE(SUBSTITUTE(SUBSTITUTE(SUBSTITUTE(SUBSTITUTE(UPPER(IFERROR(INDEX('Registro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2" s="25" t="str">
        <f aca="false">IF($B62="","",IFERROR(INDEX('Registro de Comisión'!$H$5:$H$304,MATCH(ROW()-21,'Registro de Comisión'!$P$5:$P$304,0)),""))</f>
        <v/>
      </c>
      <c r="J62" s="14" t="str">
        <f aca="false">IF($B62="","",TRIM(SUBSTITUTE(SUBSTITUTE(SUBSTITUTE(SUBSTITUTE(SUBSTITUTE(SUBSTITUTE(UPPER(IFERROR(INDEX(tblPeriodos[Institución en el Período],MATCH($B62&amp;"-1",tblPeriodos[Clave (uso interno)],0)),"SIN PERIODO REGISTRADO")),"Á","A"),"É","E"),"Í","I"),"Ó","O"),"Ú","U"),"Ü","U")))</f>
        <v/>
      </c>
      <c r="K62" s="16" t="str">
        <f aca="false">IF($B62="","",IFERROR(_xlfn.MINIFS(tblPeriodos[Fecha Inicio del Período],tblPeriodos[Cédula],$B62),""))</f>
        <v/>
      </c>
      <c r="L62" s="16" t="str">
        <f aca="false">IF($B62="","",IFERROR(_xlfn.MAXIFS(tblPeriodos[Fecha Fin del Período],tblPeriodos[Cédula],$B62),""))</f>
        <v/>
      </c>
      <c r="M62" s="13" t="str">
        <f aca="false">IF($B62="","",COUNTIFS(tblPeriodos[Cédula],$B62))</f>
        <v/>
      </c>
      <c r="N62" s="17" t="str">
        <f aca="false">IF($B62="","",SUMIFS(tblPeriodos[Días del Período],tblPeriodos[Cédula],$B62))</f>
        <v/>
      </c>
      <c r="O62" s="18" t="str">
        <f aca="false">IF($B62="","",ROUND(N62/365.25,1))</f>
        <v/>
      </c>
      <c r="P62" s="16" t="str">
        <f aca="false">IF($B62="","",EDATE(K62,72))</f>
        <v/>
      </c>
      <c r="Q62" s="17" t="str">
        <f aca="true">IF($B62="","",P62-TODAY())</f>
        <v/>
      </c>
      <c r="R62" s="13" t="str">
        <f aca="false">IF($B62="","",IF(Q62&lt;=0,"🔴 SUPERO LIMITE LEGAL",IF(Q62&lt;=180,"🟠 PROXIMO AL LIMITE (6 ANOS)",IF(Q62&lt;=365,"🟡 VIGILAR (&lt; 1 ANO)","🟢 DENTRO DEL LIMITE"))))</f>
        <v/>
      </c>
      <c r="S62" s="17" t="str">
        <f aca="true">IF($B62="","",L62-TODAY())</f>
        <v/>
      </c>
      <c r="T62" s="13" t="str">
        <f aca="false">IF($B62="","",IF(S62&lt;0,"🔴 COMISION VENCIDA",IF(S62&lt;=90,"🟠 VENCE PRONTO (&lt;=90 DIAS)",IF(S62&lt;=180,"🟡 PROXIMA A VENCER (&lt;=180 DIAS)","🟢 VIGENTE"))))</f>
        <v/>
      </c>
      <c r="U62" s="13" t="str">
        <f aca="false">IF($B62="","",IF(ABS(N62-(L62-K62+1))&lt;=3,"CONTINUA","CON INTERRUPCIONES - REVISAR"))</f>
        <v/>
      </c>
      <c r="V62" s="14" t="str">
        <f aca="false">IF($B62="","",TRIM(SUBSTITUTE(SUBSTITUTE(SUBSTITUTE(SUBSTITUTE(SUBSTITUTE(SUBSTITUTE(UPPER(IFERROR(INDEX('Registro de Comisión'!$L$5:$L$304,MATCH($B62&amp;"-ACT",'Registro de Comisión'!$N$5:$N$304,0)),"SIN REGISTRAR")),"Á","A"),"É","E"),"Í","I"),"Ó","O"),"Ú","U"),"Ü","U")))</f>
        <v/>
      </c>
      <c r="W62" s="14"/>
    </row>
    <row r="63" customFormat="false" ht="15" hidden="false" customHeight="false" outlineLevel="0" collapsed="false">
      <c r="A63" s="19" t="str">
        <f aca="false">IF($B63="","",ROW()-6)</f>
        <v/>
      </c>
      <c r="B63" s="19" t="str">
        <f aca="false">IFERROR(INDEX('Registro de Comisión'!$A$5:$A$304,MATCH(ROW()-21,'Registro de Comisión'!$P$5:$P$304,0)),"")</f>
        <v/>
      </c>
      <c r="C63" s="20" t="str">
        <f aca="false">IF($B63="","",TRIM(SUBSTITUTE(SUBSTITUTE(SUBSTITUTE(SUBSTITUTE(SUBSTITUTE(SUBSTITUTE(UPPER(IFERROR(INDEX('Registro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3" s="19" t="str">
        <f aca="false">IF($B63="","",TRIM(SUBSTITUTE(SUBSTITUTE(SUBSTITUTE(SUBSTITUTE(SUBSTITUTE(SUBSTITUTE(UPPER(IFERROR(INDEX('Registro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3" s="20" t="str">
        <f aca="false">IF($B63="","",TRIM(SUBSTITUTE(SUBSTITUTE(SUBSTITUTE(SUBSTITUTE(SUBSTITUTE(SUBSTITUTE(UPPER(IFERROR(INDEX('Registro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3" s="20" t="str">
        <f aca="false">IF($B63="","",TRIM(SUBSTITUTE(SUBSTITUTE(SUBSTITUTE(SUBSTITUTE(SUBSTITUTE(SUBSTITUTE(UPPER(IFERROR(INDEX('Registro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3" s="20" t="str">
        <f aca="false">IF($B63="","",TRIM(SUBSTITUTE(SUBSTITUTE(SUBSTITUTE(SUBSTITUTE(SUBSTITUTE(SUBSTITUTE(UPPER(IFERROR(INDEX('Registro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3" s="19" t="str">
        <f aca="false">IF($B63="","",TRIM(SUBSTITUTE(SUBSTITUTE(SUBSTITUTE(SUBSTITUTE(SUBSTITUTE(SUBSTITUTE(UPPER(IFERROR(INDEX('Registro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3" s="26" t="str">
        <f aca="false">IF($B63="","",IFERROR(INDEX('Registro de Comisión'!$H$5:$H$304,MATCH(ROW()-21,'Registro de Comisión'!$P$5:$P$304,0)),""))</f>
        <v/>
      </c>
      <c r="J63" s="20" t="str">
        <f aca="false">IF($B63="","",TRIM(SUBSTITUTE(SUBSTITUTE(SUBSTITUTE(SUBSTITUTE(SUBSTITUTE(SUBSTITUTE(UPPER(IFERROR(INDEX(tblPeriodos[Institución en el Período],MATCH($B63&amp;"-1",tblPeriodos[Clave (uso interno)],0)),"SIN PERIODO REGISTRADO")),"Á","A"),"É","E"),"Í","I"),"Ó","O"),"Ú","U"),"Ü","U")))</f>
        <v/>
      </c>
      <c r="K63" s="22" t="str">
        <f aca="false">IF($B63="","",IFERROR(_xlfn.MINIFS(tblPeriodos[Fecha Inicio del Período],tblPeriodos[Cédula],$B63),""))</f>
        <v/>
      </c>
      <c r="L63" s="22" t="str">
        <f aca="false">IF($B63="","",IFERROR(_xlfn.MAXIFS(tblPeriodos[Fecha Fin del Período],tblPeriodos[Cédula],$B63),""))</f>
        <v/>
      </c>
      <c r="M63" s="19" t="str">
        <f aca="false">IF($B63="","",COUNTIFS(tblPeriodos[Cédula],$B63))</f>
        <v/>
      </c>
      <c r="N63" s="23" t="str">
        <f aca="false">IF($B63="","",SUMIFS(tblPeriodos[Días del Período],tblPeriodos[Cédula],$B63))</f>
        <v/>
      </c>
      <c r="O63" s="24" t="str">
        <f aca="false">IF($B63="","",ROUND(N63/365.25,1))</f>
        <v/>
      </c>
      <c r="P63" s="22" t="str">
        <f aca="false">IF($B63="","",EDATE(K63,72))</f>
        <v/>
      </c>
      <c r="Q63" s="23" t="str">
        <f aca="true">IF($B63="","",P63-TODAY())</f>
        <v/>
      </c>
      <c r="R63" s="19" t="str">
        <f aca="false">IF($B63="","",IF(Q63&lt;=0,"🔴 SUPERO LIMITE LEGAL",IF(Q63&lt;=180,"🟠 PROXIMO AL LIMITE (6 ANOS)",IF(Q63&lt;=365,"🟡 VIGILAR (&lt; 1 ANO)","🟢 DENTRO DEL LIMITE"))))</f>
        <v/>
      </c>
      <c r="S63" s="23" t="str">
        <f aca="true">IF($B63="","",L63-TODAY())</f>
        <v/>
      </c>
      <c r="T63" s="19" t="str">
        <f aca="false">IF($B63="","",IF(S63&lt;0,"🔴 COMISION VENCIDA",IF(S63&lt;=90,"🟠 VENCE PRONTO (&lt;=90 DIAS)",IF(S63&lt;=180,"🟡 PROXIMA A VENCER (&lt;=180 DIAS)","🟢 VIGENTE"))))</f>
        <v/>
      </c>
      <c r="U63" s="19" t="str">
        <f aca="false">IF($B63="","",IF(ABS(N63-(L63-K63+1))&lt;=3,"CONTINUA","CON INTERRUPCIONES - REVISAR"))</f>
        <v/>
      </c>
      <c r="V63" s="20" t="str">
        <f aca="false">IF($B63="","",TRIM(SUBSTITUTE(SUBSTITUTE(SUBSTITUTE(SUBSTITUTE(SUBSTITUTE(SUBSTITUTE(UPPER(IFERROR(INDEX('Registro de Comisión'!$L$5:$L$304,MATCH($B63&amp;"-ACT",'Registro de Comisión'!$N$5:$N$304,0)),"SIN REGISTRAR")),"Á","A"),"É","E"),"Í","I"),"Ó","O"),"Ú","U"),"Ü","U")))</f>
        <v/>
      </c>
      <c r="W63" s="20"/>
    </row>
    <row r="64" customFormat="false" ht="15" hidden="false" customHeight="false" outlineLevel="0" collapsed="false">
      <c r="A64" s="13" t="str">
        <f aca="false">IF($B64="","",ROW()-6)</f>
        <v/>
      </c>
      <c r="B64" s="13" t="str">
        <f aca="false">IFERROR(INDEX('Registro de Comisión'!$A$5:$A$304,MATCH(ROW()-21,'Registro de Comisión'!$P$5:$P$304,0)),"")</f>
        <v/>
      </c>
      <c r="C64" s="14" t="str">
        <f aca="false">IF($B64="","",TRIM(SUBSTITUTE(SUBSTITUTE(SUBSTITUTE(SUBSTITUTE(SUBSTITUTE(SUBSTITUTE(UPPER(IFERROR(INDEX('Registro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4" s="13" t="str">
        <f aca="false">IF($B64="","",TRIM(SUBSTITUTE(SUBSTITUTE(SUBSTITUTE(SUBSTITUTE(SUBSTITUTE(SUBSTITUTE(UPPER(IFERROR(INDEX('Registro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4" s="14" t="str">
        <f aca="false">IF($B64="","",TRIM(SUBSTITUTE(SUBSTITUTE(SUBSTITUTE(SUBSTITUTE(SUBSTITUTE(SUBSTITUTE(UPPER(IFERROR(INDEX('Registro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4" s="14" t="str">
        <f aca="false">IF($B64="","",TRIM(SUBSTITUTE(SUBSTITUTE(SUBSTITUTE(SUBSTITUTE(SUBSTITUTE(SUBSTITUTE(UPPER(IFERROR(INDEX('Registro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4" s="14" t="str">
        <f aca="false">IF($B64="","",TRIM(SUBSTITUTE(SUBSTITUTE(SUBSTITUTE(SUBSTITUTE(SUBSTITUTE(SUBSTITUTE(UPPER(IFERROR(INDEX('Registro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4" s="13" t="str">
        <f aca="false">IF($B64="","",TRIM(SUBSTITUTE(SUBSTITUTE(SUBSTITUTE(SUBSTITUTE(SUBSTITUTE(SUBSTITUTE(UPPER(IFERROR(INDEX('Registro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4" s="25" t="str">
        <f aca="false">IF($B64="","",IFERROR(INDEX('Registro de Comisión'!$H$5:$H$304,MATCH(ROW()-21,'Registro de Comisión'!$P$5:$P$304,0)),""))</f>
        <v/>
      </c>
      <c r="J64" s="14" t="str">
        <f aca="false">IF($B64="","",TRIM(SUBSTITUTE(SUBSTITUTE(SUBSTITUTE(SUBSTITUTE(SUBSTITUTE(SUBSTITUTE(UPPER(IFERROR(INDEX(tblPeriodos[Institución en el Período],MATCH($B64&amp;"-1",tblPeriodos[Clave (uso interno)],0)),"SIN PERIODO REGISTRADO")),"Á","A"),"É","E"),"Í","I"),"Ó","O"),"Ú","U"),"Ü","U")))</f>
        <v/>
      </c>
      <c r="K64" s="16" t="str">
        <f aca="false">IF($B64="","",IFERROR(_xlfn.MINIFS(tblPeriodos[Fecha Inicio del Período],tblPeriodos[Cédula],$B64),""))</f>
        <v/>
      </c>
      <c r="L64" s="16" t="str">
        <f aca="false">IF($B64="","",IFERROR(_xlfn.MAXIFS(tblPeriodos[Fecha Fin del Período],tblPeriodos[Cédula],$B64),""))</f>
        <v/>
      </c>
      <c r="M64" s="13" t="str">
        <f aca="false">IF($B64="","",COUNTIFS(tblPeriodos[Cédula],$B64))</f>
        <v/>
      </c>
      <c r="N64" s="17" t="str">
        <f aca="false">IF($B64="","",SUMIFS(tblPeriodos[Días del Período],tblPeriodos[Cédula],$B64))</f>
        <v/>
      </c>
      <c r="O64" s="18" t="str">
        <f aca="false">IF($B64="","",ROUND(N64/365.25,1))</f>
        <v/>
      </c>
      <c r="P64" s="16" t="str">
        <f aca="false">IF($B64="","",EDATE(K64,72))</f>
        <v/>
      </c>
      <c r="Q64" s="17" t="str">
        <f aca="true">IF($B64="","",P64-TODAY())</f>
        <v/>
      </c>
      <c r="R64" s="13" t="str">
        <f aca="false">IF($B64="","",IF(Q64&lt;=0,"🔴 SUPERO LIMITE LEGAL",IF(Q64&lt;=180,"🟠 PROXIMO AL LIMITE (6 ANOS)",IF(Q64&lt;=365,"🟡 VIGILAR (&lt; 1 ANO)","🟢 DENTRO DEL LIMITE"))))</f>
        <v/>
      </c>
      <c r="S64" s="17" t="str">
        <f aca="true">IF($B64="","",L64-TODAY())</f>
        <v/>
      </c>
      <c r="T64" s="13" t="str">
        <f aca="false">IF($B64="","",IF(S64&lt;0,"🔴 COMISION VENCIDA",IF(S64&lt;=90,"🟠 VENCE PRONTO (&lt;=90 DIAS)",IF(S64&lt;=180,"🟡 PROXIMA A VENCER (&lt;=180 DIAS)","🟢 VIGENTE"))))</f>
        <v/>
      </c>
      <c r="U64" s="13" t="str">
        <f aca="false">IF($B64="","",IF(ABS(N64-(L64-K64+1))&lt;=3,"CONTINUA","CON INTERRUPCIONES - REVISAR"))</f>
        <v/>
      </c>
      <c r="V64" s="14" t="str">
        <f aca="false">IF($B64="","",TRIM(SUBSTITUTE(SUBSTITUTE(SUBSTITUTE(SUBSTITUTE(SUBSTITUTE(SUBSTITUTE(UPPER(IFERROR(INDEX('Registro de Comisión'!$L$5:$L$304,MATCH($B64&amp;"-ACT",'Registro de Comisión'!$N$5:$N$304,0)),"SIN REGISTRAR")),"Á","A"),"É","E"),"Í","I"),"Ó","O"),"Ú","U"),"Ü","U")))</f>
        <v/>
      </c>
      <c r="W64" s="14"/>
    </row>
    <row r="65" customFormat="false" ht="15" hidden="false" customHeight="false" outlineLevel="0" collapsed="false">
      <c r="A65" s="19" t="str">
        <f aca="false">IF($B65="","",ROW()-6)</f>
        <v/>
      </c>
      <c r="B65" s="19" t="str">
        <f aca="false">IFERROR(INDEX('Registro de Comisión'!$A$5:$A$304,MATCH(ROW()-21,'Registro de Comisión'!$P$5:$P$304,0)),"")</f>
        <v/>
      </c>
      <c r="C65" s="20" t="str">
        <f aca="false">IF($B65="","",TRIM(SUBSTITUTE(SUBSTITUTE(SUBSTITUTE(SUBSTITUTE(SUBSTITUTE(SUBSTITUTE(UPPER(IFERROR(INDEX('Registro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5" s="19" t="str">
        <f aca="false">IF($B65="","",TRIM(SUBSTITUTE(SUBSTITUTE(SUBSTITUTE(SUBSTITUTE(SUBSTITUTE(SUBSTITUTE(UPPER(IFERROR(INDEX('Registro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5" s="20" t="str">
        <f aca="false">IF($B65="","",TRIM(SUBSTITUTE(SUBSTITUTE(SUBSTITUTE(SUBSTITUTE(SUBSTITUTE(SUBSTITUTE(UPPER(IFERROR(INDEX('Registro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5" s="20" t="str">
        <f aca="false">IF($B65="","",TRIM(SUBSTITUTE(SUBSTITUTE(SUBSTITUTE(SUBSTITUTE(SUBSTITUTE(SUBSTITUTE(UPPER(IFERROR(INDEX('Registro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5" s="20" t="str">
        <f aca="false">IF($B65="","",TRIM(SUBSTITUTE(SUBSTITUTE(SUBSTITUTE(SUBSTITUTE(SUBSTITUTE(SUBSTITUTE(UPPER(IFERROR(INDEX('Registro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5" s="19" t="str">
        <f aca="false">IF($B65="","",TRIM(SUBSTITUTE(SUBSTITUTE(SUBSTITUTE(SUBSTITUTE(SUBSTITUTE(SUBSTITUTE(UPPER(IFERROR(INDEX('Registro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5" s="26" t="str">
        <f aca="false">IF($B65="","",IFERROR(INDEX('Registro de Comisión'!$H$5:$H$304,MATCH(ROW()-21,'Registro de Comisión'!$P$5:$P$304,0)),""))</f>
        <v/>
      </c>
      <c r="J65" s="20" t="str">
        <f aca="false">IF($B65="","",TRIM(SUBSTITUTE(SUBSTITUTE(SUBSTITUTE(SUBSTITUTE(SUBSTITUTE(SUBSTITUTE(UPPER(IFERROR(INDEX(tblPeriodos[Institución en el Período],MATCH($B65&amp;"-1",tblPeriodos[Clave (uso interno)],0)),"SIN PERIODO REGISTRADO")),"Á","A"),"É","E"),"Í","I"),"Ó","O"),"Ú","U"),"Ü","U")))</f>
        <v/>
      </c>
      <c r="K65" s="22" t="str">
        <f aca="false">IF($B65="","",IFERROR(_xlfn.MINIFS(tblPeriodos[Fecha Inicio del Período],tblPeriodos[Cédula],$B65),""))</f>
        <v/>
      </c>
      <c r="L65" s="22" t="str">
        <f aca="false">IF($B65="","",IFERROR(_xlfn.MAXIFS(tblPeriodos[Fecha Fin del Período],tblPeriodos[Cédula],$B65),""))</f>
        <v/>
      </c>
      <c r="M65" s="19" t="str">
        <f aca="false">IF($B65="","",COUNTIFS(tblPeriodos[Cédula],$B65))</f>
        <v/>
      </c>
      <c r="N65" s="23" t="str">
        <f aca="false">IF($B65="","",SUMIFS(tblPeriodos[Días del Período],tblPeriodos[Cédula],$B65))</f>
        <v/>
      </c>
      <c r="O65" s="24" t="str">
        <f aca="false">IF($B65="","",ROUND(N65/365.25,1))</f>
        <v/>
      </c>
      <c r="P65" s="22" t="str">
        <f aca="false">IF($B65="","",EDATE(K65,72))</f>
        <v/>
      </c>
      <c r="Q65" s="23" t="str">
        <f aca="true">IF($B65="","",P65-TODAY())</f>
        <v/>
      </c>
      <c r="R65" s="19" t="str">
        <f aca="false">IF($B65="","",IF(Q65&lt;=0,"🔴 SUPERO LIMITE LEGAL",IF(Q65&lt;=180,"🟠 PROXIMO AL LIMITE (6 ANOS)",IF(Q65&lt;=365,"🟡 VIGILAR (&lt; 1 ANO)","🟢 DENTRO DEL LIMITE"))))</f>
        <v/>
      </c>
      <c r="S65" s="23" t="str">
        <f aca="true">IF($B65="","",L65-TODAY())</f>
        <v/>
      </c>
      <c r="T65" s="19" t="str">
        <f aca="false">IF($B65="","",IF(S65&lt;0,"🔴 COMISION VENCIDA",IF(S65&lt;=90,"🟠 VENCE PRONTO (&lt;=90 DIAS)",IF(S65&lt;=180,"🟡 PROXIMA A VENCER (&lt;=180 DIAS)","🟢 VIGENTE"))))</f>
        <v/>
      </c>
      <c r="U65" s="19" t="str">
        <f aca="false">IF($B65="","",IF(ABS(N65-(L65-K65+1))&lt;=3,"CONTINUA","CON INTERRUPCIONES - REVISAR"))</f>
        <v/>
      </c>
      <c r="V65" s="20" t="str">
        <f aca="false">IF($B65="","",TRIM(SUBSTITUTE(SUBSTITUTE(SUBSTITUTE(SUBSTITUTE(SUBSTITUTE(SUBSTITUTE(UPPER(IFERROR(INDEX('Registro de Comisión'!$L$5:$L$304,MATCH($B65&amp;"-ACT",'Registro de Comisión'!$N$5:$N$304,0)),"SIN REGISTRAR")),"Á","A"),"É","E"),"Í","I"),"Ó","O"),"Ú","U"),"Ü","U")))</f>
        <v/>
      </c>
      <c r="W65" s="20"/>
    </row>
    <row r="66" customFormat="false" ht="15" hidden="false" customHeight="false" outlineLevel="0" collapsed="false">
      <c r="A66" s="13" t="str">
        <f aca="false">IF($B66="","",ROW()-6)</f>
        <v/>
      </c>
      <c r="B66" s="13" t="str">
        <f aca="false">IFERROR(INDEX('Registro de Comisión'!$A$5:$A$304,MATCH(ROW()-21,'Registro de Comisión'!$P$5:$P$304,0)),"")</f>
        <v/>
      </c>
      <c r="C66" s="14" t="str">
        <f aca="false">IF($B66="","",TRIM(SUBSTITUTE(SUBSTITUTE(SUBSTITUTE(SUBSTITUTE(SUBSTITUTE(SUBSTITUTE(UPPER(IFERROR(INDEX('Registro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6" s="13" t="str">
        <f aca="false">IF($B66="","",TRIM(SUBSTITUTE(SUBSTITUTE(SUBSTITUTE(SUBSTITUTE(SUBSTITUTE(SUBSTITUTE(UPPER(IFERROR(INDEX('Registro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6" s="14" t="str">
        <f aca="false">IF($B66="","",TRIM(SUBSTITUTE(SUBSTITUTE(SUBSTITUTE(SUBSTITUTE(SUBSTITUTE(SUBSTITUTE(UPPER(IFERROR(INDEX('Registro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6" s="14" t="str">
        <f aca="false">IF($B66="","",TRIM(SUBSTITUTE(SUBSTITUTE(SUBSTITUTE(SUBSTITUTE(SUBSTITUTE(SUBSTITUTE(UPPER(IFERROR(INDEX('Registro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6" s="14" t="str">
        <f aca="false">IF($B66="","",TRIM(SUBSTITUTE(SUBSTITUTE(SUBSTITUTE(SUBSTITUTE(SUBSTITUTE(SUBSTITUTE(UPPER(IFERROR(INDEX('Registro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6" s="13" t="str">
        <f aca="false">IF($B66="","",TRIM(SUBSTITUTE(SUBSTITUTE(SUBSTITUTE(SUBSTITUTE(SUBSTITUTE(SUBSTITUTE(UPPER(IFERROR(INDEX('Registro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6" s="25" t="str">
        <f aca="false">IF($B66="","",IFERROR(INDEX('Registro de Comisión'!$H$5:$H$304,MATCH(ROW()-21,'Registro de Comisión'!$P$5:$P$304,0)),""))</f>
        <v/>
      </c>
      <c r="J66" s="14" t="str">
        <f aca="false">IF($B66="","",TRIM(SUBSTITUTE(SUBSTITUTE(SUBSTITUTE(SUBSTITUTE(SUBSTITUTE(SUBSTITUTE(UPPER(IFERROR(INDEX(tblPeriodos[Institución en el Período],MATCH($B66&amp;"-1",tblPeriodos[Clave (uso interno)],0)),"SIN PERIODO REGISTRADO")),"Á","A"),"É","E"),"Í","I"),"Ó","O"),"Ú","U"),"Ü","U")))</f>
        <v/>
      </c>
      <c r="K66" s="16" t="str">
        <f aca="false">IF($B66="","",IFERROR(_xlfn.MINIFS(tblPeriodos[Fecha Inicio del Período],tblPeriodos[Cédula],$B66),""))</f>
        <v/>
      </c>
      <c r="L66" s="16" t="str">
        <f aca="false">IF($B66="","",IFERROR(_xlfn.MAXIFS(tblPeriodos[Fecha Fin del Período],tblPeriodos[Cédula],$B66),""))</f>
        <v/>
      </c>
      <c r="M66" s="13" t="str">
        <f aca="false">IF($B66="","",COUNTIFS(tblPeriodos[Cédula],$B66))</f>
        <v/>
      </c>
      <c r="N66" s="17" t="str">
        <f aca="false">IF($B66="","",SUMIFS(tblPeriodos[Días del Período],tblPeriodos[Cédula],$B66))</f>
        <v/>
      </c>
      <c r="O66" s="18" t="str">
        <f aca="false">IF($B66="","",ROUND(N66/365.25,1))</f>
        <v/>
      </c>
      <c r="P66" s="16" t="str">
        <f aca="false">IF($B66="","",EDATE(K66,72))</f>
        <v/>
      </c>
      <c r="Q66" s="17" t="str">
        <f aca="true">IF($B66="","",P66-TODAY())</f>
        <v/>
      </c>
      <c r="R66" s="13" t="str">
        <f aca="false">IF($B66="","",IF(Q66&lt;=0,"🔴 SUPERO LIMITE LEGAL",IF(Q66&lt;=180,"🟠 PROXIMO AL LIMITE (6 ANOS)",IF(Q66&lt;=365,"🟡 VIGILAR (&lt; 1 ANO)","🟢 DENTRO DEL LIMITE"))))</f>
        <v/>
      </c>
      <c r="S66" s="17" t="str">
        <f aca="true">IF($B66="","",L66-TODAY())</f>
        <v/>
      </c>
      <c r="T66" s="13" t="str">
        <f aca="false">IF($B66="","",IF(S66&lt;0,"🔴 COMISION VENCIDA",IF(S66&lt;=90,"🟠 VENCE PRONTO (&lt;=90 DIAS)",IF(S66&lt;=180,"🟡 PROXIMA A VENCER (&lt;=180 DIAS)","🟢 VIGENTE"))))</f>
        <v/>
      </c>
      <c r="U66" s="13" t="str">
        <f aca="false">IF($B66="","",IF(ABS(N66-(L66-K66+1))&lt;=3,"CONTINUA","CON INTERRUPCIONES - REVISAR"))</f>
        <v/>
      </c>
      <c r="V66" s="14" t="str">
        <f aca="false">IF($B66="","",TRIM(SUBSTITUTE(SUBSTITUTE(SUBSTITUTE(SUBSTITUTE(SUBSTITUTE(SUBSTITUTE(UPPER(IFERROR(INDEX('Registro de Comisión'!$L$5:$L$304,MATCH($B66&amp;"-ACT",'Registro de Comisión'!$N$5:$N$304,0)),"SIN REGISTRAR")),"Á","A"),"É","E"),"Í","I"),"Ó","O"),"Ú","U"),"Ü","U")))</f>
        <v/>
      </c>
      <c r="W66" s="14"/>
    </row>
    <row r="67" customFormat="false" ht="15" hidden="false" customHeight="false" outlineLevel="0" collapsed="false">
      <c r="A67" s="19" t="str">
        <f aca="false">IF($B67="","",ROW()-6)</f>
        <v/>
      </c>
      <c r="B67" s="19" t="str">
        <f aca="false">IFERROR(INDEX('Registro de Comisión'!$A$5:$A$304,MATCH(ROW()-21,'Registro de Comisión'!$P$5:$P$304,0)),"")</f>
        <v/>
      </c>
      <c r="C67" s="20" t="str">
        <f aca="false">IF($B67="","",TRIM(SUBSTITUTE(SUBSTITUTE(SUBSTITUTE(SUBSTITUTE(SUBSTITUTE(SUBSTITUTE(UPPER(IFERROR(INDEX('Registro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7" s="19" t="str">
        <f aca="false">IF($B67="","",TRIM(SUBSTITUTE(SUBSTITUTE(SUBSTITUTE(SUBSTITUTE(SUBSTITUTE(SUBSTITUTE(UPPER(IFERROR(INDEX('Registro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7" s="20" t="str">
        <f aca="false">IF($B67="","",TRIM(SUBSTITUTE(SUBSTITUTE(SUBSTITUTE(SUBSTITUTE(SUBSTITUTE(SUBSTITUTE(UPPER(IFERROR(INDEX('Registro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7" s="20" t="str">
        <f aca="false">IF($B67="","",TRIM(SUBSTITUTE(SUBSTITUTE(SUBSTITUTE(SUBSTITUTE(SUBSTITUTE(SUBSTITUTE(UPPER(IFERROR(INDEX('Registro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7" s="20" t="str">
        <f aca="false">IF($B67="","",TRIM(SUBSTITUTE(SUBSTITUTE(SUBSTITUTE(SUBSTITUTE(SUBSTITUTE(SUBSTITUTE(UPPER(IFERROR(INDEX('Registro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7" s="19" t="str">
        <f aca="false">IF($B67="","",TRIM(SUBSTITUTE(SUBSTITUTE(SUBSTITUTE(SUBSTITUTE(SUBSTITUTE(SUBSTITUTE(UPPER(IFERROR(INDEX('Registro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7" s="26" t="str">
        <f aca="false">IF($B67="","",IFERROR(INDEX('Registro de Comisión'!$H$5:$H$304,MATCH(ROW()-21,'Registro de Comisión'!$P$5:$P$304,0)),""))</f>
        <v/>
      </c>
      <c r="J67" s="20" t="str">
        <f aca="false">IF($B67="","",TRIM(SUBSTITUTE(SUBSTITUTE(SUBSTITUTE(SUBSTITUTE(SUBSTITUTE(SUBSTITUTE(UPPER(IFERROR(INDEX(tblPeriodos[Institución en el Período],MATCH($B67&amp;"-1",tblPeriodos[Clave (uso interno)],0)),"SIN PERIODO REGISTRADO")),"Á","A"),"É","E"),"Í","I"),"Ó","O"),"Ú","U"),"Ü","U")))</f>
        <v/>
      </c>
      <c r="K67" s="22" t="str">
        <f aca="false">IF($B67="","",IFERROR(_xlfn.MINIFS(tblPeriodos[Fecha Inicio del Período],tblPeriodos[Cédula],$B67),""))</f>
        <v/>
      </c>
      <c r="L67" s="22" t="str">
        <f aca="false">IF($B67="","",IFERROR(_xlfn.MAXIFS(tblPeriodos[Fecha Fin del Período],tblPeriodos[Cédula],$B67),""))</f>
        <v/>
      </c>
      <c r="M67" s="19" t="str">
        <f aca="false">IF($B67="","",COUNTIFS(tblPeriodos[Cédula],$B67))</f>
        <v/>
      </c>
      <c r="N67" s="23" t="str">
        <f aca="false">IF($B67="","",SUMIFS(tblPeriodos[Días del Período],tblPeriodos[Cédula],$B67))</f>
        <v/>
      </c>
      <c r="O67" s="24" t="str">
        <f aca="false">IF($B67="","",ROUND(N67/365.25,1))</f>
        <v/>
      </c>
      <c r="P67" s="22" t="str">
        <f aca="false">IF($B67="","",EDATE(K67,72))</f>
        <v/>
      </c>
      <c r="Q67" s="23" t="str">
        <f aca="true">IF($B67="","",P67-TODAY())</f>
        <v/>
      </c>
      <c r="R67" s="19" t="str">
        <f aca="false">IF($B67="","",IF(Q67&lt;=0,"🔴 SUPERO LIMITE LEGAL",IF(Q67&lt;=180,"🟠 PROXIMO AL LIMITE (6 ANOS)",IF(Q67&lt;=365,"🟡 VIGILAR (&lt; 1 ANO)","🟢 DENTRO DEL LIMITE"))))</f>
        <v/>
      </c>
      <c r="S67" s="23" t="str">
        <f aca="true">IF($B67="","",L67-TODAY())</f>
        <v/>
      </c>
      <c r="T67" s="19" t="str">
        <f aca="false">IF($B67="","",IF(S67&lt;0,"🔴 COMISION VENCIDA",IF(S67&lt;=90,"🟠 VENCE PRONTO (&lt;=90 DIAS)",IF(S67&lt;=180,"🟡 PROXIMA A VENCER (&lt;=180 DIAS)","🟢 VIGENTE"))))</f>
        <v/>
      </c>
      <c r="U67" s="19" t="str">
        <f aca="false">IF($B67="","",IF(ABS(N67-(L67-K67+1))&lt;=3,"CONTINUA","CON INTERRUPCIONES - REVISAR"))</f>
        <v/>
      </c>
      <c r="V67" s="20" t="str">
        <f aca="false">IF($B67="","",TRIM(SUBSTITUTE(SUBSTITUTE(SUBSTITUTE(SUBSTITUTE(SUBSTITUTE(SUBSTITUTE(UPPER(IFERROR(INDEX('Registro de Comisión'!$L$5:$L$304,MATCH($B67&amp;"-ACT",'Registro de Comisión'!$N$5:$N$304,0)),"SIN REGISTRAR")),"Á","A"),"É","E"),"Í","I"),"Ó","O"),"Ú","U"),"Ü","U")))</f>
        <v/>
      </c>
      <c r="W67" s="20"/>
    </row>
    <row r="68" customFormat="false" ht="15" hidden="false" customHeight="false" outlineLevel="0" collapsed="false">
      <c r="A68" s="13" t="str">
        <f aca="false">IF($B68="","",ROW()-6)</f>
        <v/>
      </c>
      <c r="B68" s="13" t="str">
        <f aca="false">IFERROR(INDEX('Registro de Comisión'!$A$5:$A$304,MATCH(ROW()-21,'Registro de Comisión'!$P$5:$P$304,0)),"")</f>
        <v/>
      </c>
      <c r="C68" s="14" t="str">
        <f aca="false">IF($B68="","",TRIM(SUBSTITUTE(SUBSTITUTE(SUBSTITUTE(SUBSTITUTE(SUBSTITUTE(SUBSTITUTE(UPPER(IFERROR(INDEX('Registro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8" s="13" t="str">
        <f aca="false">IF($B68="","",TRIM(SUBSTITUTE(SUBSTITUTE(SUBSTITUTE(SUBSTITUTE(SUBSTITUTE(SUBSTITUTE(UPPER(IFERROR(INDEX('Registro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8" s="14" t="str">
        <f aca="false">IF($B68="","",TRIM(SUBSTITUTE(SUBSTITUTE(SUBSTITUTE(SUBSTITUTE(SUBSTITUTE(SUBSTITUTE(UPPER(IFERROR(INDEX('Registro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8" s="14" t="str">
        <f aca="false">IF($B68="","",TRIM(SUBSTITUTE(SUBSTITUTE(SUBSTITUTE(SUBSTITUTE(SUBSTITUTE(SUBSTITUTE(UPPER(IFERROR(INDEX('Registro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8" s="14" t="str">
        <f aca="false">IF($B68="","",TRIM(SUBSTITUTE(SUBSTITUTE(SUBSTITUTE(SUBSTITUTE(SUBSTITUTE(SUBSTITUTE(UPPER(IFERROR(INDEX('Registro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8" s="13" t="str">
        <f aca="false">IF($B68="","",TRIM(SUBSTITUTE(SUBSTITUTE(SUBSTITUTE(SUBSTITUTE(SUBSTITUTE(SUBSTITUTE(UPPER(IFERROR(INDEX('Registro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8" s="25" t="str">
        <f aca="false">IF($B68="","",IFERROR(INDEX('Registro de Comisión'!$H$5:$H$304,MATCH(ROW()-21,'Registro de Comisión'!$P$5:$P$304,0)),""))</f>
        <v/>
      </c>
      <c r="J68" s="14" t="str">
        <f aca="false">IF($B68="","",TRIM(SUBSTITUTE(SUBSTITUTE(SUBSTITUTE(SUBSTITUTE(SUBSTITUTE(SUBSTITUTE(UPPER(IFERROR(INDEX(tblPeriodos[Institución en el Período],MATCH($B68&amp;"-1",tblPeriodos[Clave (uso interno)],0)),"SIN PERIODO REGISTRADO")),"Á","A"),"É","E"),"Í","I"),"Ó","O"),"Ú","U"),"Ü","U")))</f>
        <v/>
      </c>
      <c r="K68" s="16" t="str">
        <f aca="false">IF($B68="","",IFERROR(_xlfn.MINIFS(tblPeriodos[Fecha Inicio del Período],tblPeriodos[Cédula],$B68),""))</f>
        <v/>
      </c>
      <c r="L68" s="16" t="str">
        <f aca="false">IF($B68="","",IFERROR(_xlfn.MAXIFS(tblPeriodos[Fecha Fin del Período],tblPeriodos[Cédula],$B68),""))</f>
        <v/>
      </c>
      <c r="M68" s="13" t="str">
        <f aca="false">IF($B68="","",COUNTIFS(tblPeriodos[Cédula],$B68))</f>
        <v/>
      </c>
      <c r="N68" s="17" t="str">
        <f aca="false">IF($B68="","",SUMIFS(tblPeriodos[Días del Período],tblPeriodos[Cédula],$B68))</f>
        <v/>
      </c>
      <c r="O68" s="18" t="str">
        <f aca="false">IF($B68="","",ROUND(N68/365.25,1))</f>
        <v/>
      </c>
      <c r="P68" s="16" t="str">
        <f aca="false">IF($B68="","",EDATE(K68,72))</f>
        <v/>
      </c>
      <c r="Q68" s="17" t="str">
        <f aca="true">IF($B68="","",P68-TODAY())</f>
        <v/>
      </c>
      <c r="R68" s="13" t="str">
        <f aca="false">IF($B68="","",IF(Q68&lt;=0,"🔴 SUPERO LIMITE LEGAL",IF(Q68&lt;=180,"🟠 PROXIMO AL LIMITE (6 ANOS)",IF(Q68&lt;=365,"🟡 VIGILAR (&lt; 1 ANO)","🟢 DENTRO DEL LIMITE"))))</f>
        <v/>
      </c>
      <c r="S68" s="17" t="str">
        <f aca="true">IF($B68="","",L68-TODAY())</f>
        <v/>
      </c>
      <c r="T68" s="13" t="str">
        <f aca="false">IF($B68="","",IF(S68&lt;0,"🔴 COMISION VENCIDA",IF(S68&lt;=90,"🟠 VENCE PRONTO (&lt;=90 DIAS)",IF(S68&lt;=180,"🟡 PROXIMA A VENCER (&lt;=180 DIAS)","🟢 VIGENTE"))))</f>
        <v/>
      </c>
      <c r="U68" s="13" t="str">
        <f aca="false">IF($B68="","",IF(ABS(N68-(L68-K68+1))&lt;=3,"CONTINUA","CON INTERRUPCIONES - REVISAR"))</f>
        <v/>
      </c>
      <c r="V68" s="14" t="str">
        <f aca="false">IF($B68="","",TRIM(SUBSTITUTE(SUBSTITUTE(SUBSTITUTE(SUBSTITUTE(SUBSTITUTE(SUBSTITUTE(UPPER(IFERROR(INDEX('Registro de Comisión'!$L$5:$L$304,MATCH($B68&amp;"-ACT",'Registro de Comisión'!$N$5:$N$304,0)),"SIN REGISTRAR")),"Á","A"),"É","E"),"Í","I"),"Ó","O"),"Ú","U"),"Ü","U")))</f>
        <v/>
      </c>
      <c r="W68" s="14"/>
    </row>
    <row r="69" customFormat="false" ht="15" hidden="false" customHeight="false" outlineLevel="0" collapsed="false">
      <c r="A69" s="19" t="str">
        <f aca="false">IF($B69="","",ROW()-6)</f>
        <v/>
      </c>
      <c r="B69" s="19" t="str">
        <f aca="false">IFERROR(INDEX('Registro de Comisión'!$A$5:$A$304,MATCH(ROW()-21,'Registro de Comisión'!$P$5:$P$304,0)),"")</f>
        <v/>
      </c>
      <c r="C69" s="20" t="str">
        <f aca="false">IF($B69="","",TRIM(SUBSTITUTE(SUBSTITUTE(SUBSTITUTE(SUBSTITUTE(SUBSTITUTE(SUBSTITUTE(UPPER(IFERROR(INDEX('Registro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69" s="19" t="str">
        <f aca="false">IF($B69="","",TRIM(SUBSTITUTE(SUBSTITUTE(SUBSTITUTE(SUBSTITUTE(SUBSTITUTE(SUBSTITUTE(UPPER(IFERROR(INDEX('Registro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69" s="20" t="str">
        <f aca="false">IF($B69="","",TRIM(SUBSTITUTE(SUBSTITUTE(SUBSTITUTE(SUBSTITUTE(SUBSTITUTE(SUBSTITUTE(UPPER(IFERROR(INDEX('Registro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69" s="20" t="str">
        <f aca="false">IF($B69="","",TRIM(SUBSTITUTE(SUBSTITUTE(SUBSTITUTE(SUBSTITUTE(SUBSTITUTE(SUBSTITUTE(UPPER(IFERROR(INDEX('Registro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69" s="20" t="str">
        <f aca="false">IF($B69="","",TRIM(SUBSTITUTE(SUBSTITUTE(SUBSTITUTE(SUBSTITUTE(SUBSTITUTE(SUBSTITUTE(UPPER(IFERROR(INDEX('Registro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69" s="19" t="str">
        <f aca="false">IF($B69="","",TRIM(SUBSTITUTE(SUBSTITUTE(SUBSTITUTE(SUBSTITUTE(SUBSTITUTE(SUBSTITUTE(UPPER(IFERROR(INDEX('Registro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69" s="26" t="str">
        <f aca="false">IF($B69="","",IFERROR(INDEX('Registro de Comisión'!$H$5:$H$304,MATCH(ROW()-21,'Registro de Comisión'!$P$5:$P$304,0)),""))</f>
        <v/>
      </c>
      <c r="J69" s="20" t="str">
        <f aca="false">IF($B69="","",TRIM(SUBSTITUTE(SUBSTITUTE(SUBSTITUTE(SUBSTITUTE(SUBSTITUTE(SUBSTITUTE(UPPER(IFERROR(INDEX(tblPeriodos[Institución en el Período],MATCH($B69&amp;"-1",tblPeriodos[Clave (uso interno)],0)),"SIN PERIODO REGISTRADO")),"Á","A"),"É","E"),"Í","I"),"Ó","O"),"Ú","U"),"Ü","U")))</f>
        <v/>
      </c>
      <c r="K69" s="22" t="str">
        <f aca="false">IF($B69="","",IFERROR(_xlfn.MINIFS(tblPeriodos[Fecha Inicio del Período],tblPeriodos[Cédula],$B69),""))</f>
        <v/>
      </c>
      <c r="L69" s="22" t="str">
        <f aca="false">IF($B69="","",IFERROR(_xlfn.MAXIFS(tblPeriodos[Fecha Fin del Período],tblPeriodos[Cédula],$B69),""))</f>
        <v/>
      </c>
      <c r="M69" s="19" t="str">
        <f aca="false">IF($B69="","",COUNTIFS(tblPeriodos[Cédula],$B69))</f>
        <v/>
      </c>
      <c r="N69" s="23" t="str">
        <f aca="false">IF($B69="","",SUMIFS(tblPeriodos[Días del Período],tblPeriodos[Cédula],$B69))</f>
        <v/>
      </c>
      <c r="O69" s="24" t="str">
        <f aca="false">IF($B69="","",ROUND(N69/365.25,1))</f>
        <v/>
      </c>
      <c r="P69" s="22" t="str">
        <f aca="false">IF($B69="","",EDATE(K69,72))</f>
        <v/>
      </c>
      <c r="Q69" s="23" t="str">
        <f aca="true">IF($B69="","",P69-TODAY())</f>
        <v/>
      </c>
      <c r="R69" s="19" t="str">
        <f aca="false">IF($B69="","",IF(Q69&lt;=0,"🔴 SUPERO LIMITE LEGAL",IF(Q69&lt;=180,"🟠 PROXIMO AL LIMITE (6 ANOS)",IF(Q69&lt;=365,"🟡 VIGILAR (&lt; 1 ANO)","🟢 DENTRO DEL LIMITE"))))</f>
        <v/>
      </c>
      <c r="S69" s="23" t="str">
        <f aca="true">IF($B69="","",L69-TODAY())</f>
        <v/>
      </c>
      <c r="T69" s="19" t="str">
        <f aca="false">IF($B69="","",IF(S69&lt;0,"🔴 COMISION VENCIDA",IF(S69&lt;=90,"🟠 VENCE PRONTO (&lt;=90 DIAS)",IF(S69&lt;=180,"🟡 PROXIMA A VENCER (&lt;=180 DIAS)","🟢 VIGENTE"))))</f>
        <v/>
      </c>
      <c r="U69" s="19" t="str">
        <f aca="false">IF($B69="","",IF(ABS(N69-(L69-K69+1))&lt;=3,"CONTINUA","CON INTERRUPCIONES - REVISAR"))</f>
        <v/>
      </c>
      <c r="V69" s="20" t="str">
        <f aca="false">IF($B69="","",TRIM(SUBSTITUTE(SUBSTITUTE(SUBSTITUTE(SUBSTITUTE(SUBSTITUTE(SUBSTITUTE(UPPER(IFERROR(INDEX('Registro de Comisión'!$L$5:$L$304,MATCH($B69&amp;"-ACT",'Registro de Comisión'!$N$5:$N$304,0)),"SIN REGISTRAR")),"Á","A"),"É","E"),"Í","I"),"Ó","O"),"Ú","U"),"Ü","U")))</f>
        <v/>
      </c>
      <c r="W69" s="20"/>
    </row>
    <row r="70" customFormat="false" ht="15" hidden="false" customHeight="false" outlineLevel="0" collapsed="false">
      <c r="A70" s="13" t="str">
        <f aca="false">IF($B70="","",ROW()-6)</f>
        <v/>
      </c>
      <c r="B70" s="13" t="str">
        <f aca="false">IFERROR(INDEX('Registro de Comisión'!$A$5:$A$304,MATCH(ROW()-21,'Registro de Comisión'!$P$5:$P$304,0)),"")</f>
        <v/>
      </c>
      <c r="C70" s="14" t="str">
        <f aca="false">IF($B70="","",TRIM(SUBSTITUTE(SUBSTITUTE(SUBSTITUTE(SUBSTITUTE(SUBSTITUTE(SUBSTITUTE(UPPER(IFERROR(INDEX('Registro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0" s="13" t="str">
        <f aca="false">IF($B70="","",TRIM(SUBSTITUTE(SUBSTITUTE(SUBSTITUTE(SUBSTITUTE(SUBSTITUTE(SUBSTITUTE(UPPER(IFERROR(INDEX('Registro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0" s="14" t="str">
        <f aca="false">IF($B70="","",TRIM(SUBSTITUTE(SUBSTITUTE(SUBSTITUTE(SUBSTITUTE(SUBSTITUTE(SUBSTITUTE(UPPER(IFERROR(INDEX('Registro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0" s="14" t="str">
        <f aca="false">IF($B70="","",TRIM(SUBSTITUTE(SUBSTITUTE(SUBSTITUTE(SUBSTITUTE(SUBSTITUTE(SUBSTITUTE(UPPER(IFERROR(INDEX('Registro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0" s="14" t="str">
        <f aca="false">IF($B70="","",TRIM(SUBSTITUTE(SUBSTITUTE(SUBSTITUTE(SUBSTITUTE(SUBSTITUTE(SUBSTITUTE(UPPER(IFERROR(INDEX('Registro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0" s="13" t="str">
        <f aca="false">IF($B70="","",TRIM(SUBSTITUTE(SUBSTITUTE(SUBSTITUTE(SUBSTITUTE(SUBSTITUTE(SUBSTITUTE(UPPER(IFERROR(INDEX('Registro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0" s="25" t="str">
        <f aca="false">IF($B70="","",IFERROR(INDEX('Registro de Comisión'!$H$5:$H$304,MATCH(ROW()-21,'Registro de Comisión'!$P$5:$P$304,0)),""))</f>
        <v/>
      </c>
      <c r="J70" s="14" t="str">
        <f aca="false">IF($B70="","",TRIM(SUBSTITUTE(SUBSTITUTE(SUBSTITUTE(SUBSTITUTE(SUBSTITUTE(SUBSTITUTE(UPPER(IFERROR(INDEX(tblPeriodos[Institución en el Período],MATCH($B70&amp;"-1",tblPeriodos[Clave (uso interno)],0)),"SIN PERIODO REGISTRADO")),"Á","A"),"É","E"),"Í","I"),"Ó","O"),"Ú","U"),"Ü","U")))</f>
        <v/>
      </c>
      <c r="K70" s="16" t="str">
        <f aca="false">IF($B70="","",IFERROR(_xlfn.MINIFS(tblPeriodos[Fecha Inicio del Período],tblPeriodos[Cédula],$B70),""))</f>
        <v/>
      </c>
      <c r="L70" s="16" t="str">
        <f aca="false">IF($B70="","",IFERROR(_xlfn.MAXIFS(tblPeriodos[Fecha Fin del Período],tblPeriodos[Cédula],$B70),""))</f>
        <v/>
      </c>
      <c r="M70" s="13" t="str">
        <f aca="false">IF($B70="","",COUNTIFS(tblPeriodos[Cédula],$B70))</f>
        <v/>
      </c>
      <c r="N70" s="17" t="str">
        <f aca="false">IF($B70="","",SUMIFS(tblPeriodos[Días del Período],tblPeriodos[Cédula],$B70))</f>
        <v/>
      </c>
      <c r="O70" s="18" t="str">
        <f aca="false">IF($B70="","",ROUND(N70/365.25,1))</f>
        <v/>
      </c>
      <c r="P70" s="16" t="str">
        <f aca="false">IF($B70="","",EDATE(K70,72))</f>
        <v/>
      </c>
      <c r="Q70" s="17" t="str">
        <f aca="true">IF($B70="","",P70-TODAY())</f>
        <v/>
      </c>
      <c r="R70" s="13" t="str">
        <f aca="false">IF($B70="","",IF(Q70&lt;=0,"🔴 SUPERO LIMITE LEGAL",IF(Q70&lt;=180,"🟠 PROXIMO AL LIMITE (6 ANOS)",IF(Q70&lt;=365,"🟡 VIGILAR (&lt; 1 ANO)","🟢 DENTRO DEL LIMITE"))))</f>
        <v/>
      </c>
      <c r="S70" s="17" t="str">
        <f aca="true">IF($B70="","",L70-TODAY())</f>
        <v/>
      </c>
      <c r="T70" s="13" t="str">
        <f aca="false">IF($B70="","",IF(S70&lt;0,"🔴 COMISION VENCIDA",IF(S70&lt;=90,"🟠 VENCE PRONTO (&lt;=90 DIAS)",IF(S70&lt;=180,"🟡 PROXIMA A VENCER (&lt;=180 DIAS)","🟢 VIGENTE"))))</f>
        <v/>
      </c>
      <c r="U70" s="13" t="str">
        <f aca="false">IF($B70="","",IF(ABS(N70-(L70-K70+1))&lt;=3,"CONTINUA","CON INTERRUPCIONES - REVISAR"))</f>
        <v/>
      </c>
      <c r="V70" s="14" t="str">
        <f aca="false">IF($B70="","",TRIM(SUBSTITUTE(SUBSTITUTE(SUBSTITUTE(SUBSTITUTE(SUBSTITUTE(SUBSTITUTE(UPPER(IFERROR(INDEX('Registro de Comisión'!$L$5:$L$304,MATCH($B70&amp;"-ACT",'Registro de Comisión'!$N$5:$N$304,0)),"SIN REGISTRAR")),"Á","A"),"É","E"),"Í","I"),"Ó","O"),"Ú","U"),"Ü","U")))</f>
        <v/>
      </c>
      <c r="W70" s="14"/>
    </row>
    <row r="71" customFormat="false" ht="15" hidden="false" customHeight="false" outlineLevel="0" collapsed="false">
      <c r="A71" s="19" t="str">
        <f aca="false">IF($B71="","",ROW()-6)</f>
        <v/>
      </c>
      <c r="B71" s="19" t="str">
        <f aca="false">IFERROR(INDEX('Registro de Comisión'!$A$5:$A$304,MATCH(ROW()-21,'Registro de Comisión'!$P$5:$P$304,0)),"")</f>
        <v/>
      </c>
      <c r="C71" s="20" t="str">
        <f aca="false">IF($B71="","",TRIM(SUBSTITUTE(SUBSTITUTE(SUBSTITUTE(SUBSTITUTE(SUBSTITUTE(SUBSTITUTE(UPPER(IFERROR(INDEX('Registro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1" s="19" t="str">
        <f aca="false">IF($B71="","",TRIM(SUBSTITUTE(SUBSTITUTE(SUBSTITUTE(SUBSTITUTE(SUBSTITUTE(SUBSTITUTE(UPPER(IFERROR(INDEX('Registro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1" s="20" t="str">
        <f aca="false">IF($B71="","",TRIM(SUBSTITUTE(SUBSTITUTE(SUBSTITUTE(SUBSTITUTE(SUBSTITUTE(SUBSTITUTE(UPPER(IFERROR(INDEX('Registro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1" s="20" t="str">
        <f aca="false">IF($B71="","",TRIM(SUBSTITUTE(SUBSTITUTE(SUBSTITUTE(SUBSTITUTE(SUBSTITUTE(SUBSTITUTE(UPPER(IFERROR(INDEX('Registro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1" s="20" t="str">
        <f aca="false">IF($B71="","",TRIM(SUBSTITUTE(SUBSTITUTE(SUBSTITUTE(SUBSTITUTE(SUBSTITUTE(SUBSTITUTE(UPPER(IFERROR(INDEX('Registro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1" s="19" t="str">
        <f aca="false">IF($B71="","",TRIM(SUBSTITUTE(SUBSTITUTE(SUBSTITUTE(SUBSTITUTE(SUBSTITUTE(SUBSTITUTE(UPPER(IFERROR(INDEX('Registro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1" s="26" t="str">
        <f aca="false">IF($B71="","",IFERROR(INDEX('Registro de Comisión'!$H$5:$H$304,MATCH(ROW()-21,'Registro de Comisión'!$P$5:$P$304,0)),""))</f>
        <v/>
      </c>
      <c r="J71" s="20" t="str">
        <f aca="false">IF($B71="","",TRIM(SUBSTITUTE(SUBSTITUTE(SUBSTITUTE(SUBSTITUTE(SUBSTITUTE(SUBSTITUTE(UPPER(IFERROR(INDEX(tblPeriodos[Institución en el Período],MATCH($B71&amp;"-1",tblPeriodos[Clave (uso interno)],0)),"SIN PERIODO REGISTRADO")),"Á","A"),"É","E"),"Í","I"),"Ó","O"),"Ú","U"),"Ü","U")))</f>
        <v/>
      </c>
      <c r="K71" s="22" t="str">
        <f aca="false">IF($B71="","",IFERROR(_xlfn.MINIFS(tblPeriodos[Fecha Inicio del Período],tblPeriodos[Cédula],$B71),""))</f>
        <v/>
      </c>
      <c r="L71" s="22" t="str">
        <f aca="false">IF($B71="","",IFERROR(_xlfn.MAXIFS(tblPeriodos[Fecha Fin del Período],tblPeriodos[Cédula],$B71),""))</f>
        <v/>
      </c>
      <c r="M71" s="19" t="str">
        <f aca="false">IF($B71="","",COUNTIFS(tblPeriodos[Cédula],$B71))</f>
        <v/>
      </c>
      <c r="N71" s="23" t="str">
        <f aca="false">IF($B71="","",SUMIFS(tblPeriodos[Días del Período],tblPeriodos[Cédula],$B71))</f>
        <v/>
      </c>
      <c r="O71" s="24" t="str">
        <f aca="false">IF($B71="","",ROUND(N71/365.25,1))</f>
        <v/>
      </c>
      <c r="P71" s="22" t="str">
        <f aca="false">IF($B71="","",EDATE(K71,72))</f>
        <v/>
      </c>
      <c r="Q71" s="23" t="str">
        <f aca="true">IF($B71="","",P71-TODAY())</f>
        <v/>
      </c>
      <c r="R71" s="19" t="str">
        <f aca="false">IF($B71="","",IF(Q71&lt;=0,"🔴 SUPERO LIMITE LEGAL",IF(Q71&lt;=180,"🟠 PROXIMO AL LIMITE (6 ANOS)",IF(Q71&lt;=365,"🟡 VIGILAR (&lt; 1 ANO)","🟢 DENTRO DEL LIMITE"))))</f>
        <v/>
      </c>
      <c r="S71" s="23" t="str">
        <f aca="true">IF($B71="","",L71-TODAY())</f>
        <v/>
      </c>
      <c r="T71" s="19" t="str">
        <f aca="false">IF($B71="","",IF(S71&lt;0,"🔴 COMISION VENCIDA",IF(S71&lt;=90,"🟠 VENCE PRONTO (&lt;=90 DIAS)",IF(S71&lt;=180,"🟡 PROXIMA A VENCER (&lt;=180 DIAS)","🟢 VIGENTE"))))</f>
        <v/>
      </c>
      <c r="U71" s="19" t="str">
        <f aca="false">IF($B71="","",IF(ABS(N71-(L71-K71+1))&lt;=3,"CONTINUA","CON INTERRUPCIONES - REVISAR"))</f>
        <v/>
      </c>
      <c r="V71" s="20" t="str">
        <f aca="false">IF($B71="","",TRIM(SUBSTITUTE(SUBSTITUTE(SUBSTITUTE(SUBSTITUTE(SUBSTITUTE(SUBSTITUTE(UPPER(IFERROR(INDEX('Registro de Comisión'!$L$5:$L$304,MATCH($B71&amp;"-ACT",'Registro de Comisión'!$N$5:$N$304,0)),"SIN REGISTRAR")),"Á","A"),"É","E"),"Í","I"),"Ó","O"),"Ú","U"),"Ü","U")))</f>
        <v/>
      </c>
      <c r="W71" s="20"/>
    </row>
    <row r="72" customFormat="false" ht="15" hidden="false" customHeight="false" outlineLevel="0" collapsed="false">
      <c r="A72" s="13" t="str">
        <f aca="false">IF($B72="","",ROW()-6)</f>
        <v/>
      </c>
      <c r="B72" s="13" t="str">
        <f aca="false">IFERROR(INDEX('Registro de Comisión'!$A$5:$A$304,MATCH(ROW()-21,'Registro de Comisión'!$P$5:$P$304,0)),"")</f>
        <v/>
      </c>
      <c r="C72" s="14" t="str">
        <f aca="false">IF($B72="","",TRIM(SUBSTITUTE(SUBSTITUTE(SUBSTITUTE(SUBSTITUTE(SUBSTITUTE(SUBSTITUTE(UPPER(IFERROR(INDEX('Registro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2" s="13" t="str">
        <f aca="false">IF($B72="","",TRIM(SUBSTITUTE(SUBSTITUTE(SUBSTITUTE(SUBSTITUTE(SUBSTITUTE(SUBSTITUTE(UPPER(IFERROR(INDEX('Registro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2" s="14" t="str">
        <f aca="false">IF($B72="","",TRIM(SUBSTITUTE(SUBSTITUTE(SUBSTITUTE(SUBSTITUTE(SUBSTITUTE(SUBSTITUTE(UPPER(IFERROR(INDEX('Registro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2" s="14" t="str">
        <f aca="false">IF($B72="","",TRIM(SUBSTITUTE(SUBSTITUTE(SUBSTITUTE(SUBSTITUTE(SUBSTITUTE(SUBSTITUTE(UPPER(IFERROR(INDEX('Registro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2" s="14" t="str">
        <f aca="false">IF($B72="","",TRIM(SUBSTITUTE(SUBSTITUTE(SUBSTITUTE(SUBSTITUTE(SUBSTITUTE(SUBSTITUTE(UPPER(IFERROR(INDEX('Registro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2" s="13" t="str">
        <f aca="false">IF($B72="","",TRIM(SUBSTITUTE(SUBSTITUTE(SUBSTITUTE(SUBSTITUTE(SUBSTITUTE(SUBSTITUTE(UPPER(IFERROR(INDEX('Registro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2" s="25" t="str">
        <f aca="false">IF($B72="","",IFERROR(INDEX('Registro de Comisión'!$H$5:$H$304,MATCH(ROW()-21,'Registro de Comisión'!$P$5:$P$304,0)),""))</f>
        <v/>
      </c>
      <c r="J72" s="14" t="str">
        <f aca="false">IF($B72="","",TRIM(SUBSTITUTE(SUBSTITUTE(SUBSTITUTE(SUBSTITUTE(SUBSTITUTE(SUBSTITUTE(UPPER(IFERROR(INDEX(tblPeriodos[Institución en el Período],MATCH($B72&amp;"-1",tblPeriodos[Clave (uso interno)],0)),"SIN PERIODO REGISTRADO")),"Á","A"),"É","E"),"Í","I"),"Ó","O"),"Ú","U"),"Ü","U")))</f>
        <v/>
      </c>
      <c r="K72" s="16" t="str">
        <f aca="false">IF($B72="","",IFERROR(_xlfn.MINIFS(tblPeriodos[Fecha Inicio del Período],tblPeriodos[Cédula],$B72),""))</f>
        <v/>
      </c>
      <c r="L72" s="16" t="str">
        <f aca="false">IF($B72="","",IFERROR(_xlfn.MAXIFS(tblPeriodos[Fecha Fin del Período],tblPeriodos[Cédula],$B72),""))</f>
        <v/>
      </c>
      <c r="M72" s="13" t="str">
        <f aca="false">IF($B72="","",COUNTIFS(tblPeriodos[Cédula],$B72))</f>
        <v/>
      </c>
      <c r="N72" s="17" t="str">
        <f aca="false">IF($B72="","",SUMIFS(tblPeriodos[Días del Período],tblPeriodos[Cédula],$B72))</f>
        <v/>
      </c>
      <c r="O72" s="18" t="str">
        <f aca="false">IF($B72="","",ROUND(N72/365.25,1))</f>
        <v/>
      </c>
      <c r="P72" s="16" t="str">
        <f aca="false">IF($B72="","",EDATE(K72,72))</f>
        <v/>
      </c>
      <c r="Q72" s="17" t="str">
        <f aca="true">IF($B72="","",P72-TODAY())</f>
        <v/>
      </c>
      <c r="R72" s="13" t="str">
        <f aca="false">IF($B72="","",IF(Q72&lt;=0,"🔴 SUPERO LIMITE LEGAL",IF(Q72&lt;=180,"🟠 PROXIMO AL LIMITE (6 ANOS)",IF(Q72&lt;=365,"🟡 VIGILAR (&lt; 1 ANO)","🟢 DENTRO DEL LIMITE"))))</f>
        <v/>
      </c>
      <c r="S72" s="17" t="str">
        <f aca="true">IF($B72="","",L72-TODAY())</f>
        <v/>
      </c>
      <c r="T72" s="13" t="str">
        <f aca="false">IF($B72="","",IF(S72&lt;0,"🔴 COMISION VENCIDA",IF(S72&lt;=90,"🟠 VENCE PRONTO (&lt;=90 DIAS)",IF(S72&lt;=180,"🟡 PROXIMA A VENCER (&lt;=180 DIAS)","🟢 VIGENTE"))))</f>
        <v/>
      </c>
      <c r="U72" s="13" t="str">
        <f aca="false">IF($B72="","",IF(ABS(N72-(L72-K72+1))&lt;=3,"CONTINUA","CON INTERRUPCIONES - REVISAR"))</f>
        <v/>
      </c>
      <c r="V72" s="14" t="str">
        <f aca="false">IF($B72="","",TRIM(SUBSTITUTE(SUBSTITUTE(SUBSTITUTE(SUBSTITUTE(SUBSTITUTE(SUBSTITUTE(UPPER(IFERROR(INDEX('Registro de Comisión'!$L$5:$L$304,MATCH($B72&amp;"-ACT",'Registro de Comisión'!$N$5:$N$304,0)),"SIN REGISTRAR")),"Á","A"),"É","E"),"Í","I"),"Ó","O"),"Ú","U"),"Ü","U")))</f>
        <v/>
      </c>
      <c r="W72" s="14"/>
    </row>
    <row r="73" customFormat="false" ht="15" hidden="false" customHeight="false" outlineLevel="0" collapsed="false">
      <c r="A73" s="19" t="str">
        <f aca="false">IF($B73="","",ROW()-6)</f>
        <v/>
      </c>
      <c r="B73" s="19" t="str">
        <f aca="false">IFERROR(INDEX('Registro de Comisión'!$A$5:$A$304,MATCH(ROW()-21,'Registro de Comisión'!$P$5:$P$304,0)),"")</f>
        <v/>
      </c>
      <c r="C73" s="20" t="str">
        <f aca="false">IF($B73="","",TRIM(SUBSTITUTE(SUBSTITUTE(SUBSTITUTE(SUBSTITUTE(SUBSTITUTE(SUBSTITUTE(UPPER(IFERROR(INDEX('Registro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3" s="19" t="str">
        <f aca="false">IF($B73="","",TRIM(SUBSTITUTE(SUBSTITUTE(SUBSTITUTE(SUBSTITUTE(SUBSTITUTE(SUBSTITUTE(UPPER(IFERROR(INDEX('Registro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3" s="20" t="str">
        <f aca="false">IF($B73="","",TRIM(SUBSTITUTE(SUBSTITUTE(SUBSTITUTE(SUBSTITUTE(SUBSTITUTE(SUBSTITUTE(UPPER(IFERROR(INDEX('Registro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3" s="20" t="str">
        <f aca="false">IF($B73="","",TRIM(SUBSTITUTE(SUBSTITUTE(SUBSTITUTE(SUBSTITUTE(SUBSTITUTE(SUBSTITUTE(UPPER(IFERROR(INDEX('Registro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3" s="20" t="str">
        <f aca="false">IF($B73="","",TRIM(SUBSTITUTE(SUBSTITUTE(SUBSTITUTE(SUBSTITUTE(SUBSTITUTE(SUBSTITUTE(UPPER(IFERROR(INDEX('Registro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3" s="19" t="str">
        <f aca="false">IF($B73="","",TRIM(SUBSTITUTE(SUBSTITUTE(SUBSTITUTE(SUBSTITUTE(SUBSTITUTE(SUBSTITUTE(UPPER(IFERROR(INDEX('Registro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3" s="26" t="str">
        <f aca="false">IF($B73="","",IFERROR(INDEX('Registro de Comisión'!$H$5:$H$304,MATCH(ROW()-21,'Registro de Comisión'!$P$5:$P$304,0)),""))</f>
        <v/>
      </c>
      <c r="J73" s="20" t="str">
        <f aca="false">IF($B73="","",TRIM(SUBSTITUTE(SUBSTITUTE(SUBSTITUTE(SUBSTITUTE(SUBSTITUTE(SUBSTITUTE(UPPER(IFERROR(INDEX(tblPeriodos[Institución en el Período],MATCH($B73&amp;"-1",tblPeriodos[Clave (uso interno)],0)),"SIN PERIODO REGISTRADO")),"Á","A"),"É","E"),"Í","I"),"Ó","O"),"Ú","U"),"Ü","U")))</f>
        <v/>
      </c>
      <c r="K73" s="22" t="str">
        <f aca="false">IF($B73="","",IFERROR(_xlfn.MINIFS(tblPeriodos[Fecha Inicio del Período],tblPeriodos[Cédula],$B73),""))</f>
        <v/>
      </c>
      <c r="L73" s="22" t="str">
        <f aca="false">IF($B73="","",IFERROR(_xlfn.MAXIFS(tblPeriodos[Fecha Fin del Período],tblPeriodos[Cédula],$B73),""))</f>
        <v/>
      </c>
      <c r="M73" s="19" t="str">
        <f aca="false">IF($B73="","",COUNTIFS(tblPeriodos[Cédula],$B73))</f>
        <v/>
      </c>
      <c r="N73" s="23" t="str">
        <f aca="false">IF($B73="","",SUMIFS(tblPeriodos[Días del Período],tblPeriodos[Cédula],$B73))</f>
        <v/>
      </c>
      <c r="O73" s="24" t="str">
        <f aca="false">IF($B73="","",ROUND(N73/365.25,1))</f>
        <v/>
      </c>
      <c r="P73" s="22" t="str">
        <f aca="false">IF($B73="","",EDATE(K73,72))</f>
        <v/>
      </c>
      <c r="Q73" s="23" t="str">
        <f aca="true">IF($B73="","",P73-TODAY())</f>
        <v/>
      </c>
      <c r="R73" s="19" t="str">
        <f aca="false">IF($B73="","",IF(Q73&lt;=0,"🔴 SUPERO LIMITE LEGAL",IF(Q73&lt;=180,"🟠 PROXIMO AL LIMITE (6 ANOS)",IF(Q73&lt;=365,"🟡 VIGILAR (&lt; 1 ANO)","🟢 DENTRO DEL LIMITE"))))</f>
        <v/>
      </c>
      <c r="S73" s="23" t="str">
        <f aca="true">IF($B73="","",L73-TODAY())</f>
        <v/>
      </c>
      <c r="T73" s="19" t="str">
        <f aca="false">IF($B73="","",IF(S73&lt;0,"🔴 COMISION VENCIDA",IF(S73&lt;=90,"🟠 VENCE PRONTO (&lt;=90 DIAS)",IF(S73&lt;=180,"🟡 PROXIMA A VENCER (&lt;=180 DIAS)","🟢 VIGENTE"))))</f>
        <v/>
      </c>
      <c r="U73" s="19" t="str">
        <f aca="false">IF($B73="","",IF(ABS(N73-(L73-K73+1))&lt;=3,"CONTINUA","CON INTERRUPCIONES - REVISAR"))</f>
        <v/>
      </c>
      <c r="V73" s="20" t="str">
        <f aca="false">IF($B73="","",TRIM(SUBSTITUTE(SUBSTITUTE(SUBSTITUTE(SUBSTITUTE(SUBSTITUTE(SUBSTITUTE(UPPER(IFERROR(INDEX('Registro de Comisión'!$L$5:$L$304,MATCH($B73&amp;"-ACT",'Registro de Comisión'!$N$5:$N$304,0)),"SIN REGISTRAR")),"Á","A"),"É","E"),"Í","I"),"Ó","O"),"Ú","U"),"Ü","U")))</f>
        <v/>
      </c>
      <c r="W73" s="20"/>
    </row>
    <row r="74" customFormat="false" ht="15" hidden="false" customHeight="false" outlineLevel="0" collapsed="false">
      <c r="A74" s="13" t="str">
        <f aca="false">IF($B74="","",ROW()-6)</f>
        <v/>
      </c>
      <c r="B74" s="13" t="str">
        <f aca="false">IFERROR(INDEX('Registro de Comisión'!$A$5:$A$304,MATCH(ROW()-21,'Registro de Comisión'!$P$5:$P$304,0)),"")</f>
        <v/>
      </c>
      <c r="C74" s="14" t="str">
        <f aca="false">IF($B74="","",TRIM(SUBSTITUTE(SUBSTITUTE(SUBSTITUTE(SUBSTITUTE(SUBSTITUTE(SUBSTITUTE(UPPER(IFERROR(INDEX('Registro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4" s="13" t="str">
        <f aca="false">IF($B74="","",TRIM(SUBSTITUTE(SUBSTITUTE(SUBSTITUTE(SUBSTITUTE(SUBSTITUTE(SUBSTITUTE(UPPER(IFERROR(INDEX('Registro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4" s="14" t="str">
        <f aca="false">IF($B74="","",TRIM(SUBSTITUTE(SUBSTITUTE(SUBSTITUTE(SUBSTITUTE(SUBSTITUTE(SUBSTITUTE(UPPER(IFERROR(INDEX('Registro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4" s="14" t="str">
        <f aca="false">IF($B74="","",TRIM(SUBSTITUTE(SUBSTITUTE(SUBSTITUTE(SUBSTITUTE(SUBSTITUTE(SUBSTITUTE(UPPER(IFERROR(INDEX('Registro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4" s="14" t="str">
        <f aca="false">IF($B74="","",TRIM(SUBSTITUTE(SUBSTITUTE(SUBSTITUTE(SUBSTITUTE(SUBSTITUTE(SUBSTITUTE(UPPER(IFERROR(INDEX('Registro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4" s="13" t="str">
        <f aca="false">IF($B74="","",TRIM(SUBSTITUTE(SUBSTITUTE(SUBSTITUTE(SUBSTITUTE(SUBSTITUTE(SUBSTITUTE(UPPER(IFERROR(INDEX('Registro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4" s="25" t="str">
        <f aca="false">IF($B74="","",IFERROR(INDEX('Registro de Comisión'!$H$5:$H$304,MATCH(ROW()-21,'Registro de Comisión'!$P$5:$P$304,0)),""))</f>
        <v/>
      </c>
      <c r="J74" s="14" t="str">
        <f aca="false">IF($B74="","",TRIM(SUBSTITUTE(SUBSTITUTE(SUBSTITUTE(SUBSTITUTE(SUBSTITUTE(SUBSTITUTE(UPPER(IFERROR(INDEX(tblPeriodos[Institución en el Período],MATCH($B74&amp;"-1",tblPeriodos[Clave (uso interno)],0)),"SIN PERIODO REGISTRADO")),"Á","A"),"É","E"),"Í","I"),"Ó","O"),"Ú","U"),"Ü","U")))</f>
        <v/>
      </c>
      <c r="K74" s="16" t="str">
        <f aca="false">IF($B74="","",IFERROR(_xlfn.MINIFS(tblPeriodos[Fecha Inicio del Período],tblPeriodos[Cédula],$B74),""))</f>
        <v/>
      </c>
      <c r="L74" s="16" t="str">
        <f aca="false">IF($B74="","",IFERROR(_xlfn.MAXIFS(tblPeriodos[Fecha Fin del Período],tblPeriodos[Cédula],$B74),""))</f>
        <v/>
      </c>
      <c r="M74" s="13" t="str">
        <f aca="false">IF($B74="","",COUNTIFS(tblPeriodos[Cédula],$B74))</f>
        <v/>
      </c>
      <c r="N74" s="17" t="str">
        <f aca="false">IF($B74="","",SUMIFS(tblPeriodos[Días del Período],tblPeriodos[Cédula],$B74))</f>
        <v/>
      </c>
      <c r="O74" s="18" t="str">
        <f aca="false">IF($B74="","",ROUND(N74/365.25,1))</f>
        <v/>
      </c>
      <c r="P74" s="16" t="str">
        <f aca="false">IF($B74="","",EDATE(K74,72))</f>
        <v/>
      </c>
      <c r="Q74" s="17" t="str">
        <f aca="true">IF($B74="","",P74-TODAY())</f>
        <v/>
      </c>
      <c r="R74" s="13" t="str">
        <f aca="false">IF($B74="","",IF(Q74&lt;=0,"🔴 SUPERO LIMITE LEGAL",IF(Q74&lt;=180,"🟠 PROXIMO AL LIMITE (6 ANOS)",IF(Q74&lt;=365,"🟡 VIGILAR (&lt; 1 ANO)","🟢 DENTRO DEL LIMITE"))))</f>
        <v/>
      </c>
      <c r="S74" s="17" t="str">
        <f aca="true">IF($B74="","",L74-TODAY())</f>
        <v/>
      </c>
      <c r="T74" s="13" t="str">
        <f aca="false">IF($B74="","",IF(S74&lt;0,"🔴 COMISION VENCIDA",IF(S74&lt;=90,"🟠 VENCE PRONTO (&lt;=90 DIAS)",IF(S74&lt;=180,"🟡 PROXIMA A VENCER (&lt;=180 DIAS)","🟢 VIGENTE"))))</f>
        <v/>
      </c>
      <c r="U74" s="13" t="str">
        <f aca="false">IF($B74="","",IF(ABS(N74-(L74-K74+1))&lt;=3,"CONTINUA","CON INTERRUPCIONES - REVISAR"))</f>
        <v/>
      </c>
      <c r="V74" s="14" t="str">
        <f aca="false">IF($B74="","",TRIM(SUBSTITUTE(SUBSTITUTE(SUBSTITUTE(SUBSTITUTE(SUBSTITUTE(SUBSTITUTE(UPPER(IFERROR(INDEX('Registro de Comisión'!$L$5:$L$304,MATCH($B74&amp;"-ACT",'Registro de Comisión'!$N$5:$N$304,0)),"SIN REGISTRAR")),"Á","A"),"É","E"),"Í","I"),"Ó","O"),"Ú","U"),"Ü","U")))</f>
        <v/>
      </c>
      <c r="W74" s="14"/>
    </row>
    <row r="75" customFormat="false" ht="15" hidden="false" customHeight="false" outlineLevel="0" collapsed="false">
      <c r="A75" s="19" t="str">
        <f aca="false">IF($B75="","",ROW()-6)</f>
        <v/>
      </c>
      <c r="B75" s="19" t="str">
        <f aca="false">IFERROR(INDEX('Registro de Comisión'!$A$5:$A$304,MATCH(ROW()-21,'Registro de Comisión'!$P$5:$P$304,0)),"")</f>
        <v/>
      </c>
      <c r="C75" s="20" t="str">
        <f aca="false">IF($B75="","",TRIM(SUBSTITUTE(SUBSTITUTE(SUBSTITUTE(SUBSTITUTE(SUBSTITUTE(SUBSTITUTE(UPPER(IFERROR(INDEX('Registro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5" s="19" t="str">
        <f aca="false">IF($B75="","",TRIM(SUBSTITUTE(SUBSTITUTE(SUBSTITUTE(SUBSTITUTE(SUBSTITUTE(SUBSTITUTE(UPPER(IFERROR(INDEX('Registro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5" s="20" t="str">
        <f aca="false">IF($B75="","",TRIM(SUBSTITUTE(SUBSTITUTE(SUBSTITUTE(SUBSTITUTE(SUBSTITUTE(SUBSTITUTE(UPPER(IFERROR(INDEX('Registro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5" s="20" t="str">
        <f aca="false">IF($B75="","",TRIM(SUBSTITUTE(SUBSTITUTE(SUBSTITUTE(SUBSTITUTE(SUBSTITUTE(SUBSTITUTE(UPPER(IFERROR(INDEX('Registro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5" s="20" t="str">
        <f aca="false">IF($B75="","",TRIM(SUBSTITUTE(SUBSTITUTE(SUBSTITUTE(SUBSTITUTE(SUBSTITUTE(SUBSTITUTE(UPPER(IFERROR(INDEX('Registro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5" s="19" t="str">
        <f aca="false">IF($B75="","",TRIM(SUBSTITUTE(SUBSTITUTE(SUBSTITUTE(SUBSTITUTE(SUBSTITUTE(SUBSTITUTE(UPPER(IFERROR(INDEX('Registro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5" s="26" t="str">
        <f aca="false">IF($B75="","",IFERROR(INDEX('Registro de Comisión'!$H$5:$H$304,MATCH(ROW()-21,'Registro de Comisión'!$P$5:$P$304,0)),""))</f>
        <v/>
      </c>
      <c r="J75" s="20" t="str">
        <f aca="false">IF($B75="","",TRIM(SUBSTITUTE(SUBSTITUTE(SUBSTITUTE(SUBSTITUTE(SUBSTITUTE(SUBSTITUTE(UPPER(IFERROR(INDEX(tblPeriodos[Institución en el Período],MATCH($B75&amp;"-1",tblPeriodos[Clave (uso interno)],0)),"SIN PERIODO REGISTRADO")),"Á","A"),"É","E"),"Í","I"),"Ó","O"),"Ú","U"),"Ü","U")))</f>
        <v/>
      </c>
      <c r="K75" s="22" t="str">
        <f aca="false">IF($B75="","",IFERROR(_xlfn.MINIFS(tblPeriodos[Fecha Inicio del Período],tblPeriodos[Cédula],$B75),""))</f>
        <v/>
      </c>
      <c r="L75" s="22" t="str">
        <f aca="false">IF($B75="","",IFERROR(_xlfn.MAXIFS(tblPeriodos[Fecha Fin del Período],tblPeriodos[Cédula],$B75),""))</f>
        <v/>
      </c>
      <c r="M75" s="19" t="str">
        <f aca="false">IF($B75="","",COUNTIFS(tblPeriodos[Cédula],$B75))</f>
        <v/>
      </c>
      <c r="N75" s="23" t="str">
        <f aca="false">IF($B75="","",SUMIFS(tblPeriodos[Días del Período],tblPeriodos[Cédula],$B75))</f>
        <v/>
      </c>
      <c r="O75" s="24" t="str">
        <f aca="false">IF($B75="","",ROUND(N75/365.25,1))</f>
        <v/>
      </c>
      <c r="P75" s="22" t="str">
        <f aca="false">IF($B75="","",EDATE(K75,72))</f>
        <v/>
      </c>
      <c r="Q75" s="23" t="str">
        <f aca="true">IF($B75="","",P75-TODAY())</f>
        <v/>
      </c>
      <c r="R75" s="19" t="str">
        <f aca="false">IF($B75="","",IF(Q75&lt;=0,"🔴 SUPERO LIMITE LEGAL",IF(Q75&lt;=180,"🟠 PROXIMO AL LIMITE (6 ANOS)",IF(Q75&lt;=365,"🟡 VIGILAR (&lt; 1 ANO)","🟢 DENTRO DEL LIMITE"))))</f>
        <v/>
      </c>
      <c r="S75" s="23" t="str">
        <f aca="true">IF($B75="","",L75-TODAY())</f>
        <v/>
      </c>
      <c r="T75" s="19" t="str">
        <f aca="false">IF($B75="","",IF(S75&lt;0,"🔴 COMISION VENCIDA",IF(S75&lt;=90,"🟠 VENCE PRONTO (&lt;=90 DIAS)",IF(S75&lt;=180,"🟡 PROXIMA A VENCER (&lt;=180 DIAS)","🟢 VIGENTE"))))</f>
        <v/>
      </c>
      <c r="U75" s="19" t="str">
        <f aca="false">IF($B75="","",IF(ABS(N75-(L75-K75+1))&lt;=3,"CONTINUA","CON INTERRUPCIONES - REVISAR"))</f>
        <v/>
      </c>
      <c r="V75" s="20" t="str">
        <f aca="false">IF($B75="","",TRIM(SUBSTITUTE(SUBSTITUTE(SUBSTITUTE(SUBSTITUTE(SUBSTITUTE(SUBSTITUTE(UPPER(IFERROR(INDEX('Registro de Comisión'!$L$5:$L$304,MATCH($B75&amp;"-ACT",'Registro de Comisión'!$N$5:$N$304,0)),"SIN REGISTRAR")),"Á","A"),"É","E"),"Í","I"),"Ó","O"),"Ú","U"),"Ü","U")))</f>
        <v/>
      </c>
      <c r="W75" s="20"/>
    </row>
    <row r="76" customFormat="false" ht="15" hidden="false" customHeight="false" outlineLevel="0" collapsed="false">
      <c r="A76" s="13" t="str">
        <f aca="false">IF($B76="","",ROW()-6)</f>
        <v/>
      </c>
      <c r="B76" s="13" t="str">
        <f aca="false">IFERROR(INDEX('Registro de Comisión'!$A$5:$A$304,MATCH(ROW()-21,'Registro de Comisión'!$P$5:$P$304,0)),"")</f>
        <v/>
      </c>
      <c r="C76" s="14" t="str">
        <f aca="false">IF($B76="","",TRIM(SUBSTITUTE(SUBSTITUTE(SUBSTITUTE(SUBSTITUTE(SUBSTITUTE(SUBSTITUTE(UPPER(IFERROR(INDEX('Registro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6" s="13" t="str">
        <f aca="false">IF($B76="","",TRIM(SUBSTITUTE(SUBSTITUTE(SUBSTITUTE(SUBSTITUTE(SUBSTITUTE(SUBSTITUTE(UPPER(IFERROR(INDEX('Registro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6" s="14" t="str">
        <f aca="false">IF($B76="","",TRIM(SUBSTITUTE(SUBSTITUTE(SUBSTITUTE(SUBSTITUTE(SUBSTITUTE(SUBSTITUTE(UPPER(IFERROR(INDEX('Registro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6" s="14" t="str">
        <f aca="false">IF($B76="","",TRIM(SUBSTITUTE(SUBSTITUTE(SUBSTITUTE(SUBSTITUTE(SUBSTITUTE(SUBSTITUTE(UPPER(IFERROR(INDEX('Registro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6" s="14" t="str">
        <f aca="false">IF($B76="","",TRIM(SUBSTITUTE(SUBSTITUTE(SUBSTITUTE(SUBSTITUTE(SUBSTITUTE(SUBSTITUTE(UPPER(IFERROR(INDEX('Registro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6" s="13" t="str">
        <f aca="false">IF($B76="","",TRIM(SUBSTITUTE(SUBSTITUTE(SUBSTITUTE(SUBSTITUTE(SUBSTITUTE(SUBSTITUTE(UPPER(IFERROR(INDEX('Registro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6" s="25" t="str">
        <f aca="false">IF($B76="","",IFERROR(INDEX('Registro de Comisión'!$H$5:$H$304,MATCH(ROW()-21,'Registro de Comisión'!$P$5:$P$304,0)),""))</f>
        <v/>
      </c>
      <c r="J76" s="14" t="str">
        <f aca="false">IF($B76="","",TRIM(SUBSTITUTE(SUBSTITUTE(SUBSTITUTE(SUBSTITUTE(SUBSTITUTE(SUBSTITUTE(UPPER(IFERROR(INDEX(tblPeriodos[Institución en el Período],MATCH($B76&amp;"-1",tblPeriodos[Clave (uso interno)],0)),"SIN PERIODO REGISTRADO")),"Á","A"),"É","E"),"Í","I"),"Ó","O"),"Ú","U"),"Ü","U")))</f>
        <v/>
      </c>
      <c r="K76" s="16" t="str">
        <f aca="false">IF($B76="","",IFERROR(_xlfn.MINIFS(tblPeriodos[Fecha Inicio del Período],tblPeriodos[Cédula],$B76),""))</f>
        <v/>
      </c>
      <c r="L76" s="16" t="str">
        <f aca="false">IF($B76="","",IFERROR(_xlfn.MAXIFS(tblPeriodos[Fecha Fin del Período],tblPeriodos[Cédula],$B76),""))</f>
        <v/>
      </c>
      <c r="M76" s="13" t="str">
        <f aca="false">IF($B76="","",COUNTIFS(tblPeriodos[Cédula],$B76))</f>
        <v/>
      </c>
      <c r="N76" s="17" t="str">
        <f aca="false">IF($B76="","",SUMIFS(tblPeriodos[Días del Período],tblPeriodos[Cédula],$B76))</f>
        <v/>
      </c>
      <c r="O76" s="18" t="str">
        <f aca="false">IF($B76="","",ROUND(N76/365.25,1))</f>
        <v/>
      </c>
      <c r="P76" s="16" t="str">
        <f aca="false">IF($B76="","",EDATE(K76,72))</f>
        <v/>
      </c>
      <c r="Q76" s="17" t="str">
        <f aca="true">IF($B76="","",P76-TODAY())</f>
        <v/>
      </c>
      <c r="R76" s="13" t="str">
        <f aca="false">IF($B76="","",IF(Q76&lt;=0,"🔴 SUPERO LIMITE LEGAL",IF(Q76&lt;=180,"🟠 PROXIMO AL LIMITE (6 ANOS)",IF(Q76&lt;=365,"🟡 VIGILAR (&lt; 1 ANO)","🟢 DENTRO DEL LIMITE"))))</f>
        <v/>
      </c>
      <c r="S76" s="17" t="str">
        <f aca="true">IF($B76="","",L76-TODAY())</f>
        <v/>
      </c>
      <c r="T76" s="13" t="str">
        <f aca="false">IF($B76="","",IF(S76&lt;0,"🔴 COMISION VENCIDA",IF(S76&lt;=90,"🟠 VENCE PRONTO (&lt;=90 DIAS)",IF(S76&lt;=180,"🟡 PROXIMA A VENCER (&lt;=180 DIAS)","🟢 VIGENTE"))))</f>
        <v/>
      </c>
      <c r="U76" s="13" t="str">
        <f aca="false">IF($B76="","",IF(ABS(N76-(L76-K76+1))&lt;=3,"CONTINUA","CON INTERRUPCIONES - REVISAR"))</f>
        <v/>
      </c>
      <c r="V76" s="14" t="str">
        <f aca="false">IF($B76="","",TRIM(SUBSTITUTE(SUBSTITUTE(SUBSTITUTE(SUBSTITUTE(SUBSTITUTE(SUBSTITUTE(UPPER(IFERROR(INDEX('Registro de Comisión'!$L$5:$L$304,MATCH($B76&amp;"-ACT",'Registro de Comisión'!$N$5:$N$304,0)),"SIN REGISTRAR")),"Á","A"),"É","E"),"Í","I"),"Ó","O"),"Ú","U"),"Ü","U")))</f>
        <v/>
      </c>
      <c r="W76" s="14"/>
    </row>
    <row r="77" customFormat="false" ht="15" hidden="false" customHeight="false" outlineLevel="0" collapsed="false">
      <c r="A77" s="19" t="str">
        <f aca="false">IF($B77="","",ROW()-6)</f>
        <v/>
      </c>
      <c r="B77" s="19" t="str">
        <f aca="false">IFERROR(INDEX('Registro de Comisión'!$A$5:$A$304,MATCH(ROW()-21,'Registro de Comisión'!$P$5:$P$304,0)),"")</f>
        <v/>
      </c>
      <c r="C77" s="20" t="str">
        <f aca="false">IF($B77="","",TRIM(SUBSTITUTE(SUBSTITUTE(SUBSTITUTE(SUBSTITUTE(SUBSTITUTE(SUBSTITUTE(UPPER(IFERROR(INDEX('Registro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7" s="19" t="str">
        <f aca="false">IF($B77="","",TRIM(SUBSTITUTE(SUBSTITUTE(SUBSTITUTE(SUBSTITUTE(SUBSTITUTE(SUBSTITUTE(UPPER(IFERROR(INDEX('Registro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7" s="20" t="str">
        <f aca="false">IF($B77="","",TRIM(SUBSTITUTE(SUBSTITUTE(SUBSTITUTE(SUBSTITUTE(SUBSTITUTE(SUBSTITUTE(UPPER(IFERROR(INDEX('Registro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7" s="20" t="str">
        <f aca="false">IF($B77="","",TRIM(SUBSTITUTE(SUBSTITUTE(SUBSTITUTE(SUBSTITUTE(SUBSTITUTE(SUBSTITUTE(UPPER(IFERROR(INDEX('Registro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7" s="20" t="str">
        <f aca="false">IF($B77="","",TRIM(SUBSTITUTE(SUBSTITUTE(SUBSTITUTE(SUBSTITUTE(SUBSTITUTE(SUBSTITUTE(UPPER(IFERROR(INDEX('Registro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7" s="19" t="str">
        <f aca="false">IF($B77="","",TRIM(SUBSTITUTE(SUBSTITUTE(SUBSTITUTE(SUBSTITUTE(SUBSTITUTE(SUBSTITUTE(UPPER(IFERROR(INDEX('Registro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7" s="26" t="str">
        <f aca="false">IF($B77="","",IFERROR(INDEX('Registro de Comisión'!$H$5:$H$304,MATCH(ROW()-21,'Registro de Comisión'!$P$5:$P$304,0)),""))</f>
        <v/>
      </c>
      <c r="J77" s="20" t="str">
        <f aca="false">IF($B77="","",TRIM(SUBSTITUTE(SUBSTITUTE(SUBSTITUTE(SUBSTITUTE(SUBSTITUTE(SUBSTITUTE(UPPER(IFERROR(INDEX(tblPeriodos[Institución en el Período],MATCH($B77&amp;"-1",tblPeriodos[Clave (uso interno)],0)),"SIN PERIODO REGISTRADO")),"Á","A"),"É","E"),"Í","I"),"Ó","O"),"Ú","U"),"Ü","U")))</f>
        <v/>
      </c>
      <c r="K77" s="22" t="str">
        <f aca="false">IF($B77="","",IFERROR(_xlfn.MINIFS(tblPeriodos[Fecha Inicio del Período],tblPeriodos[Cédula],$B77),""))</f>
        <v/>
      </c>
      <c r="L77" s="22" t="str">
        <f aca="false">IF($B77="","",IFERROR(_xlfn.MAXIFS(tblPeriodos[Fecha Fin del Período],tblPeriodos[Cédula],$B77),""))</f>
        <v/>
      </c>
      <c r="M77" s="19" t="str">
        <f aca="false">IF($B77="","",COUNTIFS(tblPeriodos[Cédula],$B77))</f>
        <v/>
      </c>
      <c r="N77" s="23" t="str">
        <f aca="false">IF($B77="","",SUMIFS(tblPeriodos[Días del Período],tblPeriodos[Cédula],$B77))</f>
        <v/>
      </c>
      <c r="O77" s="24" t="str">
        <f aca="false">IF($B77="","",ROUND(N77/365.25,1))</f>
        <v/>
      </c>
      <c r="P77" s="22" t="str">
        <f aca="false">IF($B77="","",EDATE(K77,72))</f>
        <v/>
      </c>
      <c r="Q77" s="23" t="str">
        <f aca="true">IF($B77="","",P77-TODAY())</f>
        <v/>
      </c>
      <c r="R77" s="19" t="str">
        <f aca="false">IF($B77="","",IF(Q77&lt;=0,"🔴 SUPERO LIMITE LEGAL",IF(Q77&lt;=180,"🟠 PROXIMO AL LIMITE (6 ANOS)",IF(Q77&lt;=365,"🟡 VIGILAR (&lt; 1 ANO)","🟢 DENTRO DEL LIMITE"))))</f>
        <v/>
      </c>
      <c r="S77" s="23" t="str">
        <f aca="true">IF($B77="","",L77-TODAY())</f>
        <v/>
      </c>
      <c r="T77" s="19" t="str">
        <f aca="false">IF($B77="","",IF(S77&lt;0,"🔴 COMISION VENCIDA",IF(S77&lt;=90,"🟠 VENCE PRONTO (&lt;=90 DIAS)",IF(S77&lt;=180,"🟡 PROXIMA A VENCER (&lt;=180 DIAS)","🟢 VIGENTE"))))</f>
        <v/>
      </c>
      <c r="U77" s="19" t="str">
        <f aca="false">IF($B77="","",IF(ABS(N77-(L77-K77+1))&lt;=3,"CONTINUA","CON INTERRUPCIONES - REVISAR"))</f>
        <v/>
      </c>
      <c r="V77" s="20" t="str">
        <f aca="false">IF($B77="","",TRIM(SUBSTITUTE(SUBSTITUTE(SUBSTITUTE(SUBSTITUTE(SUBSTITUTE(SUBSTITUTE(UPPER(IFERROR(INDEX('Registro de Comisión'!$L$5:$L$304,MATCH($B77&amp;"-ACT",'Registro de Comisión'!$N$5:$N$304,0)),"SIN REGISTRAR")),"Á","A"),"É","E"),"Í","I"),"Ó","O"),"Ú","U"),"Ü","U")))</f>
        <v/>
      </c>
      <c r="W77" s="20"/>
    </row>
    <row r="78" customFormat="false" ht="15" hidden="false" customHeight="false" outlineLevel="0" collapsed="false">
      <c r="A78" s="13" t="str">
        <f aca="false">IF($B78="","",ROW()-6)</f>
        <v/>
      </c>
      <c r="B78" s="13" t="str">
        <f aca="false">IFERROR(INDEX('Registro de Comisión'!$A$5:$A$304,MATCH(ROW()-21,'Registro de Comisión'!$P$5:$P$304,0)),"")</f>
        <v/>
      </c>
      <c r="C78" s="14" t="str">
        <f aca="false">IF($B78="","",TRIM(SUBSTITUTE(SUBSTITUTE(SUBSTITUTE(SUBSTITUTE(SUBSTITUTE(SUBSTITUTE(UPPER(IFERROR(INDEX('Registro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8" s="13" t="str">
        <f aca="false">IF($B78="","",TRIM(SUBSTITUTE(SUBSTITUTE(SUBSTITUTE(SUBSTITUTE(SUBSTITUTE(SUBSTITUTE(UPPER(IFERROR(INDEX('Registro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8" s="14" t="str">
        <f aca="false">IF($B78="","",TRIM(SUBSTITUTE(SUBSTITUTE(SUBSTITUTE(SUBSTITUTE(SUBSTITUTE(SUBSTITUTE(UPPER(IFERROR(INDEX('Registro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8" s="14" t="str">
        <f aca="false">IF($B78="","",TRIM(SUBSTITUTE(SUBSTITUTE(SUBSTITUTE(SUBSTITUTE(SUBSTITUTE(SUBSTITUTE(UPPER(IFERROR(INDEX('Registro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8" s="14" t="str">
        <f aca="false">IF($B78="","",TRIM(SUBSTITUTE(SUBSTITUTE(SUBSTITUTE(SUBSTITUTE(SUBSTITUTE(SUBSTITUTE(UPPER(IFERROR(INDEX('Registro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8" s="13" t="str">
        <f aca="false">IF($B78="","",TRIM(SUBSTITUTE(SUBSTITUTE(SUBSTITUTE(SUBSTITUTE(SUBSTITUTE(SUBSTITUTE(UPPER(IFERROR(INDEX('Registro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8" s="25" t="str">
        <f aca="false">IF($B78="","",IFERROR(INDEX('Registro de Comisión'!$H$5:$H$304,MATCH(ROW()-21,'Registro de Comisión'!$P$5:$P$304,0)),""))</f>
        <v/>
      </c>
      <c r="J78" s="14" t="str">
        <f aca="false">IF($B78="","",TRIM(SUBSTITUTE(SUBSTITUTE(SUBSTITUTE(SUBSTITUTE(SUBSTITUTE(SUBSTITUTE(UPPER(IFERROR(INDEX(tblPeriodos[Institución en el Período],MATCH($B78&amp;"-1",tblPeriodos[Clave (uso interno)],0)),"SIN PERIODO REGISTRADO")),"Á","A"),"É","E"),"Í","I"),"Ó","O"),"Ú","U"),"Ü","U")))</f>
        <v/>
      </c>
      <c r="K78" s="16" t="str">
        <f aca="false">IF($B78="","",IFERROR(_xlfn.MINIFS(tblPeriodos[Fecha Inicio del Período],tblPeriodos[Cédula],$B78),""))</f>
        <v/>
      </c>
      <c r="L78" s="16" t="str">
        <f aca="false">IF($B78="","",IFERROR(_xlfn.MAXIFS(tblPeriodos[Fecha Fin del Período],tblPeriodos[Cédula],$B78),""))</f>
        <v/>
      </c>
      <c r="M78" s="13" t="str">
        <f aca="false">IF($B78="","",COUNTIFS(tblPeriodos[Cédula],$B78))</f>
        <v/>
      </c>
      <c r="N78" s="17" t="str">
        <f aca="false">IF($B78="","",SUMIFS(tblPeriodos[Días del Período],tblPeriodos[Cédula],$B78))</f>
        <v/>
      </c>
      <c r="O78" s="18" t="str">
        <f aca="false">IF($B78="","",ROUND(N78/365.25,1))</f>
        <v/>
      </c>
      <c r="P78" s="16" t="str">
        <f aca="false">IF($B78="","",EDATE(K78,72))</f>
        <v/>
      </c>
      <c r="Q78" s="17" t="str">
        <f aca="true">IF($B78="","",P78-TODAY())</f>
        <v/>
      </c>
      <c r="R78" s="13" t="str">
        <f aca="false">IF($B78="","",IF(Q78&lt;=0,"🔴 SUPERO LIMITE LEGAL",IF(Q78&lt;=180,"🟠 PROXIMO AL LIMITE (6 ANOS)",IF(Q78&lt;=365,"🟡 VIGILAR (&lt; 1 ANO)","🟢 DENTRO DEL LIMITE"))))</f>
        <v/>
      </c>
      <c r="S78" s="17" t="str">
        <f aca="true">IF($B78="","",L78-TODAY())</f>
        <v/>
      </c>
      <c r="T78" s="13" t="str">
        <f aca="false">IF($B78="","",IF(S78&lt;0,"🔴 COMISION VENCIDA",IF(S78&lt;=90,"🟠 VENCE PRONTO (&lt;=90 DIAS)",IF(S78&lt;=180,"🟡 PROXIMA A VENCER (&lt;=180 DIAS)","🟢 VIGENTE"))))</f>
        <v/>
      </c>
      <c r="U78" s="13" t="str">
        <f aca="false">IF($B78="","",IF(ABS(N78-(L78-K78+1))&lt;=3,"CONTINUA","CON INTERRUPCIONES - REVISAR"))</f>
        <v/>
      </c>
      <c r="V78" s="14" t="str">
        <f aca="false">IF($B78="","",TRIM(SUBSTITUTE(SUBSTITUTE(SUBSTITUTE(SUBSTITUTE(SUBSTITUTE(SUBSTITUTE(UPPER(IFERROR(INDEX('Registro de Comisión'!$L$5:$L$304,MATCH($B78&amp;"-ACT",'Registro de Comisión'!$N$5:$N$304,0)),"SIN REGISTRAR")),"Á","A"),"É","E"),"Í","I"),"Ó","O"),"Ú","U"),"Ü","U")))</f>
        <v/>
      </c>
      <c r="W78" s="14"/>
    </row>
    <row r="79" customFormat="false" ht="15" hidden="false" customHeight="false" outlineLevel="0" collapsed="false">
      <c r="A79" s="19" t="str">
        <f aca="false">IF($B79="","",ROW()-6)</f>
        <v/>
      </c>
      <c r="B79" s="19" t="str">
        <f aca="false">IFERROR(INDEX('Registro de Comisión'!$A$5:$A$304,MATCH(ROW()-21,'Registro de Comisión'!$P$5:$P$304,0)),"")</f>
        <v/>
      </c>
      <c r="C79" s="20" t="str">
        <f aca="false">IF($B79="","",TRIM(SUBSTITUTE(SUBSTITUTE(SUBSTITUTE(SUBSTITUTE(SUBSTITUTE(SUBSTITUTE(UPPER(IFERROR(INDEX('Registro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79" s="19" t="str">
        <f aca="false">IF($B79="","",TRIM(SUBSTITUTE(SUBSTITUTE(SUBSTITUTE(SUBSTITUTE(SUBSTITUTE(SUBSTITUTE(UPPER(IFERROR(INDEX('Registro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79" s="20" t="str">
        <f aca="false">IF($B79="","",TRIM(SUBSTITUTE(SUBSTITUTE(SUBSTITUTE(SUBSTITUTE(SUBSTITUTE(SUBSTITUTE(UPPER(IFERROR(INDEX('Registro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79" s="20" t="str">
        <f aca="false">IF($B79="","",TRIM(SUBSTITUTE(SUBSTITUTE(SUBSTITUTE(SUBSTITUTE(SUBSTITUTE(SUBSTITUTE(UPPER(IFERROR(INDEX('Registro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79" s="20" t="str">
        <f aca="false">IF($B79="","",TRIM(SUBSTITUTE(SUBSTITUTE(SUBSTITUTE(SUBSTITUTE(SUBSTITUTE(SUBSTITUTE(UPPER(IFERROR(INDEX('Registro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79" s="19" t="str">
        <f aca="false">IF($B79="","",TRIM(SUBSTITUTE(SUBSTITUTE(SUBSTITUTE(SUBSTITUTE(SUBSTITUTE(SUBSTITUTE(UPPER(IFERROR(INDEX('Registro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79" s="26" t="str">
        <f aca="false">IF($B79="","",IFERROR(INDEX('Registro de Comisión'!$H$5:$H$304,MATCH(ROW()-21,'Registro de Comisión'!$P$5:$P$304,0)),""))</f>
        <v/>
      </c>
      <c r="J79" s="20" t="str">
        <f aca="false">IF($B79="","",TRIM(SUBSTITUTE(SUBSTITUTE(SUBSTITUTE(SUBSTITUTE(SUBSTITUTE(SUBSTITUTE(UPPER(IFERROR(INDEX(tblPeriodos[Institución en el Período],MATCH($B79&amp;"-1",tblPeriodos[Clave (uso interno)],0)),"SIN PERIODO REGISTRADO")),"Á","A"),"É","E"),"Í","I"),"Ó","O"),"Ú","U"),"Ü","U")))</f>
        <v/>
      </c>
      <c r="K79" s="22" t="str">
        <f aca="false">IF($B79="","",IFERROR(_xlfn.MINIFS(tblPeriodos[Fecha Inicio del Período],tblPeriodos[Cédula],$B79),""))</f>
        <v/>
      </c>
      <c r="L79" s="22" t="str">
        <f aca="false">IF($B79="","",IFERROR(_xlfn.MAXIFS(tblPeriodos[Fecha Fin del Período],tblPeriodos[Cédula],$B79),""))</f>
        <v/>
      </c>
      <c r="M79" s="19" t="str">
        <f aca="false">IF($B79="","",COUNTIFS(tblPeriodos[Cédula],$B79))</f>
        <v/>
      </c>
      <c r="N79" s="23" t="str">
        <f aca="false">IF($B79="","",SUMIFS(tblPeriodos[Días del Período],tblPeriodos[Cédula],$B79))</f>
        <v/>
      </c>
      <c r="O79" s="24" t="str">
        <f aca="false">IF($B79="","",ROUND(N79/365.25,1))</f>
        <v/>
      </c>
      <c r="P79" s="22" t="str">
        <f aca="false">IF($B79="","",EDATE(K79,72))</f>
        <v/>
      </c>
      <c r="Q79" s="23" t="str">
        <f aca="true">IF($B79="","",P79-TODAY())</f>
        <v/>
      </c>
      <c r="R79" s="19" t="str">
        <f aca="false">IF($B79="","",IF(Q79&lt;=0,"🔴 SUPERO LIMITE LEGAL",IF(Q79&lt;=180,"🟠 PROXIMO AL LIMITE (6 ANOS)",IF(Q79&lt;=365,"🟡 VIGILAR (&lt; 1 ANO)","🟢 DENTRO DEL LIMITE"))))</f>
        <v/>
      </c>
      <c r="S79" s="23" t="str">
        <f aca="true">IF($B79="","",L79-TODAY())</f>
        <v/>
      </c>
      <c r="T79" s="19" t="str">
        <f aca="false">IF($B79="","",IF(S79&lt;0,"🔴 COMISION VENCIDA",IF(S79&lt;=90,"🟠 VENCE PRONTO (&lt;=90 DIAS)",IF(S79&lt;=180,"🟡 PROXIMA A VENCER (&lt;=180 DIAS)","🟢 VIGENTE"))))</f>
        <v/>
      </c>
      <c r="U79" s="19" t="str">
        <f aca="false">IF($B79="","",IF(ABS(N79-(L79-K79+1))&lt;=3,"CONTINUA","CON INTERRUPCIONES - REVISAR"))</f>
        <v/>
      </c>
      <c r="V79" s="20" t="str">
        <f aca="false">IF($B79="","",TRIM(SUBSTITUTE(SUBSTITUTE(SUBSTITUTE(SUBSTITUTE(SUBSTITUTE(SUBSTITUTE(UPPER(IFERROR(INDEX('Registro de Comisión'!$L$5:$L$304,MATCH($B79&amp;"-ACT",'Registro de Comisión'!$N$5:$N$304,0)),"SIN REGISTRAR")),"Á","A"),"É","E"),"Í","I"),"Ó","O"),"Ú","U"),"Ü","U")))</f>
        <v/>
      </c>
      <c r="W79" s="20"/>
    </row>
    <row r="80" customFormat="false" ht="15" hidden="false" customHeight="false" outlineLevel="0" collapsed="false">
      <c r="A80" s="13" t="str">
        <f aca="false">IF($B80="","",ROW()-6)</f>
        <v/>
      </c>
      <c r="B80" s="13" t="str">
        <f aca="false">IFERROR(INDEX('Registro de Comisión'!$A$5:$A$304,MATCH(ROW()-21,'Registro de Comisión'!$P$5:$P$304,0)),"")</f>
        <v/>
      </c>
      <c r="C80" s="14" t="str">
        <f aca="false">IF($B80="","",TRIM(SUBSTITUTE(SUBSTITUTE(SUBSTITUTE(SUBSTITUTE(SUBSTITUTE(SUBSTITUTE(UPPER(IFERROR(INDEX('Registro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0" s="13" t="str">
        <f aca="false">IF($B80="","",TRIM(SUBSTITUTE(SUBSTITUTE(SUBSTITUTE(SUBSTITUTE(SUBSTITUTE(SUBSTITUTE(UPPER(IFERROR(INDEX('Registro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0" s="14" t="str">
        <f aca="false">IF($B80="","",TRIM(SUBSTITUTE(SUBSTITUTE(SUBSTITUTE(SUBSTITUTE(SUBSTITUTE(SUBSTITUTE(UPPER(IFERROR(INDEX('Registro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0" s="14" t="str">
        <f aca="false">IF($B80="","",TRIM(SUBSTITUTE(SUBSTITUTE(SUBSTITUTE(SUBSTITUTE(SUBSTITUTE(SUBSTITUTE(UPPER(IFERROR(INDEX('Registro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0" s="14" t="str">
        <f aca="false">IF($B80="","",TRIM(SUBSTITUTE(SUBSTITUTE(SUBSTITUTE(SUBSTITUTE(SUBSTITUTE(SUBSTITUTE(UPPER(IFERROR(INDEX('Registro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0" s="13" t="str">
        <f aca="false">IF($B80="","",TRIM(SUBSTITUTE(SUBSTITUTE(SUBSTITUTE(SUBSTITUTE(SUBSTITUTE(SUBSTITUTE(UPPER(IFERROR(INDEX('Registro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0" s="25" t="str">
        <f aca="false">IF($B80="","",IFERROR(INDEX('Registro de Comisión'!$H$5:$H$304,MATCH(ROW()-21,'Registro de Comisión'!$P$5:$P$304,0)),""))</f>
        <v/>
      </c>
      <c r="J80" s="14" t="str">
        <f aca="false">IF($B80="","",TRIM(SUBSTITUTE(SUBSTITUTE(SUBSTITUTE(SUBSTITUTE(SUBSTITUTE(SUBSTITUTE(UPPER(IFERROR(INDEX(tblPeriodos[Institución en el Período],MATCH($B80&amp;"-1",tblPeriodos[Clave (uso interno)],0)),"SIN PERIODO REGISTRADO")),"Á","A"),"É","E"),"Í","I"),"Ó","O"),"Ú","U"),"Ü","U")))</f>
        <v/>
      </c>
      <c r="K80" s="16" t="str">
        <f aca="false">IF($B80="","",IFERROR(_xlfn.MINIFS(tblPeriodos[Fecha Inicio del Período],tblPeriodos[Cédula],$B80),""))</f>
        <v/>
      </c>
      <c r="L80" s="16" t="str">
        <f aca="false">IF($B80="","",IFERROR(_xlfn.MAXIFS(tblPeriodos[Fecha Fin del Período],tblPeriodos[Cédula],$B80),""))</f>
        <v/>
      </c>
      <c r="M80" s="13" t="str">
        <f aca="false">IF($B80="","",COUNTIFS(tblPeriodos[Cédula],$B80))</f>
        <v/>
      </c>
      <c r="N80" s="17" t="str">
        <f aca="false">IF($B80="","",SUMIFS(tblPeriodos[Días del Período],tblPeriodos[Cédula],$B80))</f>
        <v/>
      </c>
      <c r="O80" s="18" t="str">
        <f aca="false">IF($B80="","",ROUND(N80/365.25,1))</f>
        <v/>
      </c>
      <c r="P80" s="16" t="str">
        <f aca="false">IF($B80="","",EDATE(K80,72))</f>
        <v/>
      </c>
      <c r="Q80" s="17" t="str">
        <f aca="true">IF($B80="","",P80-TODAY())</f>
        <v/>
      </c>
      <c r="R80" s="13" t="str">
        <f aca="false">IF($B80="","",IF(Q80&lt;=0,"🔴 SUPERO LIMITE LEGAL",IF(Q80&lt;=180,"🟠 PROXIMO AL LIMITE (6 ANOS)",IF(Q80&lt;=365,"🟡 VIGILAR (&lt; 1 ANO)","🟢 DENTRO DEL LIMITE"))))</f>
        <v/>
      </c>
      <c r="S80" s="17" t="str">
        <f aca="true">IF($B80="","",L80-TODAY())</f>
        <v/>
      </c>
      <c r="T80" s="13" t="str">
        <f aca="false">IF($B80="","",IF(S80&lt;0,"🔴 COMISION VENCIDA",IF(S80&lt;=90,"🟠 VENCE PRONTO (&lt;=90 DIAS)",IF(S80&lt;=180,"🟡 PROXIMA A VENCER (&lt;=180 DIAS)","🟢 VIGENTE"))))</f>
        <v/>
      </c>
      <c r="U80" s="13" t="str">
        <f aca="false">IF($B80="","",IF(ABS(N80-(L80-K80+1))&lt;=3,"CONTINUA","CON INTERRUPCIONES - REVISAR"))</f>
        <v/>
      </c>
      <c r="V80" s="14" t="str">
        <f aca="false">IF($B80="","",TRIM(SUBSTITUTE(SUBSTITUTE(SUBSTITUTE(SUBSTITUTE(SUBSTITUTE(SUBSTITUTE(UPPER(IFERROR(INDEX('Registro de Comisión'!$L$5:$L$304,MATCH($B80&amp;"-ACT",'Registro de Comisión'!$N$5:$N$304,0)),"SIN REGISTRAR")),"Á","A"),"É","E"),"Í","I"),"Ó","O"),"Ú","U"),"Ü","U")))</f>
        <v/>
      </c>
      <c r="W80" s="14"/>
    </row>
    <row r="81" customFormat="false" ht="15" hidden="false" customHeight="false" outlineLevel="0" collapsed="false">
      <c r="A81" s="19" t="str">
        <f aca="false">IF($B81="","",ROW()-6)</f>
        <v/>
      </c>
      <c r="B81" s="19" t="str">
        <f aca="false">IFERROR(INDEX('Registro de Comisión'!$A$5:$A$304,MATCH(ROW()-21,'Registro de Comisión'!$P$5:$P$304,0)),"")</f>
        <v/>
      </c>
      <c r="C81" s="20" t="str">
        <f aca="false">IF($B81="","",TRIM(SUBSTITUTE(SUBSTITUTE(SUBSTITUTE(SUBSTITUTE(SUBSTITUTE(SUBSTITUTE(UPPER(IFERROR(INDEX('Registro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1" s="19" t="str">
        <f aca="false">IF($B81="","",TRIM(SUBSTITUTE(SUBSTITUTE(SUBSTITUTE(SUBSTITUTE(SUBSTITUTE(SUBSTITUTE(UPPER(IFERROR(INDEX('Registro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1" s="20" t="str">
        <f aca="false">IF($B81="","",TRIM(SUBSTITUTE(SUBSTITUTE(SUBSTITUTE(SUBSTITUTE(SUBSTITUTE(SUBSTITUTE(UPPER(IFERROR(INDEX('Registro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1" s="20" t="str">
        <f aca="false">IF($B81="","",TRIM(SUBSTITUTE(SUBSTITUTE(SUBSTITUTE(SUBSTITUTE(SUBSTITUTE(SUBSTITUTE(UPPER(IFERROR(INDEX('Registro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1" s="20" t="str">
        <f aca="false">IF($B81="","",TRIM(SUBSTITUTE(SUBSTITUTE(SUBSTITUTE(SUBSTITUTE(SUBSTITUTE(SUBSTITUTE(UPPER(IFERROR(INDEX('Registro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1" s="19" t="str">
        <f aca="false">IF($B81="","",TRIM(SUBSTITUTE(SUBSTITUTE(SUBSTITUTE(SUBSTITUTE(SUBSTITUTE(SUBSTITUTE(UPPER(IFERROR(INDEX('Registro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1" s="26" t="str">
        <f aca="false">IF($B81="","",IFERROR(INDEX('Registro de Comisión'!$H$5:$H$304,MATCH(ROW()-21,'Registro de Comisión'!$P$5:$P$304,0)),""))</f>
        <v/>
      </c>
      <c r="J81" s="20" t="str">
        <f aca="false">IF($B81="","",TRIM(SUBSTITUTE(SUBSTITUTE(SUBSTITUTE(SUBSTITUTE(SUBSTITUTE(SUBSTITUTE(UPPER(IFERROR(INDEX(tblPeriodos[Institución en el Período],MATCH($B81&amp;"-1",tblPeriodos[Clave (uso interno)],0)),"SIN PERIODO REGISTRADO")),"Á","A"),"É","E"),"Í","I"),"Ó","O"),"Ú","U"),"Ü","U")))</f>
        <v/>
      </c>
      <c r="K81" s="22" t="str">
        <f aca="false">IF($B81="","",IFERROR(_xlfn.MINIFS(tblPeriodos[Fecha Inicio del Período],tblPeriodos[Cédula],$B81),""))</f>
        <v/>
      </c>
      <c r="L81" s="22" t="str">
        <f aca="false">IF($B81="","",IFERROR(_xlfn.MAXIFS(tblPeriodos[Fecha Fin del Período],tblPeriodos[Cédula],$B81),""))</f>
        <v/>
      </c>
      <c r="M81" s="19" t="str">
        <f aca="false">IF($B81="","",COUNTIFS(tblPeriodos[Cédula],$B81))</f>
        <v/>
      </c>
      <c r="N81" s="23" t="str">
        <f aca="false">IF($B81="","",SUMIFS(tblPeriodos[Días del Período],tblPeriodos[Cédula],$B81))</f>
        <v/>
      </c>
      <c r="O81" s="24" t="str">
        <f aca="false">IF($B81="","",ROUND(N81/365.25,1))</f>
        <v/>
      </c>
      <c r="P81" s="22" t="str">
        <f aca="false">IF($B81="","",EDATE(K81,72))</f>
        <v/>
      </c>
      <c r="Q81" s="23" t="str">
        <f aca="true">IF($B81="","",P81-TODAY())</f>
        <v/>
      </c>
      <c r="R81" s="19" t="str">
        <f aca="false">IF($B81="","",IF(Q81&lt;=0,"🔴 SUPERO LIMITE LEGAL",IF(Q81&lt;=180,"🟠 PROXIMO AL LIMITE (6 ANOS)",IF(Q81&lt;=365,"🟡 VIGILAR (&lt; 1 ANO)","🟢 DENTRO DEL LIMITE"))))</f>
        <v/>
      </c>
      <c r="S81" s="23" t="str">
        <f aca="true">IF($B81="","",L81-TODAY())</f>
        <v/>
      </c>
      <c r="T81" s="19" t="str">
        <f aca="false">IF($B81="","",IF(S81&lt;0,"🔴 COMISION VENCIDA",IF(S81&lt;=90,"🟠 VENCE PRONTO (&lt;=90 DIAS)",IF(S81&lt;=180,"🟡 PROXIMA A VENCER (&lt;=180 DIAS)","🟢 VIGENTE"))))</f>
        <v/>
      </c>
      <c r="U81" s="19" t="str">
        <f aca="false">IF($B81="","",IF(ABS(N81-(L81-K81+1))&lt;=3,"CONTINUA","CON INTERRUPCIONES - REVISAR"))</f>
        <v/>
      </c>
      <c r="V81" s="20" t="str">
        <f aca="false">IF($B81="","",TRIM(SUBSTITUTE(SUBSTITUTE(SUBSTITUTE(SUBSTITUTE(SUBSTITUTE(SUBSTITUTE(UPPER(IFERROR(INDEX('Registro de Comisión'!$L$5:$L$304,MATCH($B81&amp;"-ACT",'Registro de Comisión'!$N$5:$N$304,0)),"SIN REGISTRAR")),"Á","A"),"É","E"),"Í","I"),"Ó","O"),"Ú","U"),"Ü","U")))</f>
        <v/>
      </c>
      <c r="W81" s="20"/>
    </row>
    <row r="82" customFormat="false" ht="15" hidden="false" customHeight="false" outlineLevel="0" collapsed="false">
      <c r="A82" s="13" t="str">
        <f aca="false">IF($B82="","",ROW()-6)</f>
        <v/>
      </c>
      <c r="B82" s="13" t="str">
        <f aca="false">IFERROR(INDEX('Registro de Comisión'!$A$5:$A$304,MATCH(ROW()-21,'Registro de Comisión'!$P$5:$P$304,0)),"")</f>
        <v/>
      </c>
      <c r="C82" s="14" t="str">
        <f aca="false">IF($B82="","",TRIM(SUBSTITUTE(SUBSTITUTE(SUBSTITUTE(SUBSTITUTE(SUBSTITUTE(SUBSTITUTE(UPPER(IFERROR(INDEX('Registro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2" s="13" t="str">
        <f aca="false">IF($B82="","",TRIM(SUBSTITUTE(SUBSTITUTE(SUBSTITUTE(SUBSTITUTE(SUBSTITUTE(SUBSTITUTE(UPPER(IFERROR(INDEX('Registro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2" s="14" t="str">
        <f aca="false">IF($B82="","",TRIM(SUBSTITUTE(SUBSTITUTE(SUBSTITUTE(SUBSTITUTE(SUBSTITUTE(SUBSTITUTE(UPPER(IFERROR(INDEX('Registro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2" s="14" t="str">
        <f aca="false">IF($B82="","",TRIM(SUBSTITUTE(SUBSTITUTE(SUBSTITUTE(SUBSTITUTE(SUBSTITUTE(SUBSTITUTE(UPPER(IFERROR(INDEX('Registro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2" s="14" t="str">
        <f aca="false">IF($B82="","",TRIM(SUBSTITUTE(SUBSTITUTE(SUBSTITUTE(SUBSTITUTE(SUBSTITUTE(SUBSTITUTE(UPPER(IFERROR(INDEX('Registro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2" s="13" t="str">
        <f aca="false">IF($B82="","",TRIM(SUBSTITUTE(SUBSTITUTE(SUBSTITUTE(SUBSTITUTE(SUBSTITUTE(SUBSTITUTE(UPPER(IFERROR(INDEX('Registro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2" s="25" t="str">
        <f aca="false">IF($B82="","",IFERROR(INDEX('Registro de Comisión'!$H$5:$H$304,MATCH(ROW()-21,'Registro de Comisión'!$P$5:$P$304,0)),""))</f>
        <v/>
      </c>
      <c r="J82" s="14" t="str">
        <f aca="false">IF($B82="","",TRIM(SUBSTITUTE(SUBSTITUTE(SUBSTITUTE(SUBSTITUTE(SUBSTITUTE(SUBSTITUTE(UPPER(IFERROR(INDEX(tblPeriodos[Institución en el Período],MATCH($B82&amp;"-1",tblPeriodos[Clave (uso interno)],0)),"SIN PERIODO REGISTRADO")),"Á","A"),"É","E"),"Í","I"),"Ó","O"),"Ú","U"),"Ü","U")))</f>
        <v/>
      </c>
      <c r="K82" s="16" t="str">
        <f aca="false">IF($B82="","",IFERROR(_xlfn.MINIFS(tblPeriodos[Fecha Inicio del Período],tblPeriodos[Cédula],$B82),""))</f>
        <v/>
      </c>
      <c r="L82" s="16" t="str">
        <f aca="false">IF($B82="","",IFERROR(_xlfn.MAXIFS(tblPeriodos[Fecha Fin del Período],tblPeriodos[Cédula],$B82),""))</f>
        <v/>
      </c>
      <c r="M82" s="13" t="str">
        <f aca="false">IF($B82="","",COUNTIFS(tblPeriodos[Cédula],$B82))</f>
        <v/>
      </c>
      <c r="N82" s="17" t="str">
        <f aca="false">IF($B82="","",SUMIFS(tblPeriodos[Días del Período],tblPeriodos[Cédula],$B82))</f>
        <v/>
      </c>
      <c r="O82" s="18" t="str">
        <f aca="false">IF($B82="","",ROUND(N82/365.25,1))</f>
        <v/>
      </c>
      <c r="P82" s="16" t="str">
        <f aca="false">IF($B82="","",EDATE(K82,72))</f>
        <v/>
      </c>
      <c r="Q82" s="17" t="str">
        <f aca="true">IF($B82="","",P82-TODAY())</f>
        <v/>
      </c>
      <c r="R82" s="13" t="str">
        <f aca="false">IF($B82="","",IF(Q82&lt;=0,"🔴 SUPERO LIMITE LEGAL",IF(Q82&lt;=180,"🟠 PROXIMO AL LIMITE (6 ANOS)",IF(Q82&lt;=365,"🟡 VIGILAR (&lt; 1 ANO)","🟢 DENTRO DEL LIMITE"))))</f>
        <v/>
      </c>
      <c r="S82" s="17" t="str">
        <f aca="true">IF($B82="","",L82-TODAY())</f>
        <v/>
      </c>
      <c r="T82" s="13" t="str">
        <f aca="false">IF($B82="","",IF(S82&lt;0,"🔴 COMISION VENCIDA",IF(S82&lt;=90,"🟠 VENCE PRONTO (&lt;=90 DIAS)",IF(S82&lt;=180,"🟡 PROXIMA A VENCER (&lt;=180 DIAS)","🟢 VIGENTE"))))</f>
        <v/>
      </c>
      <c r="U82" s="13" t="str">
        <f aca="false">IF($B82="","",IF(ABS(N82-(L82-K82+1))&lt;=3,"CONTINUA","CON INTERRUPCIONES - REVISAR"))</f>
        <v/>
      </c>
      <c r="V82" s="14" t="str">
        <f aca="false">IF($B82="","",TRIM(SUBSTITUTE(SUBSTITUTE(SUBSTITUTE(SUBSTITUTE(SUBSTITUTE(SUBSTITUTE(UPPER(IFERROR(INDEX('Registro de Comisión'!$L$5:$L$304,MATCH($B82&amp;"-ACT",'Registro de Comisión'!$N$5:$N$304,0)),"SIN REGISTRAR")),"Á","A"),"É","E"),"Í","I"),"Ó","O"),"Ú","U"),"Ü","U")))</f>
        <v/>
      </c>
      <c r="W82" s="14"/>
    </row>
    <row r="83" customFormat="false" ht="15" hidden="false" customHeight="false" outlineLevel="0" collapsed="false">
      <c r="A83" s="19" t="str">
        <f aca="false">IF($B83="","",ROW()-6)</f>
        <v/>
      </c>
      <c r="B83" s="19" t="str">
        <f aca="false">IFERROR(INDEX('Registro de Comisión'!$A$5:$A$304,MATCH(ROW()-21,'Registro de Comisión'!$P$5:$P$304,0)),"")</f>
        <v/>
      </c>
      <c r="C83" s="20" t="str">
        <f aca="false">IF($B83="","",TRIM(SUBSTITUTE(SUBSTITUTE(SUBSTITUTE(SUBSTITUTE(SUBSTITUTE(SUBSTITUTE(UPPER(IFERROR(INDEX('Registro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3" s="19" t="str">
        <f aca="false">IF($B83="","",TRIM(SUBSTITUTE(SUBSTITUTE(SUBSTITUTE(SUBSTITUTE(SUBSTITUTE(SUBSTITUTE(UPPER(IFERROR(INDEX('Registro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3" s="20" t="str">
        <f aca="false">IF($B83="","",TRIM(SUBSTITUTE(SUBSTITUTE(SUBSTITUTE(SUBSTITUTE(SUBSTITUTE(SUBSTITUTE(UPPER(IFERROR(INDEX('Registro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3" s="20" t="str">
        <f aca="false">IF($B83="","",TRIM(SUBSTITUTE(SUBSTITUTE(SUBSTITUTE(SUBSTITUTE(SUBSTITUTE(SUBSTITUTE(UPPER(IFERROR(INDEX('Registro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3" s="20" t="str">
        <f aca="false">IF($B83="","",TRIM(SUBSTITUTE(SUBSTITUTE(SUBSTITUTE(SUBSTITUTE(SUBSTITUTE(SUBSTITUTE(UPPER(IFERROR(INDEX('Registro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3" s="19" t="str">
        <f aca="false">IF($B83="","",TRIM(SUBSTITUTE(SUBSTITUTE(SUBSTITUTE(SUBSTITUTE(SUBSTITUTE(SUBSTITUTE(UPPER(IFERROR(INDEX('Registro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3" s="26" t="str">
        <f aca="false">IF($B83="","",IFERROR(INDEX('Registro de Comisión'!$H$5:$H$304,MATCH(ROW()-21,'Registro de Comisión'!$P$5:$P$304,0)),""))</f>
        <v/>
      </c>
      <c r="J83" s="20" t="str">
        <f aca="false">IF($B83="","",TRIM(SUBSTITUTE(SUBSTITUTE(SUBSTITUTE(SUBSTITUTE(SUBSTITUTE(SUBSTITUTE(UPPER(IFERROR(INDEX(tblPeriodos[Institución en el Período],MATCH($B83&amp;"-1",tblPeriodos[Clave (uso interno)],0)),"SIN PERIODO REGISTRADO")),"Á","A"),"É","E"),"Í","I"),"Ó","O"),"Ú","U"),"Ü","U")))</f>
        <v/>
      </c>
      <c r="K83" s="22" t="str">
        <f aca="false">IF($B83="","",IFERROR(_xlfn.MINIFS(tblPeriodos[Fecha Inicio del Período],tblPeriodos[Cédula],$B83),""))</f>
        <v/>
      </c>
      <c r="L83" s="22" t="str">
        <f aca="false">IF($B83="","",IFERROR(_xlfn.MAXIFS(tblPeriodos[Fecha Fin del Período],tblPeriodos[Cédula],$B83),""))</f>
        <v/>
      </c>
      <c r="M83" s="19" t="str">
        <f aca="false">IF($B83="","",COUNTIFS(tblPeriodos[Cédula],$B83))</f>
        <v/>
      </c>
      <c r="N83" s="23" t="str">
        <f aca="false">IF($B83="","",SUMIFS(tblPeriodos[Días del Período],tblPeriodos[Cédula],$B83))</f>
        <v/>
      </c>
      <c r="O83" s="24" t="str">
        <f aca="false">IF($B83="","",ROUND(N83/365.25,1))</f>
        <v/>
      </c>
      <c r="P83" s="22" t="str">
        <f aca="false">IF($B83="","",EDATE(K83,72))</f>
        <v/>
      </c>
      <c r="Q83" s="23" t="str">
        <f aca="true">IF($B83="","",P83-TODAY())</f>
        <v/>
      </c>
      <c r="R83" s="19" t="str">
        <f aca="false">IF($B83="","",IF(Q83&lt;=0,"🔴 SUPERO LIMITE LEGAL",IF(Q83&lt;=180,"🟠 PROXIMO AL LIMITE (6 ANOS)",IF(Q83&lt;=365,"🟡 VIGILAR (&lt; 1 ANO)","🟢 DENTRO DEL LIMITE"))))</f>
        <v/>
      </c>
      <c r="S83" s="23" t="str">
        <f aca="true">IF($B83="","",L83-TODAY())</f>
        <v/>
      </c>
      <c r="T83" s="19" t="str">
        <f aca="false">IF($B83="","",IF(S83&lt;0,"🔴 COMISION VENCIDA",IF(S83&lt;=90,"🟠 VENCE PRONTO (&lt;=90 DIAS)",IF(S83&lt;=180,"🟡 PROXIMA A VENCER (&lt;=180 DIAS)","🟢 VIGENTE"))))</f>
        <v/>
      </c>
      <c r="U83" s="19" t="str">
        <f aca="false">IF($B83="","",IF(ABS(N83-(L83-K83+1))&lt;=3,"CONTINUA","CON INTERRUPCIONES - REVISAR"))</f>
        <v/>
      </c>
      <c r="V83" s="20" t="str">
        <f aca="false">IF($B83="","",TRIM(SUBSTITUTE(SUBSTITUTE(SUBSTITUTE(SUBSTITUTE(SUBSTITUTE(SUBSTITUTE(UPPER(IFERROR(INDEX('Registro de Comisión'!$L$5:$L$304,MATCH($B83&amp;"-ACT",'Registro de Comisión'!$N$5:$N$304,0)),"SIN REGISTRAR")),"Á","A"),"É","E"),"Í","I"),"Ó","O"),"Ú","U"),"Ü","U")))</f>
        <v/>
      </c>
      <c r="W83" s="20"/>
    </row>
    <row r="84" customFormat="false" ht="15" hidden="false" customHeight="false" outlineLevel="0" collapsed="false">
      <c r="A84" s="13" t="str">
        <f aca="false">IF($B84="","",ROW()-6)</f>
        <v/>
      </c>
      <c r="B84" s="13" t="str">
        <f aca="false">IFERROR(INDEX('Registro de Comisión'!$A$5:$A$304,MATCH(ROW()-21,'Registro de Comisión'!$P$5:$P$304,0)),"")</f>
        <v/>
      </c>
      <c r="C84" s="14" t="str">
        <f aca="false">IF($B84="","",TRIM(SUBSTITUTE(SUBSTITUTE(SUBSTITUTE(SUBSTITUTE(SUBSTITUTE(SUBSTITUTE(UPPER(IFERROR(INDEX('Registro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4" s="13" t="str">
        <f aca="false">IF($B84="","",TRIM(SUBSTITUTE(SUBSTITUTE(SUBSTITUTE(SUBSTITUTE(SUBSTITUTE(SUBSTITUTE(UPPER(IFERROR(INDEX('Registro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4" s="14" t="str">
        <f aca="false">IF($B84="","",TRIM(SUBSTITUTE(SUBSTITUTE(SUBSTITUTE(SUBSTITUTE(SUBSTITUTE(SUBSTITUTE(UPPER(IFERROR(INDEX('Registro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4" s="14" t="str">
        <f aca="false">IF($B84="","",TRIM(SUBSTITUTE(SUBSTITUTE(SUBSTITUTE(SUBSTITUTE(SUBSTITUTE(SUBSTITUTE(UPPER(IFERROR(INDEX('Registro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4" s="14" t="str">
        <f aca="false">IF($B84="","",TRIM(SUBSTITUTE(SUBSTITUTE(SUBSTITUTE(SUBSTITUTE(SUBSTITUTE(SUBSTITUTE(UPPER(IFERROR(INDEX('Registro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4" s="13" t="str">
        <f aca="false">IF($B84="","",TRIM(SUBSTITUTE(SUBSTITUTE(SUBSTITUTE(SUBSTITUTE(SUBSTITUTE(SUBSTITUTE(UPPER(IFERROR(INDEX('Registro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4" s="25" t="str">
        <f aca="false">IF($B84="","",IFERROR(INDEX('Registro de Comisión'!$H$5:$H$304,MATCH(ROW()-21,'Registro de Comisión'!$P$5:$P$304,0)),""))</f>
        <v/>
      </c>
      <c r="J84" s="14" t="str">
        <f aca="false">IF($B84="","",TRIM(SUBSTITUTE(SUBSTITUTE(SUBSTITUTE(SUBSTITUTE(SUBSTITUTE(SUBSTITUTE(UPPER(IFERROR(INDEX(tblPeriodos[Institución en el Período],MATCH($B84&amp;"-1",tblPeriodos[Clave (uso interno)],0)),"SIN PERIODO REGISTRADO")),"Á","A"),"É","E"),"Í","I"),"Ó","O"),"Ú","U"),"Ü","U")))</f>
        <v/>
      </c>
      <c r="K84" s="16" t="str">
        <f aca="false">IF($B84="","",IFERROR(_xlfn.MINIFS(tblPeriodos[Fecha Inicio del Período],tblPeriodos[Cédula],$B84),""))</f>
        <v/>
      </c>
      <c r="L84" s="16" t="str">
        <f aca="false">IF($B84="","",IFERROR(_xlfn.MAXIFS(tblPeriodos[Fecha Fin del Período],tblPeriodos[Cédula],$B84),""))</f>
        <v/>
      </c>
      <c r="M84" s="13" t="str">
        <f aca="false">IF($B84="","",COUNTIFS(tblPeriodos[Cédula],$B84))</f>
        <v/>
      </c>
      <c r="N84" s="17" t="str">
        <f aca="false">IF($B84="","",SUMIFS(tblPeriodos[Días del Período],tblPeriodos[Cédula],$B84))</f>
        <v/>
      </c>
      <c r="O84" s="18" t="str">
        <f aca="false">IF($B84="","",ROUND(N84/365.25,1))</f>
        <v/>
      </c>
      <c r="P84" s="16" t="str">
        <f aca="false">IF($B84="","",EDATE(K84,72))</f>
        <v/>
      </c>
      <c r="Q84" s="17" t="str">
        <f aca="true">IF($B84="","",P84-TODAY())</f>
        <v/>
      </c>
      <c r="R84" s="13" t="str">
        <f aca="false">IF($B84="","",IF(Q84&lt;=0,"🔴 SUPERO LIMITE LEGAL",IF(Q84&lt;=180,"🟠 PROXIMO AL LIMITE (6 ANOS)",IF(Q84&lt;=365,"🟡 VIGILAR (&lt; 1 ANO)","🟢 DENTRO DEL LIMITE"))))</f>
        <v/>
      </c>
      <c r="S84" s="17" t="str">
        <f aca="true">IF($B84="","",L84-TODAY())</f>
        <v/>
      </c>
      <c r="T84" s="13" t="str">
        <f aca="false">IF($B84="","",IF(S84&lt;0,"🔴 COMISION VENCIDA",IF(S84&lt;=90,"🟠 VENCE PRONTO (&lt;=90 DIAS)",IF(S84&lt;=180,"🟡 PROXIMA A VENCER (&lt;=180 DIAS)","🟢 VIGENTE"))))</f>
        <v/>
      </c>
      <c r="U84" s="13" t="str">
        <f aca="false">IF($B84="","",IF(ABS(N84-(L84-K84+1))&lt;=3,"CONTINUA","CON INTERRUPCIONES - REVISAR"))</f>
        <v/>
      </c>
      <c r="V84" s="14" t="str">
        <f aca="false">IF($B84="","",TRIM(SUBSTITUTE(SUBSTITUTE(SUBSTITUTE(SUBSTITUTE(SUBSTITUTE(SUBSTITUTE(UPPER(IFERROR(INDEX('Registro de Comisión'!$L$5:$L$304,MATCH($B84&amp;"-ACT",'Registro de Comisión'!$N$5:$N$304,0)),"SIN REGISTRAR")),"Á","A"),"É","E"),"Í","I"),"Ó","O"),"Ú","U"),"Ü","U")))</f>
        <v/>
      </c>
      <c r="W84" s="14"/>
    </row>
    <row r="85" customFormat="false" ht="15" hidden="false" customHeight="false" outlineLevel="0" collapsed="false">
      <c r="A85" s="19" t="str">
        <f aca="false">IF($B85="","",ROW()-6)</f>
        <v/>
      </c>
      <c r="B85" s="19" t="str">
        <f aca="false">IFERROR(INDEX('Registro de Comisión'!$A$5:$A$304,MATCH(ROW()-21,'Registro de Comisión'!$P$5:$P$304,0)),"")</f>
        <v/>
      </c>
      <c r="C85" s="20" t="str">
        <f aca="false">IF($B85="","",TRIM(SUBSTITUTE(SUBSTITUTE(SUBSTITUTE(SUBSTITUTE(SUBSTITUTE(SUBSTITUTE(UPPER(IFERROR(INDEX('Registro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5" s="19" t="str">
        <f aca="false">IF($B85="","",TRIM(SUBSTITUTE(SUBSTITUTE(SUBSTITUTE(SUBSTITUTE(SUBSTITUTE(SUBSTITUTE(UPPER(IFERROR(INDEX('Registro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5" s="20" t="str">
        <f aca="false">IF($B85="","",TRIM(SUBSTITUTE(SUBSTITUTE(SUBSTITUTE(SUBSTITUTE(SUBSTITUTE(SUBSTITUTE(UPPER(IFERROR(INDEX('Registro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5" s="20" t="str">
        <f aca="false">IF($B85="","",TRIM(SUBSTITUTE(SUBSTITUTE(SUBSTITUTE(SUBSTITUTE(SUBSTITUTE(SUBSTITUTE(UPPER(IFERROR(INDEX('Registro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5" s="20" t="str">
        <f aca="false">IF($B85="","",TRIM(SUBSTITUTE(SUBSTITUTE(SUBSTITUTE(SUBSTITUTE(SUBSTITUTE(SUBSTITUTE(UPPER(IFERROR(INDEX('Registro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5" s="19" t="str">
        <f aca="false">IF($B85="","",TRIM(SUBSTITUTE(SUBSTITUTE(SUBSTITUTE(SUBSTITUTE(SUBSTITUTE(SUBSTITUTE(UPPER(IFERROR(INDEX('Registro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5" s="26" t="str">
        <f aca="false">IF($B85="","",IFERROR(INDEX('Registro de Comisión'!$H$5:$H$304,MATCH(ROW()-21,'Registro de Comisión'!$P$5:$P$304,0)),""))</f>
        <v/>
      </c>
      <c r="J85" s="20" t="str">
        <f aca="false">IF($B85="","",TRIM(SUBSTITUTE(SUBSTITUTE(SUBSTITUTE(SUBSTITUTE(SUBSTITUTE(SUBSTITUTE(UPPER(IFERROR(INDEX(tblPeriodos[Institución en el Período],MATCH($B85&amp;"-1",tblPeriodos[Clave (uso interno)],0)),"SIN PERIODO REGISTRADO")),"Á","A"),"É","E"),"Í","I"),"Ó","O"),"Ú","U"),"Ü","U")))</f>
        <v/>
      </c>
      <c r="K85" s="22" t="str">
        <f aca="false">IF($B85="","",IFERROR(_xlfn.MINIFS(tblPeriodos[Fecha Inicio del Período],tblPeriodos[Cédula],$B85),""))</f>
        <v/>
      </c>
      <c r="L85" s="22" t="str">
        <f aca="false">IF($B85="","",IFERROR(_xlfn.MAXIFS(tblPeriodos[Fecha Fin del Período],tblPeriodos[Cédula],$B85),""))</f>
        <v/>
      </c>
      <c r="M85" s="19" t="str">
        <f aca="false">IF($B85="","",COUNTIFS(tblPeriodos[Cédula],$B85))</f>
        <v/>
      </c>
      <c r="N85" s="23" t="str">
        <f aca="false">IF($B85="","",SUMIFS(tblPeriodos[Días del Período],tblPeriodos[Cédula],$B85))</f>
        <v/>
      </c>
      <c r="O85" s="24" t="str">
        <f aca="false">IF($B85="","",ROUND(N85/365.25,1))</f>
        <v/>
      </c>
      <c r="P85" s="22" t="str">
        <f aca="false">IF($B85="","",EDATE(K85,72))</f>
        <v/>
      </c>
      <c r="Q85" s="23" t="str">
        <f aca="true">IF($B85="","",P85-TODAY())</f>
        <v/>
      </c>
      <c r="R85" s="19" t="str">
        <f aca="false">IF($B85="","",IF(Q85&lt;=0,"🔴 SUPERO LIMITE LEGAL",IF(Q85&lt;=180,"🟠 PROXIMO AL LIMITE (6 ANOS)",IF(Q85&lt;=365,"🟡 VIGILAR (&lt; 1 ANO)","🟢 DENTRO DEL LIMITE"))))</f>
        <v/>
      </c>
      <c r="S85" s="23" t="str">
        <f aca="true">IF($B85="","",L85-TODAY())</f>
        <v/>
      </c>
      <c r="T85" s="19" t="str">
        <f aca="false">IF($B85="","",IF(S85&lt;0,"🔴 COMISION VENCIDA",IF(S85&lt;=90,"🟠 VENCE PRONTO (&lt;=90 DIAS)",IF(S85&lt;=180,"🟡 PROXIMA A VENCER (&lt;=180 DIAS)","🟢 VIGENTE"))))</f>
        <v/>
      </c>
      <c r="U85" s="19" t="str">
        <f aca="false">IF($B85="","",IF(ABS(N85-(L85-K85+1))&lt;=3,"CONTINUA","CON INTERRUPCIONES - REVISAR"))</f>
        <v/>
      </c>
      <c r="V85" s="20" t="str">
        <f aca="false">IF($B85="","",TRIM(SUBSTITUTE(SUBSTITUTE(SUBSTITUTE(SUBSTITUTE(SUBSTITUTE(SUBSTITUTE(UPPER(IFERROR(INDEX('Registro de Comisión'!$L$5:$L$304,MATCH($B85&amp;"-ACT",'Registro de Comisión'!$N$5:$N$304,0)),"SIN REGISTRAR")),"Á","A"),"É","E"),"Í","I"),"Ó","O"),"Ú","U"),"Ü","U")))</f>
        <v/>
      </c>
      <c r="W85" s="20"/>
    </row>
    <row r="86" customFormat="false" ht="15" hidden="false" customHeight="false" outlineLevel="0" collapsed="false">
      <c r="A86" s="13" t="str">
        <f aca="false">IF($B86="","",ROW()-6)</f>
        <v/>
      </c>
      <c r="B86" s="13" t="str">
        <f aca="false">IFERROR(INDEX('Registro de Comisión'!$A$5:$A$304,MATCH(ROW()-21,'Registro de Comisión'!$P$5:$P$304,0)),"")</f>
        <v/>
      </c>
      <c r="C86" s="14" t="str">
        <f aca="false">IF($B86="","",TRIM(SUBSTITUTE(SUBSTITUTE(SUBSTITUTE(SUBSTITUTE(SUBSTITUTE(SUBSTITUTE(UPPER(IFERROR(INDEX('Registro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6" s="13" t="str">
        <f aca="false">IF($B86="","",TRIM(SUBSTITUTE(SUBSTITUTE(SUBSTITUTE(SUBSTITUTE(SUBSTITUTE(SUBSTITUTE(UPPER(IFERROR(INDEX('Registro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6" s="14" t="str">
        <f aca="false">IF($B86="","",TRIM(SUBSTITUTE(SUBSTITUTE(SUBSTITUTE(SUBSTITUTE(SUBSTITUTE(SUBSTITUTE(UPPER(IFERROR(INDEX('Registro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6" s="14" t="str">
        <f aca="false">IF($B86="","",TRIM(SUBSTITUTE(SUBSTITUTE(SUBSTITUTE(SUBSTITUTE(SUBSTITUTE(SUBSTITUTE(UPPER(IFERROR(INDEX('Registro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6" s="14" t="str">
        <f aca="false">IF($B86="","",TRIM(SUBSTITUTE(SUBSTITUTE(SUBSTITUTE(SUBSTITUTE(SUBSTITUTE(SUBSTITUTE(UPPER(IFERROR(INDEX('Registro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6" s="13" t="str">
        <f aca="false">IF($B86="","",TRIM(SUBSTITUTE(SUBSTITUTE(SUBSTITUTE(SUBSTITUTE(SUBSTITUTE(SUBSTITUTE(UPPER(IFERROR(INDEX('Registro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6" s="25" t="str">
        <f aca="false">IF($B86="","",IFERROR(INDEX('Registro de Comisión'!$H$5:$H$304,MATCH(ROW()-21,'Registro de Comisión'!$P$5:$P$304,0)),""))</f>
        <v/>
      </c>
      <c r="J86" s="14" t="str">
        <f aca="false">IF($B86="","",TRIM(SUBSTITUTE(SUBSTITUTE(SUBSTITUTE(SUBSTITUTE(SUBSTITUTE(SUBSTITUTE(UPPER(IFERROR(INDEX(tblPeriodos[Institución en el Período],MATCH($B86&amp;"-1",tblPeriodos[Clave (uso interno)],0)),"SIN PERIODO REGISTRADO")),"Á","A"),"É","E"),"Í","I"),"Ó","O"),"Ú","U"),"Ü","U")))</f>
        <v/>
      </c>
      <c r="K86" s="16" t="str">
        <f aca="false">IF($B86="","",IFERROR(_xlfn.MINIFS(tblPeriodos[Fecha Inicio del Período],tblPeriodos[Cédula],$B86),""))</f>
        <v/>
      </c>
      <c r="L86" s="16" t="str">
        <f aca="false">IF($B86="","",IFERROR(_xlfn.MAXIFS(tblPeriodos[Fecha Fin del Período],tblPeriodos[Cédula],$B86),""))</f>
        <v/>
      </c>
      <c r="M86" s="13" t="str">
        <f aca="false">IF($B86="","",COUNTIFS(tblPeriodos[Cédula],$B86))</f>
        <v/>
      </c>
      <c r="N86" s="17" t="str">
        <f aca="false">IF($B86="","",SUMIFS(tblPeriodos[Días del Período],tblPeriodos[Cédula],$B86))</f>
        <v/>
      </c>
      <c r="O86" s="18" t="str">
        <f aca="false">IF($B86="","",ROUND(N86/365.25,1))</f>
        <v/>
      </c>
      <c r="P86" s="16" t="str">
        <f aca="false">IF($B86="","",EDATE(K86,72))</f>
        <v/>
      </c>
      <c r="Q86" s="17" t="str">
        <f aca="true">IF($B86="","",P86-TODAY())</f>
        <v/>
      </c>
      <c r="R86" s="13" t="str">
        <f aca="false">IF($B86="","",IF(Q86&lt;=0,"🔴 SUPERO LIMITE LEGAL",IF(Q86&lt;=180,"🟠 PROXIMO AL LIMITE (6 ANOS)",IF(Q86&lt;=365,"🟡 VIGILAR (&lt; 1 ANO)","🟢 DENTRO DEL LIMITE"))))</f>
        <v/>
      </c>
      <c r="S86" s="17" t="str">
        <f aca="true">IF($B86="","",L86-TODAY())</f>
        <v/>
      </c>
      <c r="T86" s="13" t="str">
        <f aca="false">IF($B86="","",IF(S86&lt;0,"🔴 COMISION VENCIDA",IF(S86&lt;=90,"🟠 VENCE PRONTO (&lt;=90 DIAS)",IF(S86&lt;=180,"🟡 PROXIMA A VENCER (&lt;=180 DIAS)","🟢 VIGENTE"))))</f>
        <v/>
      </c>
      <c r="U86" s="13" t="str">
        <f aca="false">IF($B86="","",IF(ABS(N86-(L86-K86+1))&lt;=3,"CONTINUA","CON INTERRUPCIONES - REVISAR"))</f>
        <v/>
      </c>
      <c r="V86" s="14" t="str">
        <f aca="false">IF($B86="","",TRIM(SUBSTITUTE(SUBSTITUTE(SUBSTITUTE(SUBSTITUTE(SUBSTITUTE(SUBSTITUTE(UPPER(IFERROR(INDEX('Registro de Comisión'!$L$5:$L$304,MATCH($B86&amp;"-ACT",'Registro de Comisión'!$N$5:$N$304,0)),"SIN REGISTRAR")),"Á","A"),"É","E"),"Í","I"),"Ó","O"),"Ú","U"),"Ü","U")))</f>
        <v/>
      </c>
      <c r="W86" s="14"/>
    </row>
    <row r="87" customFormat="false" ht="15" hidden="false" customHeight="false" outlineLevel="0" collapsed="false">
      <c r="A87" s="19" t="str">
        <f aca="false">IF($B87="","",ROW()-6)</f>
        <v/>
      </c>
      <c r="B87" s="19" t="str">
        <f aca="false">IFERROR(INDEX('Registro de Comisión'!$A$5:$A$304,MATCH(ROW()-21,'Registro de Comisión'!$P$5:$P$304,0)),"")</f>
        <v/>
      </c>
      <c r="C87" s="20" t="str">
        <f aca="false">IF($B87="","",TRIM(SUBSTITUTE(SUBSTITUTE(SUBSTITUTE(SUBSTITUTE(SUBSTITUTE(SUBSTITUTE(UPPER(IFERROR(INDEX('Registro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7" s="19" t="str">
        <f aca="false">IF($B87="","",TRIM(SUBSTITUTE(SUBSTITUTE(SUBSTITUTE(SUBSTITUTE(SUBSTITUTE(SUBSTITUTE(UPPER(IFERROR(INDEX('Registro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7" s="20" t="str">
        <f aca="false">IF($B87="","",TRIM(SUBSTITUTE(SUBSTITUTE(SUBSTITUTE(SUBSTITUTE(SUBSTITUTE(SUBSTITUTE(UPPER(IFERROR(INDEX('Registro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7" s="20" t="str">
        <f aca="false">IF($B87="","",TRIM(SUBSTITUTE(SUBSTITUTE(SUBSTITUTE(SUBSTITUTE(SUBSTITUTE(SUBSTITUTE(UPPER(IFERROR(INDEX('Registro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7" s="20" t="str">
        <f aca="false">IF($B87="","",TRIM(SUBSTITUTE(SUBSTITUTE(SUBSTITUTE(SUBSTITUTE(SUBSTITUTE(SUBSTITUTE(UPPER(IFERROR(INDEX('Registro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7" s="19" t="str">
        <f aca="false">IF($B87="","",TRIM(SUBSTITUTE(SUBSTITUTE(SUBSTITUTE(SUBSTITUTE(SUBSTITUTE(SUBSTITUTE(UPPER(IFERROR(INDEX('Registro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7" s="26" t="str">
        <f aca="false">IF($B87="","",IFERROR(INDEX('Registro de Comisión'!$H$5:$H$304,MATCH(ROW()-21,'Registro de Comisión'!$P$5:$P$304,0)),""))</f>
        <v/>
      </c>
      <c r="J87" s="20" t="str">
        <f aca="false">IF($B87="","",TRIM(SUBSTITUTE(SUBSTITUTE(SUBSTITUTE(SUBSTITUTE(SUBSTITUTE(SUBSTITUTE(UPPER(IFERROR(INDEX(tblPeriodos[Institución en el Período],MATCH($B87&amp;"-1",tblPeriodos[Clave (uso interno)],0)),"SIN PERIODO REGISTRADO")),"Á","A"),"É","E"),"Í","I"),"Ó","O"),"Ú","U"),"Ü","U")))</f>
        <v/>
      </c>
      <c r="K87" s="22" t="str">
        <f aca="false">IF($B87="","",IFERROR(_xlfn.MINIFS(tblPeriodos[Fecha Inicio del Período],tblPeriodos[Cédula],$B87),""))</f>
        <v/>
      </c>
      <c r="L87" s="22" t="str">
        <f aca="false">IF($B87="","",IFERROR(_xlfn.MAXIFS(tblPeriodos[Fecha Fin del Período],tblPeriodos[Cédula],$B87),""))</f>
        <v/>
      </c>
      <c r="M87" s="19" t="str">
        <f aca="false">IF($B87="","",COUNTIFS(tblPeriodos[Cédula],$B87))</f>
        <v/>
      </c>
      <c r="N87" s="23" t="str">
        <f aca="false">IF($B87="","",SUMIFS(tblPeriodos[Días del Período],tblPeriodos[Cédula],$B87))</f>
        <v/>
      </c>
      <c r="O87" s="24" t="str">
        <f aca="false">IF($B87="","",ROUND(N87/365.25,1))</f>
        <v/>
      </c>
      <c r="P87" s="22" t="str">
        <f aca="false">IF($B87="","",EDATE(K87,72))</f>
        <v/>
      </c>
      <c r="Q87" s="23" t="str">
        <f aca="true">IF($B87="","",P87-TODAY())</f>
        <v/>
      </c>
      <c r="R87" s="19" t="str">
        <f aca="false">IF($B87="","",IF(Q87&lt;=0,"🔴 SUPERO LIMITE LEGAL",IF(Q87&lt;=180,"🟠 PROXIMO AL LIMITE (6 ANOS)",IF(Q87&lt;=365,"🟡 VIGILAR (&lt; 1 ANO)","🟢 DENTRO DEL LIMITE"))))</f>
        <v/>
      </c>
      <c r="S87" s="23" t="str">
        <f aca="true">IF($B87="","",L87-TODAY())</f>
        <v/>
      </c>
      <c r="T87" s="19" t="str">
        <f aca="false">IF($B87="","",IF(S87&lt;0,"🔴 COMISION VENCIDA",IF(S87&lt;=90,"🟠 VENCE PRONTO (&lt;=90 DIAS)",IF(S87&lt;=180,"🟡 PROXIMA A VENCER (&lt;=180 DIAS)","🟢 VIGENTE"))))</f>
        <v/>
      </c>
      <c r="U87" s="19" t="str">
        <f aca="false">IF($B87="","",IF(ABS(N87-(L87-K87+1))&lt;=3,"CONTINUA","CON INTERRUPCIONES - REVISAR"))</f>
        <v/>
      </c>
      <c r="V87" s="20" t="str">
        <f aca="false">IF($B87="","",TRIM(SUBSTITUTE(SUBSTITUTE(SUBSTITUTE(SUBSTITUTE(SUBSTITUTE(SUBSTITUTE(UPPER(IFERROR(INDEX('Registro de Comisión'!$L$5:$L$304,MATCH($B87&amp;"-ACT",'Registro de Comisión'!$N$5:$N$304,0)),"SIN REGISTRAR")),"Á","A"),"É","E"),"Í","I"),"Ó","O"),"Ú","U"),"Ü","U")))</f>
        <v/>
      </c>
      <c r="W87" s="20"/>
    </row>
    <row r="88" customFormat="false" ht="15" hidden="false" customHeight="false" outlineLevel="0" collapsed="false">
      <c r="A88" s="13" t="str">
        <f aca="false">IF($B88="","",ROW()-6)</f>
        <v/>
      </c>
      <c r="B88" s="13" t="str">
        <f aca="false">IFERROR(INDEX('Registro de Comisión'!$A$5:$A$304,MATCH(ROW()-21,'Registro de Comisión'!$P$5:$P$304,0)),"")</f>
        <v/>
      </c>
      <c r="C88" s="14" t="str">
        <f aca="false">IF($B88="","",TRIM(SUBSTITUTE(SUBSTITUTE(SUBSTITUTE(SUBSTITUTE(SUBSTITUTE(SUBSTITUTE(UPPER(IFERROR(INDEX('Registro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8" s="13" t="str">
        <f aca="false">IF($B88="","",TRIM(SUBSTITUTE(SUBSTITUTE(SUBSTITUTE(SUBSTITUTE(SUBSTITUTE(SUBSTITUTE(UPPER(IFERROR(INDEX('Registro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8" s="14" t="str">
        <f aca="false">IF($B88="","",TRIM(SUBSTITUTE(SUBSTITUTE(SUBSTITUTE(SUBSTITUTE(SUBSTITUTE(SUBSTITUTE(UPPER(IFERROR(INDEX('Registro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8" s="14" t="str">
        <f aca="false">IF($B88="","",TRIM(SUBSTITUTE(SUBSTITUTE(SUBSTITUTE(SUBSTITUTE(SUBSTITUTE(SUBSTITUTE(UPPER(IFERROR(INDEX('Registro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8" s="14" t="str">
        <f aca="false">IF($B88="","",TRIM(SUBSTITUTE(SUBSTITUTE(SUBSTITUTE(SUBSTITUTE(SUBSTITUTE(SUBSTITUTE(UPPER(IFERROR(INDEX('Registro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8" s="13" t="str">
        <f aca="false">IF($B88="","",TRIM(SUBSTITUTE(SUBSTITUTE(SUBSTITUTE(SUBSTITUTE(SUBSTITUTE(SUBSTITUTE(UPPER(IFERROR(INDEX('Registro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8" s="25" t="str">
        <f aca="false">IF($B88="","",IFERROR(INDEX('Registro de Comisión'!$H$5:$H$304,MATCH(ROW()-21,'Registro de Comisión'!$P$5:$P$304,0)),""))</f>
        <v/>
      </c>
      <c r="J88" s="14" t="str">
        <f aca="false">IF($B88="","",TRIM(SUBSTITUTE(SUBSTITUTE(SUBSTITUTE(SUBSTITUTE(SUBSTITUTE(SUBSTITUTE(UPPER(IFERROR(INDEX(tblPeriodos[Institución en el Período],MATCH($B88&amp;"-1",tblPeriodos[Clave (uso interno)],0)),"SIN PERIODO REGISTRADO")),"Á","A"),"É","E"),"Í","I"),"Ó","O"),"Ú","U"),"Ü","U")))</f>
        <v/>
      </c>
      <c r="K88" s="16" t="str">
        <f aca="false">IF($B88="","",IFERROR(_xlfn.MINIFS(tblPeriodos[Fecha Inicio del Período],tblPeriodos[Cédula],$B88),""))</f>
        <v/>
      </c>
      <c r="L88" s="16" t="str">
        <f aca="false">IF($B88="","",IFERROR(_xlfn.MAXIFS(tblPeriodos[Fecha Fin del Período],tblPeriodos[Cédula],$B88),""))</f>
        <v/>
      </c>
      <c r="M88" s="13" t="str">
        <f aca="false">IF($B88="","",COUNTIFS(tblPeriodos[Cédula],$B88))</f>
        <v/>
      </c>
      <c r="N88" s="17" t="str">
        <f aca="false">IF($B88="","",SUMIFS(tblPeriodos[Días del Período],tblPeriodos[Cédula],$B88))</f>
        <v/>
      </c>
      <c r="O88" s="18" t="str">
        <f aca="false">IF($B88="","",ROUND(N88/365.25,1))</f>
        <v/>
      </c>
      <c r="P88" s="16" t="str">
        <f aca="false">IF($B88="","",EDATE(K88,72))</f>
        <v/>
      </c>
      <c r="Q88" s="17" t="str">
        <f aca="true">IF($B88="","",P88-TODAY())</f>
        <v/>
      </c>
      <c r="R88" s="13" t="str">
        <f aca="false">IF($B88="","",IF(Q88&lt;=0,"🔴 SUPERO LIMITE LEGAL",IF(Q88&lt;=180,"🟠 PROXIMO AL LIMITE (6 ANOS)",IF(Q88&lt;=365,"🟡 VIGILAR (&lt; 1 ANO)","🟢 DENTRO DEL LIMITE"))))</f>
        <v/>
      </c>
      <c r="S88" s="17" t="str">
        <f aca="true">IF($B88="","",L88-TODAY())</f>
        <v/>
      </c>
      <c r="T88" s="13" t="str">
        <f aca="false">IF($B88="","",IF(S88&lt;0,"🔴 COMISION VENCIDA",IF(S88&lt;=90,"🟠 VENCE PRONTO (&lt;=90 DIAS)",IF(S88&lt;=180,"🟡 PROXIMA A VENCER (&lt;=180 DIAS)","🟢 VIGENTE"))))</f>
        <v/>
      </c>
      <c r="U88" s="13" t="str">
        <f aca="false">IF($B88="","",IF(ABS(N88-(L88-K88+1))&lt;=3,"CONTINUA","CON INTERRUPCIONES - REVISAR"))</f>
        <v/>
      </c>
      <c r="V88" s="14" t="str">
        <f aca="false">IF($B88="","",TRIM(SUBSTITUTE(SUBSTITUTE(SUBSTITUTE(SUBSTITUTE(SUBSTITUTE(SUBSTITUTE(UPPER(IFERROR(INDEX('Registro de Comisión'!$L$5:$L$304,MATCH($B88&amp;"-ACT",'Registro de Comisión'!$N$5:$N$304,0)),"SIN REGISTRAR")),"Á","A"),"É","E"),"Í","I"),"Ó","O"),"Ú","U"),"Ü","U")))</f>
        <v/>
      </c>
      <c r="W88" s="14"/>
    </row>
    <row r="89" customFormat="false" ht="15" hidden="false" customHeight="false" outlineLevel="0" collapsed="false">
      <c r="A89" s="19" t="str">
        <f aca="false">IF($B89="","",ROW()-6)</f>
        <v/>
      </c>
      <c r="B89" s="19" t="str">
        <f aca="false">IFERROR(INDEX('Registro de Comisión'!$A$5:$A$304,MATCH(ROW()-21,'Registro de Comisión'!$P$5:$P$304,0)),"")</f>
        <v/>
      </c>
      <c r="C89" s="20" t="str">
        <f aca="false">IF($B89="","",TRIM(SUBSTITUTE(SUBSTITUTE(SUBSTITUTE(SUBSTITUTE(SUBSTITUTE(SUBSTITUTE(UPPER(IFERROR(INDEX('Registro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89" s="19" t="str">
        <f aca="false">IF($B89="","",TRIM(SUBSTITUTE(SUBSTITUTE(SUBSTITUTE(SUBSTITUTE(SUBSTITUTE(SUBSTITUTE(UPPER(IFERROR(INDEX('Registro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89" s="20" t="str">
        <f aca="false">IF($B89="","",TRIM(SUBSTITUTE(SUBSTITUTE(SUBSTITUTE(SUBSTITUTE(SUBSTITUTE(SUBSTITUTE(UPPER(IFERROR(INDEX('Registro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89" s="20" t="str">
        <f aca="false">IF($B89="","",TRIM(SUBSTITUTE(SUBSTITUTE(SUBSTITUTE(SUBSTITUTE(SUBSTITUTE(SUBSTITUTE(UPPER(IFERROR(INDEX('Registro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89" s="20" t="str">
        <f aca="false">IF($B89="","",TRIM(SUBSTITUTE(SUBSTITUTE(SUBSTITUTE(SUBSTITUTE(SUBSTITUTE(SUBSTITUTE(UPPER(IFERROR(INDEX('Registro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89" s="19" t="str">
        <f aca="false">IF($B89="","",TRIM(SUBSTITUTE(SUBSTITUTE(SUBSTITUTE(SUBSTITUTE(SUBSTITUTE(SUBSTITUTE(UPPER(IFERROR(INDEX('Registro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89" s="26" t="str">
        <f aca="false">IF($B89="","",IFERROR(INDEX('Registro de Comisión'!$H$5:$H$304,MATCH(ROW()-21,'Registro de Comisión'!$P$5:$P$304,0)),""))</f>
        <v/>
      </c>
      <c r="J89" s="20" t="str">
        <f aca="false">IF($B89="","",TRIM(SUBSTITUTE(SUBSTITUTE(SUBSTITUTE(SUBSTITUTE(SUBSTITUTE(SUBSTITUTE(UPPER(IFERROR(INDEX(tblPeriodos[Institución en el Período],MATCH($B89&amp;"-1",tblPeriodos[Clave (uso interno)],0)),"SIN PERIODO REGISTRADO")),"Á","A"),"É","E"),"Í","I"),"Ó","O"),"Ú","U"),"Ü","U")))</f>
        <v/>
      </c>
      <c r="K89" s="22" t="str">
        <f aca="false">IF($B89="","",IFERROR(_xlfn.MINIFS(tblPeriodos[Fecha Inicio del Período],tblPeriodos[Cédula],$B89),""))</f>
        <v/>
      </c>
      <c r="L89" s="22" t="str">
        <f aca="false">IF($B89="","",IFERROR(_xlfn.MAXIFS(tblPeriodos[Fecha Fin del Período],tblPeriodos[Cédula],$B89),""))</f>
        <v/>
      </c>
      <c r="M89" s="19" t="str">
        <f aca="false">IF($B89="","",COUNTIFS(tblPeriodos[Cédula],$B89))</f>
        <v/>
      </c>
      <c r="N89" s="23" t="str">
        <f aca="false">IF($B89="","",SUMIFS(tblPeriodos[Días del Período],tblPeriodos[Cédula],$B89))</f>
        <v/>
      </c>
      <c r="O89" s="24" t="str">
        <f aca="false">IF($B89="","",ROUND(N89/365.25,1))</f>
        <v/>
      </c>
      <c r="P89" s="22" t="str">
        <f aca="false">IF($B89="","",EDATE(K89,72))</f>
        <v/>
      </c>
      <c r="Q89" s="23" t="str">
        <f aca="true">IF($B89="","",P89-TODAY())</f>
        <v/>
      </c>
      <c r="R89" s="19" t="str">
        <f aca="false">IF($B89="","",IF(Q89&lt;=0,"🔴 SUPERO LIMITE LEGAL",IF(Q89&lt;=180,"🟠 PROXIMO AL LIMITE (6 ANOS)",IF(Q89&lt;=365,"🟡 VIGILAR (&lt; 1 ANO)","🟢 DENTRO DEL LIMITE"))))</f>
        <v/>
      </c>
      <c r="S89" s="23" t="str">
        <f aca="true">IF($B89="","",L89-TODAY())</f>
        <v/>
      </c>
      <c r="T89" s="19" t="str">
        <f aca="false">IF($B89="","",IF(S89&lt;0,"🔴 COMISION VENCIDA",IF(S89&lt;=90,"🟠 VENCE PRONTO (&lt;=90 DIAS)",IF(S89&lt;=180,"🟡 PROXIMA A VENCER (&lt;=180 DIAS)","🟢 VIGENTE"))))</f>
        <v/>
      </c>
      <c r="U89" s="19" t="str">
        <f aca="false">IF($B89="","",IF(ABS(N89-(L89-K89+1))&lt;=3,"CONTINUA","CON INTERRUPCIONES - REVISAR"))</f>
        <v/>
      </c>
      <c r="V89" s="20" t="str">
        <f aca="false">IF($B89="","",TRIM(SUBSTITUTE(SUBSTITUTE(SUBSTITUTE(SUBSTITUTE(SUBSTITUTE(SUBSTITUTE(UPPER(IFERROR(INDEX('Registro de Comisión'!$L$5:$L$304,MATCH($B89&amp;"-ACT",'Registro de Comisión'!$N$5:$N$304,0)),"SIN REGISTRAR")),"Á","A"),"É","E"),"Í","I"),"Ó","O"),"Ú","U"),"Ü","U")))</f>
        <v/>
      </c>
      <c r="W89" s="20"/>
    </row>
    <row r="90" customFormat="false" ht="15" hidden="false" customHeight="false" outlineLevel="0" collapsed="false">
      <c r="A90" s="13" t="str">
        <f aca="false">IF($B90="","",ROW()-6)</f>
        <v/>
      </c>
      <c r="B90" s="13" t="str">
        <f aca="false">IFERROR(INDEX('Registro de Comisión'!$A$5:$A$304,MATCH(ROW()-21,'Registro de Comisión'!$P$5:$P$304,0)),"")</f>
        <v/>
      </c>
      <c r="C90" s="14" t="str">
        <f aca="false">IF($B90="","",TRIM(SUBSTITUTE(SUBSTITUTE(SUBSTITUTE(SUBSTITUTE(SUBSTITUTE(SUBSTITUTE(UPPER(IFERROR(INDEX('Registro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0" s="13" t="str">
        <f aca="false">IF($B90="","",TRIM(SUBSTITUTE(SUBSTITUTE(SUBSTITUTE(SUBSTITUTE(SUBSTITUTE(SUBSTITUTE(UPPER(IFERROR(INDEX('Registro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0" s="14" t="str">
        <f aca="false">IF($B90="","",TRIM(SUBSTITUTE(SUBSTITUTE(SUBSTITUTE(SUBSTITUTE(SUBSTITUTE(SUBSTITUTE(UPPER(IFERROR(INDEX('Registro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0" s="14" t="str">
        <f aca="false">IF($B90="","",TRIM(SUBSTITUTE(SUBSTITUTE(SUBSTITUTE(SUBSTITUTE(SUBSTITUTE(SUBSTITUTE(UPPER(IFERROR(INDEX('Registro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0" s="14" t="str">
        <f aca="false">IF($B90="","",TRIM(SUBSTITUTE(SUBSTITUTE(SUBSTITUTE(SUBSTITUTE(SUBSTITUTE(SUBSTITUTE(UPPER(IFERROR(INDEX('Registro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0" s="13" t="str">
        <f aca="false">IF($B90="","",TRIM(SUBSTITUTE(SUBSTITUTE(SUBSTITUTE(SUBSTITUTE(SUBSTITUTE(SUBSTITUTE(UPPER(IFERROR(INDEX('Registro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0" s="25" t="str">
        <f aca="false">IF($B90="","",IFERROR(INDEX('Registro de Comisión'!$H$5:$H$304,MATCH(ROW()-21,'Registro de Comisión'!$P$5:$P$304,0)),""))</f>
        <v/>
      </c>
      <c r="J90" s="14" t="str">
        <f aca="false">IF($B90="","",TRIM(SUBSTITUTE(SUBSTITUTE(SUBSTITUTE(SUBSTITUTE(SUBSTITUTE(SUBSTITUTE(UPPER(IFERROR(INDEX(tblPeriodos[Institución en el Período],MATCH($B90&amp;"-1",tblPeriodos[Clave (uso interno)],0)),"SIN PERIODO REGISTRADO")),"Á","A"),"É","E"),"Í","I"),"Ó","O"),"Ú","U"),"Ü","U")))</f>
        <v/>
      </c>
      <c r="K90" s="16" t="str">
        <f aca="false">IF($B90="","",IFERROR(_xlfn.MINIFS(tblPeriodos[Fecha Inicio del Período],tblPeriodos[Cédula],$B90),""))</f>
        <v/>
      </c>
      <c r="L90" s="16" t="str">
        <f aca="false">IF($B90="","",IFERROR(_xlfn.MAXIFS(tblPeriodos[Fecha Fin del Período],tblPeriodos[Cédula],$B90),""))</f>
        <v/>
      </c>
      <c r="M90" s="13" t="str">
        <f aca="false">IF($B90="","",COUNTIFS(tblPeriodos[Cédula],$B90))</f>
        <v/>
      </c>
      <c r="N90" s="17" t="str">
        <f aca="false">IF($B90="","",SUMIFS(tblPeriodos[Días del Período],tblPeriodos[Cédula],$B90))</f>
        <v/>
      </c>
      <c r="O90" s="18" t="str">
        <f aca="false">IF($B90="","",ROUND(N90/365.25,1))</f>
        <v/>
      </c>
      <c r="P90" s="16" t="str">
        <f aca="false">IF($B90="","",EDATE(K90,72))</f>
        <v/>
      </c>
      <c r="Q90" s="17" t="str">
        <f aca="true">IF($B90="","",P90-TODAY())</f>
        <v/>
      </c>
      <c r="R90" s="13" t="str">
        <f aca="false">IF($B90="","",IF(Q90&lt;=0,"🔴 SUPERO LIMITE LEGAL",IF(Q90&lt;=180,"🟠 PROXIMO AL LIMITE (6 ANOS)",IF(Q90&lt;=365,"🟡 VIGILAR (&lt; 1 ANO)","🟢 DENTRO DEL LIMITE"))))</f>
        <v/>
      </c>
      <c r="S90" s="17" t="str">
        <f aca="true">IF($B90="","",L90-TODAY())</f>
        <v/>
      </c>
      <c r="T90" s="13" t="str">
        <f aca="false">IF($B90="","",IF(S90&lt;0,"🔴 COMISION VENCIDA",IF(S90&lt;=90,"🟠 VENCE PRONTO (&lt;=90 DIAS)",IF(S90&lt;=180,"🟡 PROXIMA A VENCER (&lt;=180 DIAS)","🟢 VIGENTE"))))</f>
        <v/>
      </c>
      <c r="U90" s="13" t="str">
        <f aca="false">IF($B90="","",IF(ABS(N90-(L90-K90+1))&lt;=3,"CONTINUA","CON INTERRUPCIONES - REVISAR"))</f>
        <v/>
      </c>
      <c r="V90" s="14" t="str">
        <f aca="false">IF($B90="","",TRIM(SUBSTITUTE(SUBSTITUTE(SUBSTITUTE(SUBSTITUTE(SUBSTITUTE(SUBSTITUTE(UPPER(IFERROR(INDEX('Registro de Comisión'!$L$5:$L$304,MATCH($B90&amp;"-ACT",'Registro de Comisión'!$N$5:$N$304,0)),"SIN REGISTRAR")),"Á","A"),"É","E"),"Í","I"),"Ó","O"),"Ú","U"),"Ü","U")))</f>
        <v/>
      </c>
      <c r="W90" s="14"/>
    </row>
    <row r="91" customFormat="false" ht="15" hidden="false" customHeight="false" outlineLevel="0" collapsed="false">
      <c r="A91" s="19" t="str">
        <f aca="false">IF($B91="","",ROW()-6)</f>
        <v/>
      </c>
      <c r="B91" s="19" t="str">
        <f aca="false">IFERROR(INDEX('Registro de Comisión'!$A$5:$A$304,MATCH(ROW()-21,'Registro de Comisión'!$P$5:$P$304,0)),"")</f>
        <v/>
      </c>
      <c r="C91" s="20" t="str">
        <f aca="false">IF($B91="","",TRIM(SUBSTITUTE(SUBSTITUTE(SUBSTITUTE(SUBSTITUTE(SUBSTITUTE(SUBSTITUTE(UPPER(IFERROR(INDEX('Registro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1" s="19" t="str">
        <f aca="false">IF($B91="","",TRIM(SUBSTITUTE(SUBSTITUTE(SUBSTITUTE(SUBSTITUTE(SUBSTITUTE(SUBSTITUTE(UPPER(IFERROR(INDEX('Registro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1" s="20" t="str">
        <f aca="false">IF($B91="","",TRIM(SUBSTITUTE(SUBSTITUTE(SUBSTITUTE(SUBSTITUTE(SUBSTITUTE(SUBSTITUTE(UPPER(IFERROR(INDEX('Registro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1" s="20" t="str">
        <f aca="false">IF($B91="","",TRIM(SUBSTITUTE(SUBSTITUTE(SUBSTITUTE(SUBSTITUTE(SUBSTITUTE(SUBSTITUTE(UPPER(IFERROR(INDEX('Registro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1" s="20" t="str">
        <f aca="false">IF($B91="","",TRIM(SUBSTITUTE(SUBSTITUTE(SUBSTITUTE(SUBSTITUTE(SUBSTITUTE(SUBSTITUTE(UPPER(IFERROR(INDEX('Registro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1" s="19" t="str">
        <f aca="false">IF($B91="","",TRIM(SUBSTITUTE(SUBSTITUTE(SUBSTITUTE(SUBSTITUTE(SUBSTITUTE(SUBSTITUTE(UPPER(IFERROR(INDEX('Registro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1" s="26" t="str">
        <f aca="false">IF($B91="","",IFERROR(INDEX('Registro de Comisión'!$H$5:$H$304,MATCH(ROW()-21,'Registro de Comisión'!$P$5:$P$304,0)),""))</f>
        <v/>
      </c>
      <c r="J91" s="20" t="str">
        <f aca="false">IF($B91="","",TRIM(SUBSTITUTE(SUBSTITUTE(SUBSTITUTE(SUBSTITUTE(SUBSTITUTE(SUBSTITUTE(UPPER(IFERROR(INDEX(tblPeriodos[Institución en el Período],MATCH($B91&amp;"-1",tblPeriodos[Clave (uso interno)],0)),"SIN PERIODO REGISTRADO")),"Á","A"),"É","E"),"Í","I"),"Ó","O"),"Ú","U"),"Ü","U")))</f>
        <v/>
      </c>
      <c r="K91" s="22" t="str">
        <f aca="false">IF($B91="","",IFERROR(_xlfn.MINIFS(tblPeriodos[Fecha Inicio del Período],tblPeriodos[Cédula],$B91),""))</f>
        <v/>
      </c>
      <c r="L91" s="22" t="str">
        <f aca="false">IF($B91="","",IFERROR(_xlfn.MAXIFS(tblPeriodos[Fecha Fin del Período],tblPeriodos[Cédula],$B91),""))</f>
        <v/>
      </c>
      <c r="M91" s="19" t="str">
        <f aca="false">IF($B91="","",COUNTIFS(tblPeriodos[Cédula],$B91))</f>
        <v/>
      </c>
      <c r="N91" s="23" t="str">
        <f aca="false">IF($B91="","",SUMIFS(tblPeriodos[Días del Período],tblPeriodos[Cédula],$B91))</f>
        <v/>
      </c>
      <c r="O91" s="24" t="str">
        <f aca="false">IF($B91="","",ROUND(N91/365.25,1))</f>
        <v/>
      </c>
      <c r="P91" s="22" t="str">
        <f aca="false">IF($B91="","",EDATE(K91,72))</f>
        <v/>
      </c>
      <c r="Q91" s="23" t="str">
        <f aca="true">IF($B91="","",P91-TODAY())</f>
        <v/>
      </c>
      <c r="R91" s="19" t="str">
        <f aca="false">IF($B91="","",IF(Q91&lt;=0,"🔴 SUPERO LIMITE LEGAL",IF(Q91&lt;=180,"🟠 PROXIMO AL LIMITE (6 ANOS)",IF(Q91&lt;=365,"🟡 VIGILAR (&lt; 1 ANO)","🟢 DENTRO DEL LIMITE"))))</f>
        <v/>
      </c>
      <c r="S91" s="23" t="str">
        <f aca="true">IF($B91="","",L91-TODAY())</f>
        <v/>
      </c>
      <c r="T91" s="19" t="str">
        <f aca="false">IF($B91="","",IF(S91&lt;0,"🔴 COMISION VENCIDA",IF(S91&lt;=90,"🟠 VENCE PRONTO (&lt;=90 DIAS)",IF(S91&lt;=180,"🟡 PROXIMA A VENCER (&lt;=180 DIAS)","🟢 VIGENTE"))))</f>
        <v/>
      </c>
      <c r="U91" s="19" t="str">
        <f aca="false">IF($B91="","",IF(ABS(N91-(L91-K91+1))&lt;=3,"CONTINUA","CON INTERRUPCIONES - REVISAR"))</f>
        <v/>
      </c>
      <c r="V91" s="20" t="str">
        <f aca="false">IF($B91="","",TRIM(SUBSTITUTE(SUBSTITUTE(SUBSTITUTE(SUBSTITUTE(SUBSTITUTE(SUBSTITUTE(UPPER(IFERROR(INDEX('Registro de Comisión'!$L$5:$L$304,MATCH($B91&amp;"-ACT",'Registro de Comisión'!$N$5:$N$304,0)),"SIN REGISTRAR")),"Á","A"),"É","E"),"Í","I"),"Ó","O"),"Ú","U"),"Ü","U")))</f>
        <v/>
      </c>
      <c r="W91" s="20"/>
    </row>
    <row r="92" customFormat="false" ht="15" hidden="false" customHeight="false" outlineLevel="0" collapsed="false">
      <c r="A92" s="13" t="str">
        <f aca="false">IF($B92="","",ROW()-6)</f>
        <v/>
      </c>
      <c r="B92" s="13" t="str">
        <f aca="false">IFERROR(INDEX('Registro de Comisión'!$A$5:$A$304,MATCH(ROW()-21,'Registro de Comisión'!$P$5:$P$304,0)),"")</f>
        <v/>
      </c>
      <c r="C92" s="14" t="str">
        <f aca="false">IF($B92="","",TRIM(SUBSTITUTE(SUBSTITUTE(SUBSTITUTE(SUBSTITUTE(SUBSTITUTE(SUBSTITUTE(UPPER(IFERROR(INDEX('Registro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2" s="13" t="str">
        <f aca="false">IF($B92="","",TRIM(SUBSTITUTE(SUBSTITUTE(SUBSTITUTE(SUBSTITUTE(SUBSTITUTE(SUBSTITUTE(UPPER(IFERROR(INDEX('Registro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2" s="14" t="str">
        <f aca="false">IF($B92="","",TRIM(SUBSTITUTE(SUBSTITUTE(SUBSTITUTE(SUBSTITUTE(SUBSTITUTE(SUBSTITUTE(UPPER(IFERROR(INDEX('Registro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2" s="14" t="str">
        <f aca="false">IF($B92="","",TRIM(SUBSTITUTE(SUBSTITUTE(SUBSTITUTE(SUBSTITUTE(SUBSTITUTE(SUBSTITUTE(UPPER(IFERROR(INDEX('Registro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2" s="14" t="str">
        <f aca="false">IF($B92="","",TRIM(SUBSTITUTE(SUBSTITUTE(SUBSTITUTE(SUBSTITUTE(SUBSTITUTE(SUBSTITUTE(UPPER(IFERROR(INDEX('Registro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2" s="13" t="str">
        <f aca="false">IF($B92="","",TRIM(SUBSTITUTE(SUBSTITUTE(SUBSTITUTE(SUBSTITUTE(SUBSTITUTE(SUBSTITUTE(UPPER(IFERROR(INDEX('Registro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2" s="25" t="str">
        <f aca="false">IF($B92="","",IFERROR(INDEX('Registro de Comisión'!$H$5:$H$304,MATCH(ROW()-21,'Registro de Comisión'!$P$5:$P$304,0)),""))</f>
        <v/>
      </c>
      <c r="J92" s="14" t="str">
        <f aca="false">IF($B92="","",TRIM(SUBSTITUTE(SUBSTITUTE(SUBSTITUTE(SUBSTITUTE(SUBSTITUTE(SUBSTITUTE(UPPER(IFERROR(INDEX(tblPeriodos[Institución en el Período],MATCH($B92&amp;"-1",tblPeriodos[Clave (uso interno)],0)),"SIN PERIODO REGISTRADO")),"Á","A"),"É","E"),"Í","I"),"Ó","O"),"Ú","U"),"Ü","U")))</f>
        <v/>
      </c>
      <c r="K92" s="16" t="str">
        <f aca="false">IF($B92="","",IFERROR(_xlfn.MINIFS(tblPeriodos[Fecha Inicio del Período],tblPeriodos[Cédula],$B92),""))</f>
        <v/>
      </c>
      <c r="L92" s="16" t="str">
        <f aca="false">IF($B92="","",IFERROR(_xlfn.MAXIFS(tblPeriodos[Fecha Fin del Período],tblPeriodos[Cédula],$B92),""))</f>
        <v/>
      </c>
      <c r="M92" s="13" t="str">
        <f aca="false">IF($B92="","",COUNTIFS(tblPeriodos[Cédula],$B92))</f>
        <v/>
      </c>
      <c r="N92" s="17" t="str">
        <f aca="false">IF($B92="","",SUMIFS(tblPeriodos[Días del Período],tblPeriodos[Cédula],$B92))</f>
        <v/>
      </c>
      <c r="O92" s="18" t="str">
        <f aca="false">IF($B92="","",ROUND(N92/365.25,1))</f>
        <v/>
      </c>
      <c r="P92" s="16" t="str">
        <f aca="false">IF($B92="","",EDATE(K92,72))</f>
        <v/>
      </c>
      <c r="Q92" s="17" t="str">
        <f aca="true">IF($B92="","",P92-TODAY())</f>
        <v/>
      </c>
      <c r="R92" s="13" t="str">
        <f aca="false">IF($B92="","",IF(Q92&lt;=0,"🔴 SUPERO LIMITE LEGAL",IF(Q92&lt;=180,"🟠 PROXIMO AL LIMITE (6 ANOS)",IF(Q92&lt;=365,"🟡 VIGILAR (&lt; 1 ANO)","🟢 DENTRO DEL LIMITE"))))</f>
        <v/>
      </c>
      <c r="S92" s="17" t="str">
        <f aca="true">IF($B92="","",L92-TODAY())</f>
        <v/>
      </c>
      <c r="T92" s="13" t="str">
        <f aca="false">IF($B92="","",IF(S92&lt;0,"🔴 COMISION VENCIDA",IF(S92&lt;=90,"🟠 VENCE PRONTO (&lt;=90 DIAS)",IF(S92&lt;=180,"🟡 PROXIMA A VENCER (&lt;=180 DIAS)","🟢 VIGENTE"))))</f>
        <v/>
      </c>
      <c r="U92" s="13" t="str">
        <f aca="false">IF($B92="","",IF(ABS(N92-(L92-K92+1))&lt;=3,"CONTINUA","CON INTERRUPCIONES - REVISAR"))</f>
        <v/>
      </c>
      <c r="V92" s="14" t="str">
        <f aca="false">IF($B92="","",TRIM(SUBSTITUTE(SUBSTITUTE(SUBSTITUTE(SUBSTITUTE(SUBSTITUTE(SUBSTITUTE(UPPER(IFERROR(INDEX('Registro de Comisión'!$L$5:$L$304,MATCH($B92&amp;"-ACT",'Registro de Comisión'!$N$5:$N$304,0)),"SIN REGISTRAR")),"Á","A"),"É","E"),"Í","I"),"Ó","O"),"Ú","U"),"Ü","U")))</f>
        <v/>
      </c>
      <c r="W92" s="14"/>
    </row>
    <row r="93" customFormat="false" ht="15" hidden="false" customHeight="false" outlineLevel="0" collapsed="false">
      <c r="A93" s="19" t="str">
        <f aca="false">IF($B93="","",ROW()-6)</f>
        <v/>
      </c>
      <c r="B93" s="19" t="str">
        <f aca="false">IFERROR(INDEX('Registro de Comisión'!$A$5:$A$304,MATCH(ROW()-21,'Registro de Comisión'!$P$5:$P$304,0)),"")</f>
        <v/>
      </c>
      <c r="C93" s="20" t="str">
        <f aca="false">IF($B93="","",TRIM(SUBSTITUTE(SUBSTITUTE(SUBSTITUTE(SUBSTITUTE(SUBSTITUTE(SUBSTITUTE(UPPER(IFERROR(INDEX('Registro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3" s="19" t="str">
        <f aca="false">IF($B93="","",TRIM(SUBSTITUTE(SUBSTITUTE(SUBSTITUTE(SUBSTITUTE(SUBSTITUTE(SUBSTITUTE(UPPER(IFERROR(INDEX('Registro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3" s="20" t="str">
        <f aca="false">IF($B93="","",TRIM(SUBSTITUTE(SUBSTITUTE(SUBSTITUTE(SUBSTITUTE(SUBSTITUTE(SUBSTITUTE(UPPER(IFERROR(INDEX('Registro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3" s="20" t="str">
        <f aca="false">IF($B93="","",TRIM(SUBSTITUTE(SUBSTITUTE(SUBSTITUTE(SUBSTITUTE(SUBSTITUTE(SUBSTITUTE(UPPER(IFERROR(INDEX('Registro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3" s="20" t="str">
        <f aca="false">IF($B93="","",TRIM(SUBSTITUTE(SUBSTITUTE(SUBSTITUTE(SUBSTITUTE(SUBSTITUTE(SUBSTITUTE(UPPER(IFERROR(INDEX('Registro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3" s="19" t="str">
        <f aca="false">IF($B93="","",TRIM(SUBSTITUTE(SUBSTITUTE(SUBSTITUTE(SUBSTITUTE(SUBSTITUTE(SUBSTITUTE(UPPER(IFERROR(INDEX('Registro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3" s="26" t="str">
        <f aca="false">IF($B93="","",IFERROR(INDEX('Registro de Comisión'!$H$5:$H$304,MATCH(ROW()-21,'Registro de Comisión'!$P$5:$P$304,0)),""))</f>
        <v/>
      </c>
      <c r="J93" s="20" t="str">
        <f aca="false">IF($B93="","",TRIM(SUBSTITUTE(SUBSTITUTE(SUBSTITUTE(SUBSTITUTE(SUBSTITUTE(SUBSTITUTE(UPPER(IFERROR(INDEX(tblPeriodos[Institución en el Período],MATCH($B93&amp;"-1",tblPeriodos[Clave (uso interno)],0)),"SIN PERIODO REGISTRADO")),"Á","A"),"É","E"),"Í","I"),"Ó","O"),"Ú","U"),"Ü","U")))</f>
        <v/>
      </c>
      <c r="K93" s="22" t="str">
        <f aca="false">IF($B93="","",IFERROR(_xlfn.MINIFS(tblPeriodos[Fecha Inicio del Período],tblPeriodos[Cédula],$B93),""))</f>
        <v/>
      </c>
      <c r="L93" s="22" t="str">
        <f aca="false">IF($B93="","",IFERROR(_xlfn.MAXIFS(tblPeriodos[Fecha Fin del Período],tblPeriodos[Cédula],$B93),""))</f>
        <v/>
      </c>
      <c r="M93" s="19" t="str">
        <f aca="false">IF($B93="","",COUNTIFS(tblPeriodos[Cédula],$B93))</f>
        <v/>
      </c>
      <c r="N93" s="23" t="str">
        <f aca="false">IF($B93="","",SUMIFS(tblPeriodos[Días del Período],tblPeriodos[Cédula],$B93))</f>
        <v/>
      </c>
      <c r="O93" s="24" t="str">
        <f aca="false">IF($B93="","",ROUND(N93/365.25,1))</f>
        <v/>
      </c>
      <c r="P93" s="22" t="str">
        <f aca="false">IF($B93="","",EDATE(K93,72))</f>
        <v/>
      </c>
      <c r="Q93" s="23" t="str">
        <f aca="true">IF($B93="","",P93-TODAY())</f>
        <v/>
      </c>
      <c r="R93" s="19" t="str">
        <f aca="false">IF($B93="","",IF(Q93&lt;=0,"🔴 SUPERO LIMITE LEGAL",IF(Q93&lt;=180,"🟠 PROXIMO AL LIMITE (6 ANOS)",IF(Q93&lt;=365,"🟡 VIGILAR (&lt; 1 ANO)","🟢 DENTRO DEL LIMITE"))))</f>
        <v/>
      </c>
      <c r="S93" s="23" t="str">
        <f aca="true">IF($B93="","",L93-TODAY())</f>
        <v/>
      </c>
      <c r="T93" s="19" t="str">
        <f aca="false">IF($B93="","",IF(S93&lt;0,"🔴 COMISION VENCIDA",IF(S93&lt;=90,"🟠 VENCE PRONTO (&lt;=90 DIAS)",IF(S93&lt;=180,"🟡 PROXIMA A VENCER (&lt;=180 DIAS)","🟢 VIGENTE"))))</f>
        <v/>
      </c>
      <c r="U93" s="19" t="str">
        <f aca="false">IF($B93="","",IF(ABS(N93-(L93-K93+1))&lt;=3,"CONTINUA","CON INTERRUPCIONES - REVISAR"))</f>
        <v/>
      </c>
      <c r="V93" s="20" t="str">
        <f aca="false">IF($B93="","",TRIM(SUBSTITUTE(SUBSTITUTE(SUBSTITUTE(SUBSTITUTE(SUBSTITUTE(SUBSTITUTE(UPPER(IFERROR(INDEX('Registro de Comisión'!$L$5:$L$304,MATCH($B93&amp;"-ACT",'Registro de Comisión'!$N$5:$N$304,0)),"SIN REGISTRAR")),"Á","A"),"É","E"),"Í","I"),"Ó","O"),"Ú","U"),"Ü","U")))</f>
        <v/>
      </c>
      <c r="W93" s="20"/>
    </row>
    <row r="94" customFormat="false" ht="15" hidden="false" customHeight="false" outlineLevel="0" collapsed="false">
      <c r="A94" s="13" t="str">
        <f aca="false">IF($B94="","",ROW()-6)</f>
        <v/>
      </c>
      <c r="B94" s="13" t="str">
        <f aca="false">IFERROR(INDEX('Registro de Comisión'!$A$5:$A$304,MATCH(ROW()-21,'Registro de Comisión'!$P$5:$P$304,0)),"")</f>
        <v/>
      </c>
      <c r="C94" s="14" t="str">
        <f aca="false">IF($B94="","",TRIM(SUBSTITUTE(SUBSTITUTE(SUBSTITUTE(SUBSTITUTE(SUBSTITUTE(SUBSTITUTE(UPPER(IFERROR(INDEX('Registro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4" s="13" t="str">
        <f aca="false">IF($B94="","",TRIM(SUBSTITUTE(SUBSTITUTE(SUBSTITUTE(SUBSTITUTE(SUBSTITUTE(SUBSTITUTE(UPPER(IFERROR(INDEX('Registro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4" s="14" t="str">
        <f aca="false">IF($B94="","",TRIM(SUBSTITUTE(SUBSTITUTE(SUBSTITUTE(SUBSTITUTE(SUBSTITUTE(SUBSTITUTE(UPPER(IFERROR(INDEX('Registro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4" s="14" t="str">
        <f aca="false">IF($B94="","",TRIM(SUBSTITUTE(SUBSTITUTE(SUBSTITUTE(SUBSTITUTE(SUBSTITUTE(SUBSTITUTE(UPPER(IFERROR(INDEX('Registro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4" s="14" t="str">
        <f aca="false">IF($B94="","",TRIM(SUBSTITUTE(SUBSTITUTE(SUBSTITUTE(SUBSTITUTE(SUBSTITUTE(SUBSTITUTE(UPPER(IFERROR(INDEX('Registro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4" s="13" t="str">
        <f aca="false">IF($B94="","",TRIM(SUBSTITUTE(SUBSTITUTE(SUBSTITUTE(SUBSTITUTE(SUBSTITUTE(SUBSTITUTE(UPPER(IFERROR(INDEX('Registro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4" s="25" t="str">
        <f aca="false">IF($B94="","",IFERROR(INDEX('Registro de Comisión'!$H$5:$H$304,MATCH(ROW()-21,'Registro de Comisión'!$P$5:$P$304,0)),""))</f>
        <v/>
      </c>
      <c r="J94" s="14" t="str">
        <f aca="false">IF($B94="","",TRIM(SUBSTITUTE(SUBSTITUTE(SUBSTITUTE(SUBSTITUTE(SUBSTITUTE(SUBSTITUTE(UPPER(IFERROR(INDEX(tblPeriodos[Institución en el Período],MATCH($B94&amp;"-1",tblPeriodos[Clave (uso interno)],0)),"SIN PERIODO REGISTRADO")),"Á","A"),"É","E"),"Í","I"),"Ó","O"),"Ú","U"),"Ü","U")))</f>
        <v/>
      </c>
      <c r="K94" s="16" t="str">
        <f aca="false">IF($B94="","",IFERROR(_xlfn.MINIFS(tblPeriodos[Fecha Inicio del Período],tblPeriodos[Cédula],$B94),""))</f>
        <v/>
      </c>
      <c r="L94" s="16" t="str">
        <f aca="false">IF($B94="","",IFERROR(_xlfn.MAXIFS(tblPeriodos[Fecha Fin del Período],tblPeriodos[Cédula],$B94),""))</f>
        <v/>
      </c>
      <c r="M94" s="13" t="str">
        <f aca="false">IF($B94="","",COUNTIFS(tblPeriodos[Cédula],$B94))</f>
        <v/>
      </c>
      <c r="N94" s="17" t="str">
        <f aca="false">IF($B94="","",SUMIFS(tblPeriodos[Días del Período],tblPeriodos[Cédula],$B94))</f>
        <v/>
      </c>
      <c r="O94" s="18" t="str">
        <f aca="false">IF($B94="","",ROUND(N94/365.25,1))</f>
        <v/>
      </c>
      <c r="P94" s="16" t="str">
        <f aca="false">IF($B94="","",EDATE(K94,72))</f>
        <v/>
      </c>
      <c r="Q94" s="17" t="str">
        <f aca="true">IF($B94="","",P94-TODAY())</f>
        <v/>
      </c>
      <c r="R94" s="13" t="str">
        <f aca="false">IF($B94="","",IF(Q94&lt;=0,"🔴 SUPERO LIMITE LEGAL",IF(Q94&lt;=180,"🟠 PROXIMO AL LIMITE (6 ANOS)",IF(Q94&lt;=365,"🟡 VIGILAR (&lt; 1 ANO)","🟢 DENTRO DEL LIMITE"))))</f>
        <v/>
      </c>
      <c r="S94" s="17" t="str">
        <f aca="true">IF($B94="","",L94-TODAY())</f>
        <v/>
      </c>
      <c r="T94" s="13" t="str">
        <f aca="false">IF($B94="","",IF(S94&lt;0,"🔴 COMISION VENCIDA",IF(S94&lt;=90,"🟠 VENCE PRONTO (&lt;=90 DIAS)",IF(S94&lt;=180,"🟡 PROXIMA A VENCER (&lt;=180 DIAS)","🟢 VIGENTE"))))</f>
        <v/>
      </c>
      <c r="U94" s="13" t="str">
        <f aca="false">IF($B94="","",IF(ABS(N94-(L94-K94+1))&lt;=3,"CONTINUA","CON INTERRUPCIONES - REVISAR"))</f>
        <v/>
      </c>
      <c r="V94" s="14" t="str">
        <f aca="false">IF($B94="","",TRIM(SUBSTITUTE(SUBSTITUTE(SUBSTITUTE(SUBSTITUTE(SUBSTITUTE(SUBSTITUTE(UPPER(IFERROR(INDEX('Registro de Comisión'!$L$5:$L$304,MATCH($B94&amp;"-ACT",'Registro de Comisión'!$N$5:$N$304,0)),"SIN REGISTRAR")),"Á","A"),"É","E"),"Í","I"),"Ó","O"),"Ú","U"),"Ü","U")))</f>
        <v/>
      </c>
      <c r="W94" s="14"/>
    </row>
    <row r="95" customFormat="false" ht="15" hidden="false" customHeight="false" outlineLevel="0" collapsed="false">
      <c r="A95" s="19" t="str">
        <f aca="false">IF($B95="","",ROW()-6)</f>
        <v/>
      </c>
      <c r="B95" s="19" t="str">
        <f aca="false">IFERROR(INDEX('Registro de Comisión'!$A$5:$A$304,MATCH(ROW()-21,'Registro de Comisión'!$P$5:$P$304,0)),"")</f>
        <v/>
      </c>
      <c r="C95" s="20" t="str">
        <f aca="false">IF($B95="","",TRIM(SUBSTITUTE(SUBSTITUTE(SUBSTITUTE(SUBSTITUTE(SUBSTITUTE(SUBSTITUTE(UPPER(IFERROR(INDEX('Registro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5" s="19" t="str">
        <f aca="false">IF($B95="","",TRIM(SUBSTITUTE(SUBSTITUTE(SUBSTITUTE(SUBSTITUTE(SUBSTITUTE(SUBSTITUTE(UPPER(IFERROR(INDEX('Registro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5" s="20" t="str">
        <f aca="false">IF($B95="","",TRIM(SUBSTITUTE(SUBSTITUTE(SUBSTITUTE(SUBSTITUTE(SUBSTITUTE(SUBSTITUTE(UPPER(IFERROR(INDEX('Registro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5" s="20" t="str">
        <f aca="false">IF($B95="","",TRIM(SUBSTITUTE(SUBSTITUTE(SUBSTITUTE(SUBSTITUTE(SUBSTITUTE(SUBSTITUTE(UPPER(IFERROR(INDEX('Registro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5" s="20" t="str">
        <f aca="false">IF($B95="","",TRIM(SUBSTITUTE(SUBSTITUTE(SUBSTITUTE(SUBSTITUTE(SUBSTITUTE(SUBSTITUTE(UPPER(IFERROR(INDEX('Registro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5" s="19" t="str">
        <f aca="false">IF($B95="","",TRIM(SUBSTITUTE(SUBSTITUTE(SUBSTITUTE(SUBSTITUTE(SUBSTITUTE(SUBSTITUTE(UPPER(IFERROR(INDEX('Registro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5" s="26" t="str">
        <f aca="false">IF($B95="","",IFERROR(INDEX('Registro de Comisión'!$H$5:$H$304,MATCH(ROW()-21,'Registro de Comisión'!$P$5:$P$304,0)),""))</f>
        <v/>
      </c>
      <c r="J95" s="20" t="str">
        <f aca="false">IF($B95="","",TRIM(SUBSTITUTE(SUBSTITUTE(SUBSTITUTE(SUBSTITUTE(SUBSTITUTE(SUBSTITUTE(UPPER(IFERROR(INDEX(tblPeriodos[Institución en el Período],MATCH($B95&amp;"-1",tblPeriodos[Clave (uso interno)],0)),"SIN PERIODO REGISTRADO")),"Á","A"),"É","E"),"Í","I"),"Ó","O"),"Ú","U"),"Ü","U")))</f>
        <v/>
      </c>
      <c r="K95" s="22" t="str">
        <f aca="false">IF($B95="","",IFERROR(_xlfn.MINIFS(tblPeriodos[Fecha Inicio del Período],tblPeriodos[Cédula],$B95),""))</f>
        <v/>
      </c>
      <c r="L95" s="22" t="str">
        <f aca="false">IF($B95="","",IFERROR(_xlfn.MAXIFS(tblPeriodos[Fecha Fin del Período],tblPeriodos[Cédula],$B95),""))</f>
        <v/>
      </c>
      <c r="M95" s="19" t="str">
        <f aca="false">IF($B95="","",COUNTIFS(tblPeriodos[Cédula],$B95))</f>
        <v/>
      </c>
      <c r="N95" s="23" t="str">
        <f aca="false">IF($B95="","",SUMIFS(tblPeriodos[Días del Período],tblPeriodos[Cédula],$B95))</f>
        <v/>
      </c>
      <c r="O95" s="24" t="str">
        <f aca="false">IF($B95="","",ROUND(N95/365.25,1))</f>
        <v/>
      </c>
      <c r="P95" s="22" t="str">
        <f aca="false">IF($B95="","",EDATE(K95,72))</f>
        <v/>
      </c>
      <c r="Q95" s="23" t="str">
        <f aca="true">IF($B95="","",P95-TODAY())</f>
        <v/>
      </c>
      <c r="R95" s="19" t="str">
        <f aca="false">IF($B95="","",IF(Q95&lt;=0,"🔴 SUPERO LIMITE LEGAL",IF(Q95&lt;=180,"🟠 PROXIMO AL LIMITE (6 ANOS)",IF(Q95&lt;=365,"🟡 VIGILAR (&lt; 1 ANO)","🟢 DENTRO DEL LIMITE"))))</f>
        <v/>
      </c>
      <c r="S95" s="23" t="str">
        <f aca="true">IF($B95="","",L95-TODAY())</f>
        <v/>
      </c>
      <c r="T95" s="19" t="str">
        <f aca="false">IF($B95="","",IF(S95&lt;0,"🔴 COMISION VENCIDA",IF(S95&lt;=90,"🟠 VENCE PRONTO (&lt;=90 DIAS)",IF(S95&lt;=180,"🟡 PROXIMA A VENCER (&lt;=180 DIAS)","🟢 VIGENTE"))))</f>
        <v/>
      </c>
      <c r="U95" s="19" t="str">
        <f aca="false">IF($B95="","",IF(ABS(N95-(L95-K95+1))&lt;=3,"CONTINUA","CON INTERRUPCIONES - REVISAR"))</f>
        <v/>
      </c>
      <c r="V95" s="20" t="str">
        <f aca="false">IF($B95="","",TRIM(SUBSTITUTE(SUBSTITUTE(SUBSTITUTE(SUBSTITUTE(SUBSTITUTE(SUBSTITUTE(UPPER(IFERROR(INDEX('Registro de Comisión'!$L$5:$L$304,MATCH($B95&amp;"-ACT",'Registro de Comisión'!$N$5:$N$304,0)),"SIN REGISTRAR")),"Á","A"),"É","E"),"Í","I"),"Ó","O"),"Ú","U"),"Ü","U")))</f>
        <v/>
      </c>
      <c r="W95" s="20"/>
    </row>
    <row r="96" customFormat="false" ht="15" hidden="false" customHeight="false" outlineLevel="0" collapsed="false">
      <c r="A96" s="13" t="str">
        <f aca="false">IF($B96="","",ROW()-6)</f>
        <v/>
      </c>
      <c r="B96" s="13" t="str">
        <f aca="false">IFERROR(INDEX('Registro de Comisión'!$A$5:$A$304,MATCH(ROW()-21,'Registro de Comisión'!$P$5:$P$304,0)),"")</f>
        <v/>
      </c>
      <c r="C96" s="14" t="str">
        <f aca="false">IF($B96="","",TRIM(SUBSTITUTE(SUBSTITUTE(SUBSTITUTE(SUBSTITUTE(SUBSTITUTE(SUBSTITUTE(UPPER(IFERROR(INDEX('Registro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6" s="13" t="str">
        <f aca="false">IF($B96="","",TRIM(SUBSTITUTE(SUBSTITUTE(SUBSTITUTE(SUBSTITUTE(SUBSTITUTE(SUBSTITUTE(UPPER(IFERROR(INDEX('Registro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6" s="14" t="str">
        <f aca="false">IF($B96="","",TRIM(SUBSTITUTE(SUBSTITUTE(SUBSTITUTE(SUBSTITUTE(SUBSTITUTE(SUBSTITUTE(UPPER(IFERROR(INDEX('Registro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6" s="14" t="str">
        <f aca="false">IF($B96="","",TRIM(SUBSTITUTE(SUBSTITUTE(SUBSTITUTE(SUBSTITUTE(SUBSTITUTE(SUBSTITUTE(UPPER(IFERROR(INDEX('Registro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6" s="14" t="str">
        <f aca="false">IF($B96="","",TRIM(SUBSTITUTE(SUBSTITUTE(SUBSTITUTE(SUBSTITUTE(SUBSTITUTE(SUBSTITUTE(UPPER(IFERROR(INDEX('Registro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6" s="13" t="str">
        <f aca="false">IF($B96="","",TRIM(SUBSTITUTE(SUBSTITUTE(SUBSTITUTE(SUBSTITUTE(SUBSTITUTE(SUBSTITUTE(UPPER(IFERROR(INDEX('Registro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6" s="25" t="str">
        <f aca="false">IF($B96="","",IFERROR(INDEX('Registro de Comisión'!$H$5:$H$304,MATCH(ROW()-21,'Registro de Comisión'!$P$5:$P$304,0)),""))</f>
        <v/>
      </c>
      <c r="J96" s="14" t="str">
        <f aca="false">IF($B96="","",TRIM(SUBSTITUTE(SUBSTITUTE(SUBSTITUTE(SUBSTITUTE(SUBSTITUTE(SUBSTITUTE(UPPER(IFERROR(INDEX(tblPeriodos[Institución en el Período],MATCH($B96&amp;"-1",tblPeriodos[Clave (uso interno)],0)),"SIN PERIODO REGISTRADO")),"Á","A"),"É","E"),"Í","I"),"Ó","O"),"Ú","U"),"Ü","U")))</f>
        <v/>
      </c>
      <c r="K96" s="16" t="str">
        <f aca="false">IF($B96="","",IFERROR(_xlfn.MINIFS(tblPeriodos[Fecha Inicio del Período],tblPeriodos[Cédula],$B96),""))</f>
        <v/>
      </c>
      <c r="L96" s="16" t="str">
        <f aca="false">IF($B96="","",IFERROR(_xlfn.MAXIFS(tblPeriodos[Fecha Fin del Período],tblPeriodos[Cédula],$B96),""))</f>
        <v/>
      </c>
      <c r="M96" s="13" t="str">
        <f aca="false">IF($B96="","",COUNTIFS(tblPeriodos[Cédula],$B96))</f>
        <v/>
      </c>
      <c r="N96" s="17" t="str">
        <f aca="false">IF($B96="","",SUMIFS(tblPeriodos[Días del Período],tblPeriodos[Cédula],$B96))</f>
        <v/>
      </c>
      <c r="O96" s="18" t="str">
        <f aca="false">IF($B96="","",ROUND(N96/365.25,1))</f>
        <v/>
      </c>
      <c r="P96" s="16" t="str">
        <f aca="false">IF($B96="","",EDATE(K96,72))</f>
        <v/>
      </c>
      <c r="Q96" s="17" t="str">
        <f aca="true">IF($B96="","",P96-TODAY())</f>
        <v/>
      </c>
      <c r="R96" s="13" t="str">
        <f aca="false">IF($B96="","",IF(Q96&lt;=0,"🔴 SUPERO LIMITE LEGAL",IF(Q96&lt;=180,"🟠 PROXIMO AL LIMITE (6 ANOS)",IF(Q96&lt;=365,"🟡 VIGILAR (&lt; 1 ANO)","🟢 DENTRO DEL LIMITE"))))</f>
        <v/>
      </c>
      <c r="S96" s="17" t="str">
        <f aca="true">IF($B96="","",L96-TODAY())</f>
        <v/>
      </c>
      <c r="T96" s="13" t="str">
        <f aca="false">IF($B96="","",IF(S96&lt;0,"🔴 COMISION VENCIDA",IF(S96&lt;=90,"🟠 VENCE PRONTO (&lt;=90 DIAS)",IF(S96&lt;=180,"🟡 PROXIMA A VENCER (&lt;=180 DIAS)","🟢 VIGENTE"))))</f>
        <v/>
      </c>
      <c r="U96" s="13" t="str">
        <f aca="false">IF($B96="","",IF(ABS(N96-(L96-K96+1))&lt;=3,"CONTINUA","CON INTERRUPCIONES - REVISAR"))</f>
        <v/>
      </c>
      <c r="V96" s="14" t="str">
        <f aca="false">IF($B96="","",TRIM(SUBSTITUTE(SUBSTITUTE(SUBSTITUTE(SUBSTITUTE(SUBSTITUTE(SUBSTITUTE(UPPER(IFERROR(INDEX('Registro de Comisión'!$L$5:$L$304,MATCH($B96&amp;"-ACT",'Registro de Comisión'!$N$5:$N$304,0)),"SIN REGISTRAR")),"Á","A"),"É","E"),"Í","I"),"Ó","O"),"Ú","U"),"Ü","U")))</f>
        <v/>
      </c>
      <c r="W96" s="14"/>
    </row>
    <row r="97" customFormat="false" ht="15" hidden="false" customHeight="false" outlineLevel="0" collapsed="false">
      <c r="A97" s="19" t="str">
        <f aca="false">IF($B97="","",ROW()-6)</f>
        <v/>
      </c>
      <c r="B97" s="19" t="str">
        <f aca="false">IFERROR(INDEX('Registro de Comisión'!$A$5:$A$304,MATCH(ROW()-21,'Registro de Comisión'!$P$5:$P$304,0)),"")</f>
        <v/>
      </c>
      <c r="C97" s="20" t="str">
        <f aca="false">IF($B97="","",TRIM(SUBSTITUTE(SUBSTITUTE(SUBSTITUTE(SUBSTITUTE(SUBSTITUTE(SUBSTITUTE(UPPER(IFERROR(INDEX('Registro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7" s="19" t="str">
        <f aca="false">IF($B97="","",TRIM(SUBSTITUTE(SUBSTITUTE(SUBSTITUTE(SUBSTITUTE(SUBSTITUTE(SUBSTITUTE(UPPER(IFERROR(INDEX('Registro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7" s="20" t="str">
        <f aca="false">IF($B97="","",TRIM(SUBSTITUTE(SUBSTITUTE(SUBSTITUTE(SUBSTITUTE(SUBSTITUTE(SUBSTITUTE(UPPER(IFERROR(INDEX('Registro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7" s="20" t="str">
        <f aca="false">IF($B97="","",TRIM(SUBSTITUTE(SUBSTITUTE(SUBSTITUTE(SUBSTITUTE(SUBSTITUTE(SUBSTITUTE(UPPER(IFERROR(INDEX('Registro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7" s="20" t="str">
        <f aca="false">IF($B97="","",TRIM(SUBSTITUTE(SUBSTITUTE(SUBSTITUTE(SUBSTITUTE(SUBSTITUTE(SUBSTITUTE(UPPER(IFERROR(INDEX('Registro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7" s="19" t="str">
        <f aca="false">IF($B97="","",TRIM(SUBSTITUTE(SUBSTITUTE(SUBSTITUTE(SUBSTITUTE(SUBSTITUTE(SUBSTITUTE(UPPER(IFERROR(INDEX('Registro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7" s="26" t="str">
        <f aca="false">IF($B97="","",IFERROR(INDEX('Registro de Comisión'!$H$5:$H$304,MATCH(ROW()-21,'Registro de Comisión'!$P$5:$P$304,0)),""))</f>
        <v/>
      </c>
      <c r="J97" s="20" t="str">
        <f aca="false">IF($B97="","",TRIM(SUBSTITUTE(SUBSTITUTE(SUBSTITUTE(SUBSTITUTE(SUBSTITUTE(SUBSTITUTE(UPPER(IFERROR(INDEX(tblPeriodos[Institución en el Período],MATCH($B97&amp;"-1",tblPeriodos[Clave (uso interno)],0)),"SIN PERIODO REGISTRADO")),"Á","A"),"É","E"),"Í","I"),"Ó","O"),"Ú","U"),"Ü","U")))</f>
        <v/>
      </c>
      <c r="K97" s="22" t="str">
        <f aca="false">IF($B97="","",IFERROR(_xlfn.MINIFS(tblPeriodos[Fecha Inicio del Período],tblPeriodos[Cédula],$B97),""))</f>
        <v/>
      </c>
      <c r="L97" s="22" t="str">
        <f aca="false">IF($B97="","",IFERROR(_xlfn.MAXIFS(tblPeriodos[Fecha Fin del Período],tblPeriodos[Cédula],$B97),""))</f>
        <v/>
      </c>
      <c r="M97" s="19" t="str">
        <f aca="false">IF($B97="","",COUNTIFS(tblPeriodos[Cédula],$B97))</f>
        <v/>
      </c>
      <c r="N97" s="23" t="str">
        <f aca="false">IF($B97="","",SUMIFS(tblPeriodos[Días del Período],tblPeriodos[Cédula],$B97))</f>
        <v/>
      </c>
      <c r="O97" s="24" t="str">
        <f aca="false">IF($B97="","",ROUND(N97/365.25,1))</f>
        <v/>
      </c>
      <c r="P97" s="22" t="str">
        <f aca="false">IF($B97="","",EDATE(K97,72))</f>
        <v/>
      </c>
      <c r="Q97" s="23" t="str">
        <f aca="true">IF($B97="","",P97-TODAY())</f>
        <v/>
      </c>
      <c r="R97" s="19" t="str">
        <f aca="false">IF($B97="","",IF(Q97&lt;=0,"🔴 SUPERO LIMITE LEGAL",IF(Q97&lt;=180,"🟠 PROXIMO AL LIMITE (6 ANOS)",IF(Q97&lt;=365,"🟡 VIGILAR (&lt; 1 ANO)","🟢 DENTRO DEL LIMITE"))))</f>
        <v/>
      </c>
      <c r="S97" s="23" t="str">
        <f aca="true">IF($B97="","",L97-TODAY())</f>
        <v/>
      </c>
      <c r="T97" s="19" t="str">
        <f aca="false">IF($B97="","",IF(S97&lt;0,"🔴 COMISION VENCIDA",IF(S97&lt;=90,"🟠 VENCE PRONTO (&lt;=90 DIAS)",IF(S97&lt;=180,"🟡 PROXIMA A VENCER (&lt;=180 DIAS)","🟢 VIGENTE"))))</f>
        <v/>
      </c>
      <c r="U97" s="19" t="str">
        <f aca="false">IF($B97="","",IF(ABS(N97-(L97-K97+1))&lt;=3,"CONTINUA","CON INTERRUPCIONES - REVISAR"))</f>
        <v/>
      </c>
      <c r="V97" s="20" t="str">
        <f aca="false">IF($B97="","",TRIM(SUBSTITUTE(SUBSTITUTE(SUBSTITUTE(SUBSTITUTE(SUBSTITUTE(SUBSTITUTE(UPPER(IFERROR(INDEX('Registro de Comisión'!$L$5:$L$304,MATCH($B97&amp;"-ACT",'Registro de Comisión'!$N$5:$N$304,0)),"SIN REGISTRAR")),"Á","A"),"É","E"),"Í","I"),"Ó","O"),"Ú","U"),"Ü","U")))</f>
        <v/>
      </c>
      <c r="W97" s="20"/>
    </row>
    <row r="98" customFormat="false" ht="15" hidden="false" customHeight="false" outlineLevel="0" collapsed="false">
      <c r="A98" s="13" t="str">
        <f aca="false">IF($B98="","",ROW()-6)</f>
        <v/>
      </c>
      <c r="B98" s="13" t="str">
        <f aca="false">IFERROR(INDEX('Registro de Comisión'!$A$5:$A$304,MATCH(ROW()-21,'Registro de Comisión'!$P$5:$P$304,0)),"")</f>
        <v/>
      </c>
      <c r="C98" s="14" t="str">
        <f aca="false">IF($B98="","",TRIM(SUBSTITUTE(SUBSTITUTE(SUBSTITUTE(SUBSTITUTE(SUBSTITUTE(SUBSTITUTE(UPPER(IFERROR(INDEX('Registro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8" s="13" t="str">
        <f aca="false">IF($B98="","",TRIM(SUBSTITUTE(SUBSTITUTE(SUBSTITUTE(SUBSTITUTE(SUBSTITUTE(SUBSTITUTE(UPPER(IFERROR(INDEX('Registro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8" s="14" t="str">
        <f aca="false">IF($B98="","",TRIM(SUBSTITUTE(SUBSTITUTE(SUBSTITUTE(SUBSTITUTE(SUBSTITUTE(SUBSTITUTE(UPPER(IFERROR(INDEX('Registro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8" s="14" t="str">
        <f aca="false">IF($B98="","",TRIM(SUBSTITUTE(SUBSTITUTE(SUBSTITUTE(SUBSTITUTE(SUBSTITUTE(SUBSTITUTE(UPPER(IFERROR(INDEX('Registro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8" s="14" t="str">
        <f aca="false">IF($B98="","",TRIM(SUBSTITUTE(SUBSTITUTE(SUBSTITUTE(SUBSTITUTE(SUBSTITUTE(SUBSTITUTE(UPPER(IFERROR(INDEX('Registro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8" s="13" t="str">
        <f aca="false">IF($B98="","",TRIM(SUBSTITUTE(SUBSTITUTE(SUBSTITUTE(SUBSTITUTE(SUBSTITUTE(SUBSTITUTE(UPPER(IFERROR(INDEX('Registro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8" s="25" t="str">
        <f aca="false">IF($B98="","",IFERROR(INDEX('Registro de Comisión'!$H$5:$H$304,MATCH(ROW()-21,'Registro de Comisión'!$P$5:$P$304,0)),""))</f>
        <v/>
      </c>
      <c r="J98" s="14" t="str">
        <f aca="false">IF($B98="","",TRIM(SUBSTITUTE(SUBSTITUTE(SUBSTITUTE(SUBSTITUTE(SUBSTITUTE(SUBSTITUTE(UPPER(IFERROR(INDEX(tblPeriodos[Institución en el Período],MATCH($B98&amp;"-1",tblPeriodos[Clave (uso interno)],0)),"SIN PERIODO REGISTRADO")),"Á","A"),"É","E"),"Í","I"),"Ó","O"),"Ú","U"),"Ü","U")))</f>
        <v/>
      </c>
      <c r="K98" s="16" t="str">
        <f aca="false">IF($B98="","",IFERROR(_xlfn.MINIFS(tblPeriodos[Fecha Inicio del Período],tblPeriodos[Cédula],$B98),""))</f>
        <v/>
      </c>
      <c r="L98" s="16" t="str">
        <f aca="false">IF($B98="","",IFERROR(_xlfn.MAXIFS(tblPeriodos[Fecha Fin del Período],tblPeriodos[Cédula],$B98),""))</f>
        <v/>
      </c>
      <c r="M98" s="13" t="str">
        <f aca="false">IF($B98="","",COUNTIFS(tblPeriodos[Cédula],$B98))</f>
        <v/>
      </c>
      <c r="N98" s="17" t="str">
        <f aca="false">IF($B98="","",SUMIFS(tblPeriodos[Días del Período],tblPeriodos[Cédula],$B98))</f>
        <v/>
      </c>
      <c r="O98" s="18" t="str">
        <f aca="false">IF($B98="","",ROUND(N98/365.25,1))</f>
        <v/>
      </c>
      <c r="P98" s="16" t="str">
        <f aca="false">IF($B98="","",EDATE(K98,72))</f>
        <v/>
      </c>
      <c r="Q98" s="17" t="str">
        <f aca="true">IF($B98="","",P98-TODAY())</f>
        <v/>
      </c>
      <c r="R98" s="13" t="str">
        <f aca="false">IF($B98="","",IF(Q98&lt;=0,"🔴 SUPERO LIMITE LEGAL",IF(Q98&lt;=180,"🟠 PROXIMO AL LIMITE (6 ANOS)",IF(Q98&lt;=365,"🟡 VIGILAR (&lt; 1 ANO)","🟢 DENTRO DEL LIMITE"))))</f>
        <v/>
      </c>
      <c r="S98" s="17" t="str">
        <f aca="true">IF($B98="","",L98-TODAY())</f>
        <v/>
      </c>
      <c r="T98" s="13" t="str">
        <f aca="false">IF($B98="","",IF(S98&lt;0,"🔴 COMISION VENCIDA",IF(S98&lt;=90,"🟠 VENCE PRONTO (&lt;=90 DIAS)",IF(S98&lt;=180,"🟡 PROXIMA A VENCER (&lt;=180 DIAS)","🟢 VIGENTE"))))</f>
        <v/>
      </c>
      <c r="U98" s="13" t="str">
        <f aca="false">IF($B98="","",IF(ABS(N98-(L98-K98+1))&lt;=3,"CONTINUA","CON INTERRUPCIONES - REVISAR"))</f>
        <v/>
      </c>
      <c r="V98" s="14" t="str">
        <f aca="false">IF($B98="","",TRIM(SUBSTITUTE(SUBSTITUTE(SUBSTITUTE(SUBSTITUTE(SUBSTITUTE(SUBSTITUTE(UPPER(IFERROR(INDEX('Registro de Comisión'!$L$5:$L$304,MATCH($B98&amp;"-ACT",'Registro de Comisión'!$N$5:$N$304,0)),"SIN REGISTRAR")),"Á","A"),"É","E"),"Í","I"),"Ó","O"),"Ú","U"),"Ü","U")))</f>
        <v/>
      </c>
      <c r="W98" s="14"/>
    </row>
    <row r="99" customFormat="false" ht="15" hidden="false" customHeight="false" outlineLevel="0" collapsed="false">
      <c r="A99" s="19" t="str">
        <f aca="false">IF($B99="","",ROW()-6)</f>
        <v/>
      </c>
      <c r="B99" s="19" t="str">
        <f aca="false">IFERROR(INDEX('Registro de Comisión'!$A$5:$A$304,MATCH(ROW()-21,'Registro de Comisión'!$P$5:$P$304,0)),"")</f>
        <v/>
      </c>
      <c r="C99" s="20" t="str">
        <f aca="false">IF($B99="","",TRIM(SUBSTITUTE(SUBSTITUTE(SUBSTITUTE(SUBSTITUTE(SUBSTITUTE(SUBSTITUTE(UPPER(IFERROR(INDEX('Registro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99" s="19" t="str">
        <f aca="false">IF($B99="","",TRIM(SUBSTITUTE(SUBSTITUTE(SUBSTITUTE(SUBSTITUTE(SUBSTITUTE(SUBSTITUTE(UPPER(IFERROR(INDEX('Registro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99" s="20" t="str">
        <f aca="false">IF($B99="","",TRIM(SUBSTITUTE(SUBSTITUTE(SUBSTITUTE(SUBSTITUTE(SUBSTITUTE(SUBSTITUTE(UPPER(IFERROR(INDEX('Registro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99" s="20" t="str">
        <f aca="false">IF($B99="","",TRIM(SUBSTITUTE(SUBSTITUTE(SUBSTITUTE(SUBSTITUTE(SUBSTITUTE(SUBSTITUTE(UPPER(IFERROR(INDEX('Registro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99" s="20" t="str">
        <f aca="false">IF($B99="","",TRIM(SUBSTITUTE(SUBSTITUTE(SUBSTITUTE(SUBSTITUTE(SUBSTITUTE(SUBSTITUTE(UPPER(IFERROR(INDEX('Registro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99" s="19" t="str">
        <f aca="false">IF($B99="","",TRIM(SUBSTITUTE(SUBSTITUTE(SUBSTITUTE(SUBSTITUTE(SUBSTITUTE(SUBSTITUTE(UPPER(IFERROR(INDEX('Registro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99" s="26" t="str">
        <f aca="false">IF($B99="","",IFERROR(INDEX('Registro de Comisión'!$H$5:$H$304,MATCH(ROW()-21,'Registro de Comisión'!$P$5:$P$304,0)),""))</f>
        <v/>
      </c>
      <c r="J99" s="20" t="str">
        <f aca="false">IF($B99="","",TRIM(SUBSTITUTE(SUBSTITUTE(SUBSTITUTE(SUBSTITUTE(SUBSTITUTE(SUBSTITUTE(UPPER(IFERROR(INDEX(tblPeriodos[Institución en el Período],MATCH($B99&amp;"-1",tblPeriodos[Clave (uso interno)],0)),"SIN PERIODO REGISTRADO")),"Á","A"),"É","E"),"Í","I"),"Ó","O"),"Ú","U"),"Ü","U")))</f>
        <v/>
      </c>
      <c r="K99" s="22" t="str">
        <f aca="false">IF($B99="","",IFERROR(_xlfn.MINIFS(tblPeriodos[Fecha Inicio del Período],tblPeriodos[Cédula],$B99),""))</f>
        <v/>
      </c>
      <c r="L99" s="22" t="str">
        <f aca="false">IF($B99="","",IFERROR(_xlfn.MAXIFS(tblPeriodos[Fecha Fin del Período],tblPeriodos[Cédula],$B99),""))</f>
        <v/>
      </c>
      <c r="M99" s="19" t="str">
        <f aca="false">IF($B99="","",COUNTIFS(tblPeriodos[Cédula],$B99))</f>
        <v/>
      </c>
      <c r="N99" s="23" t="str">
        <f aca="false">IF($B99="","",SUMIFS(tblPeriodos[Días del Período],tblPeriodos[Cédula],$B99))</f>
        <v/>
      </c>
      <c r="O99" s="24" t="str">
        <f aca="false">IF($B99="","",ROUND(N99/365.25,1))</f>
        <v/>
      </c>
      <c r="P99" s="22" t="str">
        <f aca="false">IF($B99="","",EDATE(K99,72))</f>
        <v/>
      </c>
      <c r="Q99" s="23" t="str">
        <f aca="true">IF($B99="","",P99-TODAY())</f>
        <v/>
      </c>
      <c r="R99" s="19" t="str">
        <f aca="false">IF($B99="","",IF(Q99&lt;=0,"🔴 SUPERO LIMITE LEGAL",IF(Q99&lt;=180,"🟠 PROXIMO AL LIMITE (6 ANOS)",IF(Q99&lt;=365,"🟡 VIGILAR (&lt; 1 ANO)","🟢 DENTRO DEL LIMITE"))))</f>
        <v/>
      </c>
      <c r="S99" s="23" t="str">
        <f aca="true">IF($B99="","",L99-TODAY())</f>
        <v/>
      </c>
      <c r="T99" s="19" t="str">
        <f aca="false">IF($B99="","",IF(S99&lt;0,"🔴 COMISION VENCIDA",IF(S99&lt;=90,"🟠 VENCE PRONTO (&lt;=90 DIAS)",IF(S99&lt;=180,"🟡 PROXIMA A VENCER (&lt;=180 DIAS)","🟢 VIGENTE"))))</f>
        <v/>
      </c>
      <c r="U99" s="19" t="str">
        <f aca="false">IF($B99="","",IF(ABS(N99-(L99-K99+1))&lt;=3,"CONTINUA","CON INTERRUPCIONES - REVISAR"))</f>
        <v/>
      </c>
      <c r="V99" s="20" t="str">
        <f aca="false">IF($B99="","",TRIM(SUBSTITUTE(SUBSTITUTE(SUBSTITUTE(SUBSTITUTE(SUBSTITUTE(SUBSTITUTE(UPPER(IFERROR(INDEX('Registro de Comisión'!$L$5:$L$304,MATCH($B99&amp;"-ACT",'Registro de Comisión'!$N$5:$N$304,0)),"SIN REGISTRAR")),"Á","A"),"É","E"),"Í","I"),"Ó","O"),"Ú","U"),"Ü","U")))</f>
        <v/>
      </c>
      <c r="W99" s="20"/>
    </row>
    <row r="100" customFormat="false" ht="15" hidden="false" customHeight="false" outlineLevel="0" collapsed="false">
      <c r="A100" s="13" t="str">
        <f aca="false">IF($B100="","",ROW()-6)</f>
        <v/>
      </c>
      <c r="B100" s="13" t="str">
        <f aca="false">IFERROR(INDEX('Registro de Comisión'!$A$5:$A$304,MATCH(ROW()-21,'Registro de Comisión'!$P$5:$P$304,0)),"")</f>
        <v/>
      </c>
      <c r="C100" s="14" t="str">
        <f aca="false">IF($B100="","",TRIM(SUBSTITUTE(SUBSTITUTE(SUBSTITUTE(SUBSTITUTE(SUBSTITUTE(SUBSTITUTE(UPPER(IFERROR(INDEX('Registro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0" s="13" t="str">
        <f aca="false">IF($B100="","",TRIM(SUBSTITUTE(SUBSTITUTE(SUBSTITUTE(SUBSTITUTE(SUBSTITUTE(SUBSTITUTE(UPPER(IFERROR(INDEX('Registro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0" s="14" t="str">
        <f aca="false">IF($B100="","",TRIM(SUBSTITUTE(SUBSTITUTE(SUBSTITUTE(SUBSTITUTE(SUBSTITUTE(SUBSTITUTE(UPPER(IFERROR(INDEX('Registro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0" s="14" t="str">
        <f aca="false">IF($B100="","",TRIM(SUBSTITUTE(SUBSTITUTE(SUBSTITUTE(SUBSTITUTE(SUBSTITUTE(SUBSTITUTE(UPPER(IFERROR(INDEX('Registro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0" s="14" t="str">
        <f aca="false">IF($B100="","",TRIM(SUBSTITUTE(SUBSTITUTE(SUBSTITUTE(SUBSTITUTE(SUBSTITUTE(SUBSTITUTE(UPPER(IFERROR(INDEX('Registro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0" s="13" t="str">
        <f aca="false">IF($B100="","",TRIM(SUBSTITUTE(SUBSTITUTE(SUBSTITUTE(SUBSTITUTE(SUBSTITUTE(SUBSTITUTE(UPPER(IFERROR(INDEX('Registro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0" s="25" t="str">
        <f aca="false">IF($B100="","",IFERROR(INDEX('Registro de Comisión'!$H$5:$H$304,MATCH(ROW()-21,'Registro de Comisión'!$P$5:$P$304,0)),""))</f>
        <v/>
      </c>
      <c r="J100" s="14" t="str">
        <f aca="false">IF($B100="","",TRIM(SUBSTITUTE(SUBSTITUTE(SUBSTITUTE(SUBSTITUTE(SUBSTITUTE(SUBSTITUTE(UPPER(IFERROR(INDEX(tblPeriodos[Institución en el Período],MATCH($B100&amp;"-1",tblPeriodos[Clave (uso interno)],0)),"SIN PERIODO REGISTRADO")),"Á","A"),"É","E"),"Í","I"),"Ó","O"),"Ú","U"),"Ü","U")))</f>
        <v/>
      </c>
      <c r="K100" s="16" t="str">
        <f aca="false">IF($B100="","",IFERROR(_xlfn.MINIFS(tblPeriodos[Fecha Inicio del Período],tblPeriodos[Cédula],$B100),""))</f>
        <v/>
      </c>
      <c r="L100" s="16" t="str">
        <f aca="false">IF($B100="","",IFERROR(_xlfn.MAXIFS(tblPeriodos[Fecha Fin del Período],tblPeriodos[Cédula],$B100),""))</f>
        <v/>
      </c>
      <c r="M100" s="13" t="str">
        <f aca="false">IF($B100="","",COUNTIFS(tblPeriodos[Cédula],$B100))</f>
        <v/>
      </c>
      <c r="N100" s="17" t="str">
        <f aca="false">IF($B100="","",SUMIFS(tblPeriodos[Días del Período],tblPeriodos[Cédula],$B100))</f>
        <v/>
      </c>
      <c r="O100" s="18" t="str">
        <f aca="false">IF($B100="","",ROUND(N100/365.25,1))</f>
        <v/>
      </c>
      <c r="P100" s="16" t="str">
        <f aca="false">IF($B100="","",EDATE(K100,72))</f>
        <v/>
      </c>
      <c r="Q100" s="17" t="str">
        <f aca="true">IF($B100="","",P100-TODAY())</f>
        <v/>
      </c>
      <c r="R100" s="13" t="str">
        <f aca="false">IF($B100="","",IF(Q100&lt;=0,"🔴 SUPERO LIMITE LEGAL",IF(Q100&lt;=180,"🟠 PROXIMO AL LIMITE (6 ANOS)",IF(Q100&lt;=365,"🟡 VIGILAR (&lt; 1 ANO)","🟢 DENTRO DEL LIMITE"))))</f>
        <v/>
      </c>
      <c r="S100" s="17" t="str">
        <f aca="true">IF($B100="","",L100-TODAY())</f>
        <v/>
      </c>
      <c r="T100" s="13" t="str">
        <f aca="false">IF($B100="","",IF(S100&lt;0,"🔴 COMISION VENCIDA",IF(S100&lt;=90,"🟠 VENCE PRONTO (&lt;=90 DIAS)",IF(S100&lt;=180,"🟡 PROXIMA A VENCER (&lt;=180 DIAS)","🟢 VIGENTE"))))</f>
        <v/>
      </c>
      <c r="U100" s="13" t="str">
        <f aca="false">IF($B100="","",IF(ABS(N100-(L100-K100+1))&lt;=3,"CONTINUA","CON INTERRUPCIONES - REVISAR"))</f>
        <v/>
      </c>
      <c r="V100" s="14" t="str">
        <f aca="false">IF($B100="","",TRIM(SUBSTITUTE(SUBSTITUTE(SUBSTITUTE(SUBSTITUTE(SUBSTITUTE(SUBSTITUTE(UPPER(IFERROR(INDEX('Registro de Comisión'!$L$5:$L$304,MATCH($B100&amp;"-ACT",'Registro de Comisión'!$N$5:$N$304,0)),"SIN REGISTRAR")),"Á","A"),"É","E"),"Í","I"),"Ó","O"),"Ú","U"),"Ü","U")))</f>
        <v/>
      </c>
      <c r="W100" s="14"/>
    </row>
    <row r="101" customFormat="false" ht="15" hidden="false" customHeight="false" outlineLevel="0" collapsed="false">
      <c r="A101" s="19" t="str">
        <f aca="false">IF($B101="","",ROW()-6)</f>
        <v/>
      </c>
      <c r="B101" s="19" t="str">
        <f aca="false">IFERROR(INDEX('Registro de Comisión'!$A$5:$A$304,MATCH(ROW()-21,'Registro de Comisión'!$P$5:$P$304,0)),"")</f>
        <v/>
      </c>
      <c r="C101" s="20" t="str">
        <f aca="false">IF($B101="","",TRIM(SUBSTITUTE(SUBSTITUTE(SUBSTITUTE(SUBSTITUTE(SUBSTITUTE(SUBSTITUTE(UPPER(IFERROR(INDEX('Registro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1" s="19" t="str">
        <f aca="false">IF($B101="","",TRIM(SUBSTITUTE(SUBSTITUTE(SUBSTITUTE(SUBSTITUTE(SUBSTITUTE(SUBSTITUTE(UPPER(IFERROR(INDEX('Registro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1" s="20" t="str">
        <f aca="false">IF($B101="","",TRIM(SUBSTITUTE(SUBSTITUTE(SUBSTITUTE(SUBSTITUTE(SUBSTITUTE(SUBSTITUTE(UPPER(IFERROR(INDEX('Registro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1" s="20" t="str">
        <f aca="false">IF($B101="","",TRIM(SUBSTITUTE(SUBSTITUTE(SUBSTITUTE(SUBSTITUTE(SUBSTITUTE(SUBSTITUTE(UPPER(IFERROR(INDEX('Registro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1" s="20" t="str">
        <f aca="false">IF($B101="","",TRIM(SUBSTITUTE(SUBSTITUTE(SUBSTITUTE(SUBSTITUTE(SUBSTITUTE(SUBSTITUTE(UPPER(IFERROR(INDEX('Registro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1" s="19" t="str">
        <f aca="false">IF($B101="","",TRIM(SUBSTITUTE(SUBSTITUTE(SUBSTITUTE(SUBSTITUTE(SUBSTITUTE(SUBSTITUTE(UPPER(IFERROR(INDEX('Registro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1" s="26" t="str">
        <f aca="false">IF($B101="","",IFERROR(INDEX('Registro de Comisión'!$H$5:$H$304,MATCH(ROW()-21,'Registro de Comisión'!$P$5:$P$304,0)),""))</f>
        <v/>
      </c>
      <c r="J101" s="20" t="str">
        <f aca="false">IF($B101="","",TRIM(SUBSTITUTE(SUBSTITUTE(SUBSTITUTE(SUBSTITUTE(SUBSTITUTE(SUBSTITUTE(UPPER(IFERROR(INDEX(tblPeriodos[Institución en el Período],MATCH($B101&amp;"-1",tblPeriodos[Clave (uso interno)],0)),"SIN PERIODO REGISTRADO")),"Á","A"),"É","E"),"Í","I"),"Ó","O"),"Ú","U"),"Ü","U")))</f>
        <v/>
      </c>
      <c r="K101" s="22" t="str">
        <f aca="false">IF($B101="","",IFERROR(_xlfn.MINIFS(tblPeriodos[Fecha Inicio del Período],tblPeriodos[Cédula],$B101),""))</f>
        <v/>
      </c>
      <c r="L101" s="22" t="str">
        <f aca="false">IF($B101="","",IFERROR(_xlfn.MAXIFS(tblPeriodos[Fecha Fin del Período],tblPeriodos[Cédula],$B101),""))</f>
        <v/>
      </c>
      <c r="M101" s="19" t="str">
        <f aca="false">IF($B101="","",COUNTIFS(tblPeriodos[Cédula],$B101))</f>
        <v/>
      </c>
      <c r="N101" s="23" t="str">
        <f aca="false">IF($B101="","",SUMIFS(tblPeriodos[Días del Período],tblPeriodos[Cédula],$B101))</f>
        <v/>
      </c>
      <c r="O101" s="24" t="str">
        <f aca="false">IF($B101="","",ROUND(N101/365.25,1))</f>
        <v/>
      </c>
      <c r="P101" s="22" t="str">
        <f aca="false">IF($B101="","",EDATE(K101,72))</f>
        <v/>
      </c>
      <c r="Q101" s="23" t="str">
        <f aca="true">IF($B101="","",P101-TODAY())</f>
        <v/>
      </c>
      <c r="R101" s="19" t="str">
        <f aca="false">IF($B101="","",IF(Q101&lt;=0,"🔴 SUPERO LIMITE LEGAL",IF(Q101&lt;=180,"🟠 PROXIMO AL LIMITE (6 ANOS)",IF(Q101&lt;=365,"🟡 VIGILAR (&lt; 1 ANO)","🟢 DENTRO DEL LIMITE"))))</f>
        <v/>
      </c>
      <c r="S101" s="23" t="str">
        <f aca="true">IF($B101="","",L101-TODAY())</f>
        <v/>
      </c>
      <c r="T101" s="19" t="str">
        <f aca="false">IF($B101="","",IF(S101&lt;0,"🔴 COMISION VENCIDA",IF(S101&lt;=90,"🟠 VENCE PRONTO (&lt;=90 DIAS)",IF(S101&lt;=180,"🟡 PROXIMA A VENCER (&lt;=180 DIAS)","🟢 VIGENTE"))))</f>
        <v/>
      </c>
      <c r="U101" s="19" t="str">
        <f aca="false">IF($B101="","",IF(ABS(N101-(L101-K101+1))&lt;=3,"CONTINUA","CON INTERRUPCIONES - REVISAR"))</f>
        <v/>
      </c>
      <c r="V101" s="20" t="str">
        <f aca="false">IF($B101="","",TRIM(SUBSTITUTE(SUBSTITUTE(SUBSTITUTE(SUBSTITUTE(SUBSTITUTE(SUBSTITUTE(UPPER(IFERROR(INDEX('Registro de Comisión'!$L$5:$L$304,MATCH($B101&amp;"-ACT",'Registro de Comisión'!$N$5:$N$304,0)),"SIN REGISTRAR")),"Á","A"),"É","E"),"Í","I"),"Ó","O"),"Ú","U"),"Ü","U")))</f>
        <v/>
      </c>
      <c r="W101" s="20"/>
    </row>
    <row r="102" customFormat="false" ht="15" hidden="false" customHeight="false" outlineLevel="0" collapsed="false">
      <c r="A102" s="13" t="str">
        <f aca="false">IF($B102="","",ROW()-6)</f>
        <v/>
      </c>
      <c r="B102" s="13" t="str">
        <f aca="false">IFERROR(INDEX('Registro de Comisión'!$A$5:$A$304,MATCH(ROW()-21,'Registro de Comisión'!$P$5:$P$304,0)),"")</f>
        <v/>
      </c>
      <c r="C102" s="14" t="str">
        <f aca="false">IF($B102="","",TRIM(SUBSTITUTE(SUBSTITUTE(SUBSTITUTE(SUBSTITUTE(SUBSTITUTE(SUBSTITUTE(UPPER(IFERROR(INDEX('Registro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2" s="13" t="str">
        <f aca="false">IF($B102="","",TRIM(SUBSTITUTE(SUBSTITUTE(SUBSTITUTE(SUBSTITUTE(SUBSTITUTE(SUBSTITUTE(UPPER(IFERROR(INDEX('Registro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2" s="14" t="str">
        <f aca="false">IF($B102="","",TRIM(SUBSTITUTE(SUBSTITUTE(SUBSTITUTE(SUBSTITUTE(SUBSTITUTE(SUBSTITUTE(UPPER(IFERROR(INDEX('Registro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2" s="14" t="str">
        <f aca="false">IF($B102="","",TRIM(SUBSTITUTE(SUBSTITUTE(SUBSTITUTE(SUBSTITUTE(SUBSTITUTE(SUBSTITUTE(UPPER(IFERROR(INDEX('Registro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2" s="14" t="str">
        <f aca="false">IF($B102="","",TRIM(SUBSTITUTE(SUBSTITUTE(SUBSTITUTE(SUBSTITUTE(SUBSTITUTE(SUBSTITUTE(UPPER(IFERROR(INDEX('Registro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2" s="13" t="str">
        <f aca="false">IF($B102="","",TRIM(SUBSTITUTE(SUBSTITUTE(SUBSTITUTE(SUBSTITUTE(SUBSTITUTE(SUBSTITUTE(UPPER(IFERROR(INDEX('Registro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2" s="25" t="str">
        <f aca="false">IF($B102="","",IFERROR(INDEX('Registro de Comisión'!$H$5:$H$304,MATCH(ROW()-21,'Registro de Comisión'!$P$5:$P$304,0)),""))</f>
        <v/>
      </c>
      <c r="J102" s="14" t="str">
        <f aca="false">IF($B102="","",TRIM(SUBSTITUTE(SUBSTITUTE(SUBSTITUTE(SUBSTITUTE(SUBSTITUTE(SUBSTITUTE(UPPER(IFERROR(INDEX(tblPeriodos[Institución en el Período],MATCH($B102&amp;"-1",tblPeriodos[Clave (uso interno)],0)),"SIN PERIODO REGISTRADO")),"Á","A"),"É","E"),"Í","I"),"Ó","O"),"Ú","U"),"Ü","U")))</f>
        <v/>
      </c>
      <c r="K102" s="16" t="str">
        <f aca="false">IF($B102="","",IFERROR(_xlfn.MINIFS(tblPeriodos[Fecha Inicio del Período],tblPeriodos[Cédula],$B102),""))</f>
        <v/>
      </c>
      <c r="L102" s="16" t="str">
        <f aca="false">IF($B102="","",IFERROR(_xlfn.MAXIFS(tblPeriodos[Fecha Fin del Período],tblPeriodos[Cédula],$B102),""))</f>
        <v/>
      </c>
      <c r="M102" s="13" t="str">
        <f aca="false">IF($B102="","",COUNTIFS(tblPeriodos[Cédula],$B102))</f>
        <v/>
      </c>
      <c r="N102" s="17" t="str">
        <f aca="false">IF($B102="","",SUMIFS(tblPeriodos[Días del Período],tblPeriodos[Cédula],$B102))</f>
        <v/>
      </c>
      <c r="O102" s="18" t="str">
        <f aca="false">IF($B102="","",ROUND(N102/365.25,1))</f>
        <v/>
      </c>
      <c r="P102" s="16" t="str">
        <f aca="false">IF($B102="","",EDATE(K102,72))</f>
        <v/>
      </c>
      <c r="Q102" s="17" t="str">
        <f aca="true">IF($B102="","",P102-TODAY())</f>
        <v/>
      </c>
      <c r="R102" s="13" t="str">
        <f aca="false">IF($B102="","",IF(Q102&lt;=0,"🔴 SUPERO LIMITE LEGAL",IF(Q102&lt;=180,"🟠 PROXIMO AL LIMITE (6 ANOS)",IF(Q102&lt;=365,"🟡 VIGILAR (&lt; 1 ANO)","🟢 DENTRO DEL LIMITE"))))</f>
        <v/>
      </c>
      <c r="S102" s="17" t="str">
        <f aca="true">IF($B102="","",L102-TODAY())</f>
        <v/>
      </c>
      <c r="T102" s="13" t="str">
        <f aca="false">IF($B102="","",IF(S102&lt;0,"🔴 COMISION VENCIDA",IF(S102&lt;=90,"🟠 VENCE PRONTO (&lt;=90 DIAS)",IF(S102&lt;=180,"🟡 PROXIMA A VENCER (&lt;=180 DIAS)","🟢 VIGENTE"))))</f>
        <v/>
      </c>
      <c r="U102" s="13" t="str">
        <f aca="false">IF($B102="","",IF(ABS(N102-(L102-K102+1))&lt;=3,"CONTINUA","CON INTERRUPCIONES - REVISAR"))</f>
        <v/>
      </c>
      <c r="V102" s="14" t="str">
        <f aca="false">IF($B102="","",TRIM(SUBSTITUTE(SUBSTITUTE(SUBSTITUTE(SUBSTITUTE(SUBSTITUTE(SUBSTITUTE(UPPER(IFERROR(INDEX('Registro de Comisión'!$L$5:$L$304,MATCH($B102&amp;"-ACT",'Registro de Comisión'!$N$5:$N$304,0)),"SIN REGISTRAR")),"Á","A"),"É","E"),"Í","I"),"Ó","O"),"Ú","U"),"Ü","U")))</f>
        <v/>
      </c>
      <c r="W102" s="14"/>
    </row>
    <row r="103" customFormat="false" ht="15" hidden="false" customHeight="false" outlineLevel="0" collapsed="false">
      <c r="A103" s="19" t="str">
        <f aca="false">IF($B103="","",ROW()-6)</f>
        <v/>
      </c>
      <c r="B103" s="19" t="str">
        <f aca="false">IFERROR(INDEX('Registro de Comisión'!$A$5:$A$304,MATCH(ROW()-21,'Registro de Comisión'!$P$5:$P$304,0)),"")</f>
        <v/>
      </c>
      <c r="C103" s="20" t="str">
        <f aca="false">IF($B103="","",TRIM(SUBSTITUTE(SUBSTITUTE(SUBSTITUTE(SUBSTITUTE(SUBSTITUTE(SUBSTITUTE(UPPER(IFERROR(INDEX('Registro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3" s="19" t="str">
        <f aca="false">IF($B103="","",TRIM(SUBSTITUTE(SUBSTITUTE(SUBSTITUTE(SUBSTITUTE(SUBSTITUTE(SUBSTITUTE(UPPER(IFERROR(INDEX('Registro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3" s="20" t="str">
        <f aca="false">IF($B103="","",TRIM(SUBSTITUTE(SUBSTITUTE(SUBSTITUTE(SUBSTITUTE(SUBSTITUTE(SUBSTITUTE(UPPER(IFERROR(INDEX('Registro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3" s="20" t="str">
        <f aca="false">IF($B103="","",TRIM(SUBSTITUTE(SUBSTITUTE(SUBSTITUTE(SUBSTITUTE(SUBSTITUTE(SUBSTITUTE(UPPER(IFERROR(INDEX('Registro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3" s="20" t="str">
        <f aca="false">IF($B103="","",TRIM(SUBSTITUTE(SUBSTITUTE(SUBSTITUTE(SUBSTITUTE(SUBSTITUTE(SUBSTITUTE(UPPER(IFERROR(INDEX('Registro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3" s="19" t="str">
        <f aca="false">IF($B103="","",TRIM(SUBSTITUTE(SUBSTITUTE(SUBSTITUTE(SUBSTITUTE(SUBSTITUTE(SUBSTITUTE(UPPER(IFERROR(INDEX('Registro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3" s="26" t="str">
        <f aca="false">IF($B103="","",IFERROR(INDEX('Registro de Comisión'!$H$5:$H$304,MATCH(ROW()-21,'Registro de Comisión'!$P$5:$P$304,0)),""))</f>
        <v/>
      </c>
      <c r="J103" s="20" t="str">
        <f aca="false">IF($B103="","",TRIM(SUBSTITUTE(SUBSTITUTE(SUBSTITUTE(SUBSTITUTE(SUBSTITUTE(SUBSTITUTE(UPPER(IFERROR(INDEX(tblPeriodos[Institución en el Período],MATCH($B103&amp;"-1",tblPeriodos[Clave (uso interno)],0)),"SIN PERIODO REGISTRADO")),"Á","A"),"É","E"),"Í","I"),"Ó","O"),"Ú","U"),"Ü","U")))</f>
        <v/>
      </c>
      <c r="K103" s="22" t="str">
        <f aca="false">IF($B103="","",IFERROR(_xlfn.MINIFS(tblPeriodos[Fecha Inicio del Período],tblPeriodos[Cédula],$B103),""))</f>
        <v/>
      </c>
      <c r="L103" s="22" t="str">
        <f aca="false">IF($B103="","",IFERROR(_xlfn.MAXIFS(tblPeriodos[Fecha Fin del Período],tblPeriodos[Cédula],$B103),""))</f>
        <v/>
      </c>
      <c r="M103" s="19" t="str">
        <f aca="false">IF($B103="","",COUNTIFS(tblPeriodos[Cédula],$B103))</f>
        <v/>
      </c>
      <c r="N103" s="23" t="str">
        <f aca="false">IF($B103="","",SUMIFS(tblPeriodos[Días del Período],tblPeriodos[Cédula],$B103))</f>
        <v/>
      </c>
      <c r="O103" s="24" t="str">
        <f aca="false">IF($B103="","",ROUND(N103/365.25,1))</f>
        <v/>
      </c>
      <c r="P103" s="22" t="str">
        <f aca="false">IF($B103="","",EDATE(K103,72))</f>
        <v/>
      </c>
      <c r="Q103" s="23" t="str">
        <f aca="true">IF($B103="","",P103-TODAY())</f>
        <v/>
      </c>
      <c r="R103" s="19" t="str">
        <f aca="false">IF($B103="","",IF(Q103&lt;=0,"🔴 SUPERO LIMITE LEGAL",IF(Q103&lt;=180,"🟠 PROXIMO AL LIMITE (6 ANOS)",IF(Q103&lt;=365,"🟡 VIGILAR (&lt; 1 ANO)","🟢 DENTRO DEL LIMITE"))))</f>
        <v/>
      </c>
      <c r="S103" s="23" t="str">
        <f aca="true">IF($B103="","",L103-TODAY())</f>
        <v/>
      </c>
      <c r="T103" s="19" t="str">
        <f aca="false">IF($B103="","",IF(S103&lt;0,"🔴 COMISION VENCIDA",IF(S103&lt;=90,"🟠 VENCE PRONTO (&lt;=90 DIAS)",IF(S103&lt;=180,"🟡 PROXIMA A VENCER (&lt;=180 DIAS)","🟢 VIGENTE"))))</f>
        <v/>
      </c>
      <c r="U103" s="19" t="str">
        <f aca="false">IF($B103="","",IF(ABS(N103-(L103-K103+1))&lt;=3,"CONTINUA","CON INTERRUPCIONES - REVISAR"))</f>
        <v/>
      </c>
      <c r="V103" s="20" t="str">
        <f aca="false">IF($B103="","",TRIM(SUBSTITUTE(SUBSTITUTE(SUBSTITUTE(SUBSTITUTE(SUBSTITUTE(SUBSTITUTE(UPPER(IFERROR(INDEX('Registro de Comisión'!$L$5:$L$304,MATCH($B103&amp;"-ACT",'Registro de Comisión'!$N$5:$N$304,0)),"SIN REGISTRAR")),"Á","A"),"É","E"),"Í","I"),"Ó","O"),"Ú","U"),"Ü","U")))</f>
        <v/>
      </c>
      <c r="W103" s="20"/>
    </row>
    <row r="104" customFormat="false" ht="15" hidden="false" customHeight="false" outlineLevel="0" collapsed="false">
      <c r="A104" s="13" t="str">
        <f aca="false">IF($B104="","",ROW()-6)</f>
        <v/>
      </c>
      <c r="B104" s="13" t="str">
        <f aca="false">IFERROR(INDEX('Registro de Comisión'!$A$5:$A$304,MATCH(ROW()-21,'Registro de Comisión'!$P$5:$P$304,0)),"")</f>
        <v/>
      </c>
      <c r="C104" s="14" t="str">
        <f aca="false">IF($B104="","",TRIM(SUBSTITUTE(SUBSTITUTE(SUBSTITUTE(SUBSTITUTE(SUBSTITUTE(SUBSTITUTE(UPPER(IFERROR(INDEX('Registro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4" s="13" t="str">
        <f aca="false">IF($B104="","",TRIM(SUBSTITUTE(SUBSTITUTE(SUBSTITUTE(SUBSTITUTE(SUBSTITUTE(SUBSTITUTE(UPPER(IFERROR(INDEX('Registro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4" s="14" t="str">
        <f aca="false">IF($B104="","",TRIM(SUBSTITUTE(SUBSTITUTE(SUBSTITUTE(SUBSTITUTE(SUBSTITUTE(SUBSTITUTE(UPPER(IFERROR(INDEX('Registro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4" s="14" t="str">
        <f aca="false">IF($B104="","",TRIM(SUBSTITUTE(SUBSTITUTE(SUBSTITUTE(SUBSTITUTE(SUBSTITUTE(SUBSTITUTE(UPPER(IFERROR(INDEX('Registro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4" s="14" t="str">
        <f aca="false">IF($B104="","",TRIM(SUBSTITUTE(SUBSTITUTE(SUBSTITUTE(SUBSTITUTE(SUBSTITUTE(SUBSTITUTE(UPPER(IFERROR(INDEX('Registro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4" s="13" t="str">
        <f aca="false">IF($B104="","",TRIM(SUBSTITUTE(SUBSTITUTE(SUBSTITUTE(SUBSTITUTE(SUBSTITUTE(SUBSTITUTE(UPPER(IFERROR(INDEX('Registro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4" s="25" t="str">
        <f aca="false">IF($B104="","",IFERROR(INDEX('Registro de Comisión'!$H$5:$H$304,MATCH(ROW()-21,'Registro de Comisión'!$P$5:$P$304,0)),""))</f>
        <v/>
      </c>
      <c r="J104" s="14" t="str">
        <f aca="false">IF($B104="","",TRIM(SUBSTITUTE(SUBSTITUTE(SUBSTITUTE(SUBSTITUTE(SUBSTITUTE(SUBSTITUTE(UPPER(IFERROR(INDEX(tblPeriodos[Institución en el Período],MATCH($B104&amp;"-1",tblPeriodos[Clave (uso interno)],0)),"SIN PERIODO REGISTRADO")),"Á","A"),"É","E"),"Í","I"),"Ó","O"),"Ú","U"),"Ü","U")))</f>
        <v/>
      </c>
      <c r="K104" s="16" t="str">
        <f aca="false">IF($B104="","",IFERROR(_xlfn.MINIFS(tblPeriodos[Fecha Inicio del Período],tblPeriodos[Cédula],$B104),""))</f>
        <v/>
      </c>
      <c r="L104" s="16" t="str">
        <f aca="false">IF($B104="","",IFERROR(_xlfn.MAXIFS(tblPeriodos[Fecha Fin del Período],tblPeriodos[Cédula],$B104),""))</f>
        <v/>
      </c>
      <c r="M104" s="13" t="str">
        <f aca="false">IF($B104="","",COUNTIFS(tblPeriodos[Cédula],$B104))</f>
        <v/>
      </c>
      <c r="N104" s="17" t="str">
        <f aca="false">IF($B104="","",SUMIFS(tblPeriodos[Días del Período],tblPeriodos[Cédula],$B104))</f>
        <v/>
      </c>
      <c r="O104" s="18" t="str">
        <f aca="false">IF($B104="","",ROUND(N104/365.25,1))</f>
        <v/>
      </c>
      <c r="P104" s="16" t="str">
        <f aca="false">IF($B104="","",EDATE(K104,72))</f>
        <v/>
      </c>
      <c r="Q104" s="17" t="str">
        <f aca="true">IF($B104="","",P104-TODAY())</f>
        <v/>
      </c>
      <c r="R104" s="13" t="str">
        <f aca="false">IF($B104="","",IF(Q104&lt;=0,"🔴 SUPERO LIMITE LEGAL",IF(Q104&lt;=180,"🟠 PROXIMO AL LIMITE (6 ANOS)",IF(Q104&lt;=365,"🟡 VIGILAR (&lt; 1 ANO)","🟢 DENTRO DEL LIMITE"))))</f>
        <v/>
      </c>
      <c r="S104" s="17" t="str">
        <f aca="true">IF($B104="","",L104-TODAY())</f>
        <v/>
      </c>
      <c r="T104" s="13" t="str">
        <f aca="false">IF($B104="","",IF(S104&lt;0,"🔴 COMISION VENCIDA",IF(S104&lt;=90,"🟠 VENCE PRONTO (&lt;=90 DIAS)",IF(S104&lt;=180,"🟡 PROXIMA A VENCER (&lt;=180 DIAS)","🟢 VIGENTE"))))</f>
        <v/>
      </c>
      <c r="U104" s="13" t="str">
        <f aca="false">IF($B104="","",IF(ABS(N104-(L104-K104+1))&lt;=3,"CONTINUA","CON INTERRUPCIONES - REVISAR"))</f>
        <v/>
      </c>
      <c r="V104" s="14" t="str">
        <f aca="false">IF($B104="","",TRIM(SUBSTITUTE(SUBSTITUTE(SUBSTITUTE(SUBSTITUTE(SUBSTITUTE(SUBSTITUTE(UPPER(IFERROR(INDEX('Registro de Comisión'!$L$5:$L$304,MATCH($B104&amp;"-ACT",'Registro de Comisión'!$N$5:$N$304,0)),"SIN REGISTRAR")),"Á","A"),"É","E"),"Í","I"),"Ó","O"),"Ú","U"),"Ü","U")))</f>
        <v/>
      </c>
      <c r="W104" s="14"/>
    </row>
    <row r="105" customFormat="false" ht="15" hidden="false" customHeight="false" outlineLevel="0" collapsed="false">
      <c r="A105" s="19" t="str">
        <f aca="false">IF($B105="","",ROW()-6)</f>
        <v/>
      </c>
      <c r="B105" s="19" t="str">
        <f aca="false">IFERROR(INDEX('Registro de Comisión'!$A$5:$A$304,MATCH(ROW()-21,'Registro de Comisión'!$P$5:$P$304,0)),"")</f>
        <v/>
      </c>
      <c r="C105" s="20" t="str">
        <f aca="false">IF($B105="","",TRIM(SUBSTITUTE(SUBSTITUTE(SUBSTITUTE(SUBSTITUTE(SUBSTITUTE(SUBSTITUTE(UPPER(IFERROR(INDEX('Registro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5" s="19" t="str">
        <f aca="false">IF($B105="","",TRIM(SUBSTITUTE(SUBSTITUTE(SUBSTITUTE(SUBSTITUTE(SUBSTITUTE(SUBSTITUTE(UPPER(IFERROR(INDEX('Registro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5" s="20" t="str">
        <f aca="false">IF($B105="","",TRIM(SUBSTITUTE(SUBSTITUTE(SUBSTITUTE(SUBSTITUTE(SUBSTITUTE(SUBSTITUTE(UPPER(IFERROR(INDEX('Registro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5" s="20" t="str">
        <f aca="false">IF($B105="","",TRIM(SUBSTITUTE(SUBSTITUTE(SUBSTITUTE(SUBSTITUTE(SUBSTITUTE(SUBSTITUTE(UPPER(IFERROR(INDEX('Registro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5" s="20" t="str">
        <f aca="false">IF($B105="","",TRIM(SUBSTITUTE(SUBSTITUTE(SUBSTITUTE(SUBSTITUTE(SUBSTITUTE(SUBSTITUTE(UPPER(IFERROR(INDEX('Registro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5" s="19" t="str">
        <f aca="false">IF($B105="","",TRIM(SUBSTITUTE(SUBSTITUTE(SUBSTITUTE(SUBSTITUTE(SUBSTITUTE(SUBSTITUTE(UPPER(IFERROR(INDEX('Registro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5" s="26" t="str">
        <f aca="false">IF($B105="","",IFERROR(INDEX('Registro de Comisión'!$H$5:$H$304,MATCH(ROW()-21,'Registro de Comisión'!$P$5:$P$304,0)),""))</f>
        <v/>
      </c>
      <c r="J105" s="20" t="str">
        <f aca="false">IF($B105="","",TRIM(SUBSTITUTE(SUBSTITUTE(SUBSTITUTE(SUBSTITUTE(SUBSTITUTE(SUBSTITUTE(UPPER(IFERROR(INDEX(tblPeriodos[Institución en el Período],MATCH($B105&amp;"-1",tblPeriodos[Clave (uso interno)],0)),"SIN PERIODO REGISTRADO")),"Á","A"),"É","E"),"Í","I"),"Ó","O"),"Ú","U"),"Ü","U")))</f>
        <v/>
      </c>
      <c r="K105" s="22" t="str">
        <f aca="false">IF($B105="","",IFERROR(_xlfn.MINIFS(tblPeriodos[Fecha Inicio del Período],tblPeriodos[Cédula],$B105),""))</f>
        <v/>
      </c>
      <c r="L105" s="22" t="str">
        <f aca="false">IF($B105="","",IFERROR(_xlfn.MAXIFS(tblPeriodos[Fecha Fin del Período],tblPeriodos[Cédula],$B105),""))</f>
        <v/>
      </c>
      <c r="M105" s="19" t="str">
        <f aca="false">IF($B105="","",COUNTIFS(tblPeriodos[Cédula],$B105))</f>
        <v/>
      </c>
      <c r="N105" s="23" t="str">
        <f aca="false">IF($B105="","",SUMIFS(tblPeriodos[Días del Período],tblPeriodos[Cédula],$B105))</f>
        <v/>
      </c>
      <c r="O105" s="24" t="str">
        <f aca="false">IF($B105="","",ROUND(N105/365.25,1))</f>
        <v/>
      </c>
      <c r="P105" s="22" t="str">
        <f aca="false">IF($B105="","",EDATE(K105,72))</f>
        <v/>
      </c>
      <c r="Q105" s="23" t="str">
        <f aca="true">IF($B105="","",P105-TODAY())</f>
        <v/>
      </c>
      <c r="R105" s="19" t="str">
        <f aca="false">IF($B105="","",IF(Q105&lt;=0,"🔴 SUPERO LIMITE LEGAL",IF(Q105&lt;=180,"🟠 PROXIMO AL LIMITE (6 ANOS)",IF(Q105&lt;=365,"🟡 VIGILAR (&lt; 1 ANO)","🟢 DENTRO DEL LIMITE"))))</f>
        <v/>
      </c>
      <c r="S105" s="23" t="str">
        <f aca="true">IF($B105="","",L105-TODAY())</f>
        <v/>
      </c>
      <c r="T105" s="19" t="str">
        <f aca="false">IF($B105="","",IF(S105&lt;0,"🔴 COMISION VENCIDA",IF(S105&lt;=90,"🟠 VENCE PRONTO (&lt;=90 DIAS)",IF(S105&lt;=180,"🟡 PROXIMA A VENCER (&lt;=180 DIAS)","🟢 VIGENTE"))))</f>
        <v/>
      </c>
      <c r="U105" s="19" t="str">
        <f aca="false">IF($B105="","",IF(ABS(N105-(L105-K105+1))&lt;=3,"CONTINUA","CON INTERRUPCIONES - REVISAR"))</f>
        <v/>
      </c>
      <c r="V105" s="20" t="str">
        <f aca="false">IF($B105="","",TRIM(SUBSTITUTE(SUBSTITUTE(SUBSTITUTE(SUBSTITUTE(SUBSTITUTE(SUBSTITUTE(UPPER(IFERROR(INDEX('Registro de Comisión'!$L$5:$L$304,MATCH($B105&amp;"-ACT",'Registro de Comisión'!$N$5:$N$304,0)),"SIN REGISTRAR")),"Á","A"),"É","E"),"Í","I"),"Ó","O"),"Ú","U"),"Ü","U")))</f>
        <v/>
      </c>
      <c r="W105" s="20"/>
    </row>
    <row r="106" customFormat="false" ht="15" hidden="false" customHeight="false" outlineLevel="0" collapsed="false">
      <c r="A106" s="13" t="str">
        <f aca="false">IF($B106="","",ROW()-6)</f>
        <v/>
      </c>
      <c r="B106" s="13" t="str">
        <f aca="false">IFERROR(INDEX('Registro de Comisión'!$A$5:$A$304,MATCH(ROW()-21,'Registro de Comisión'!$P$5:$P$304,0)),"")</f>
        <v/>
      </c>
      <c r="C106" s="14" t="str">
        <f aca="false">IF($B106="","",TRIM(SUBSTITUTE(SUBSTITUTE(SUBSTITUTE(SUBSTITUTE(SUBSTITUTE(SUBSTITUTE(UPPER(IFERROR(INDEX('Registro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6" s="13" t="str">
        <f aca="false">IF($B106="","",TRIM(SUBSTITUTE(SUBSTITUTE(SUBSTITUTE(SUBSTITUTE(SUBSTITUTE(SUBSTITUTE(UPPER(IFERROR(INDEX('Registro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6" s="14" t="str">
        <f aca="false">IF($B106="","",TRIM(SUBSTITUTE(SUBSTITUTE(SUBSTITUTE(SUBSTITUTE(SUBSTITUTE(SUBSTITUTE(UPPER(IFERROR(INDEX('Registro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6" s="14" t="str">
        <f aca="false">IF($B106="","",TRIM(SUBSTITUTE(SUBSTITUTE(SUBSTITUTE(SUBSTITUTE(SUBSTITUTE(SUBSTITUTE(UPPER(IFERROR(INDEX('Registro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6" s="14" t="str">
        <f aca="false">IF($B106="","",TRIM(SUBSTITUTE(SUBSTITUTE(SUBSTITUTE(SUBSTITUTE(SUBSTITUTE(SUBSTITUTE(UPPER(IFERROR(INDEX('Registro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6" s="13" t="str">
        <f aca="false">IF($B106="","",TRIM(SUBSTITUTE(SUBSTITUTE(SUBSTITUTE(SUBSTITUTE(SUBSTITUTE(SUBSTITUTE(UPPER(IFERROR(INDEX('Registro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6" s="25" t="str">
        <f aca="false">IF($B106="","",IFERROR(INDEX('Registro de Comisión'!$H$5:$H$304,MATCH(ROW()-21,'Registro de Comisión'!$P$5:$P$304,0)),""))</f>
        <v/>
      </c>
      <c r="J106" s="14" t="str">
        <f aca="false">IF($B106="","",TRIM(SUBSTITUTE(SUBSTITUTE(SUBSTITUTE(SUBSTITUTE(SUBSTITUTE(SUBSTITUTE(UPPER(IFERROR(INDEX(tblPeriodos[Institución en el Período],MATCH($B106&amp;"-1",tblPeriodos[Clave (uso interno)],0)),"SIN PERIODO REGISTRADO")),"Á","A"),"É","E"),"Í","I"),"Ó","O"),"Ú","U"),"Ü","U")))</f>
        <v/>
      </c>
      <c r="K106" s="16" t="str">
        <f aca="false">IF($B106="","",IFERROR(_xlfn.MINIFS(tblPeriodos[Fecha Inicio del Período],tblPeriodos[Cédula],$B106),""))</f>
        <v/>
      </c>
      <c r="L106" s="16" t="str">
        <f aca="false">IF($B106="","",IFERROR(_xlfn.MAXIFS(tblPeriodos[Fecha Fin del Período],tblPeriodos[Cédula],$B106),""))</f>
        <v/>
      </c>
      <c r="M106" s="13" t="str">
        <f aca="false">IF($B106="","",COUNTIFS(tblPeriodos[Cédula],$B106))</f>
        <v/>
      </c>
      <c r="N106" s="17" t="str">
        <f aca="false">IF($B106="","",SUMIFS(tblPeriodos[Días del Período],tblPeriodos[Cédula],$B106))</f>
        <v/>
      </c>
      <c r="O106" s="18" t="str">
        <f aca="false">IF($B106="","",ROUND(N106/365.25,1))</f>
        <v/>
      </c>
      <c r="P106" s="16" t="str">
        <f aca="false">IF($B106="","",EDATE(K106,72))</f>
        <v/>
      </c>
      <c r="Q106" s="17" t="str">
        <f aca="true">IF($B106="","",P106-TODAY())</f>
        <v/>
      </c>
      <c r="R106" s="13" t="str">
        <f aca="false">IF($B106="","",IF(Q106&lt;=0,"🔴 SUPERO LIMITE LEGAL",IF(Q106&lt;=180,"🟠 PROXIMO AL LIMITE (6 ANOS)",IF(Q106&lt;=365,"🟡 VIGILAR (&lt; 1 ANO)","🟢 DENTRO DEL LIMITE"))))</f>
        <v/>
      </c>
      <c r="S106" s="17" t="str">
        <f aca="true">IF($B106="","",L106-TODAY())</f>
        <v/>
      </c>
      <c r="T106" s="13" t="str">
        <f aca="false">IF($B106="","",IF(S106&lt;0,"🔴 COMISION VENCIDA",IF(S106&lt;=90,"🟠 VENCE PRONTO (&lt;=90 DIAS)",IF(S106&lt;=180,"🟡 PROXIMA A VENCER (&lt;=180 DIAS)","🟢 VIGENTE"))))</f>
        <v/>
      </c>
      <c r="U106" s="13" t="str">
        <f aca="false">IF($B106="","",IF(ABS(N106-(L106-K106+1))&lt;=3,"CONTINUA","CON INTERRUPCIONES - REVISAR"))</f>
        <v/>
      </c>
      <c r="V106" s="14" t="str">
        <f aca="false">IF($B106="","",TRIM(SUBSTITUTE(SUBSTITUTE(SUBSTITUTE(SUBSTITUTE(SUBSTITUTE(SUBSTITUTE(UPPER(IFERROR(INDEX('Registro de Comisión'!$L$5:$L$304,MATCH($B106&amp;"-ACT",'Registro de Comisión'!$N$5:$N$304,0)),"SIN REGISTRAR")),"Á","A"),"É","E"),"Í","I"),"Ó","O"),"Ú","U"),"Ü","U")))</f>
        <v/>
      </c>
      <c r="W106" s="14"/>
    </row>
    <row r="107" customFormat="false" ht="15" hidden="false" customHeight="false" outlineLevel="0" collapsed="false">
      <c r="A107" s="19" t="str">
        <f aca="false">IF($B107="","",ROW()-6)</f>
        <v/>
      </c>
      <c r="B107" s="19" t="str">
        <f aca="false">IFERROR(INDEX('Registro de Comisión'!$A$5:$A$304,MATCH(ROW()-21,'Registro de Comisión'!$P$5:$P$304,0)),"")</f>
        <v/>
      </c>
      <c r="C107" s="20" t="str">
        <f aca="false">IF($B107="","",TRIM(SUBSTITUTE(SUBSTITUTE(SUBSTITUTE(SUBSTITUTE(SUBSTITUTE(SUBSTITUTE(UPPER(IFERROR(INDEX('Registro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7" s="19" t="str">
        <f aca="false">IF($B107="","",TRIM(SUBSTITUTE(SUBSTITUTE(SUBSTITUTE(SUBSTITUTE(SUBSTITUTE(SUBSTITUTE(UPPER(IFERROR(INDEX('Registro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7" s="20" t="str">
        <f aca="false">IF($B107="","",TRIM(SUBSTITUTE(SUBSTITUTE(SUBSTITUTE(SUBSTITUTE(SUBSTITUTE(SUBSTITUTE(UPPER(IFERROR(INDEX('Registro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7" s="20" t="str">
        <f aca="false">IF($B107="","",TRIM(SUBSTITUTE(SUBSTITUTE(SUBSTITUTE(SUBSTITUTE(SUBSTITUTE(SUBSTITUTE(UPPER(IFERROR(INDEX('Registro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7" s="20" t="str">
        <f aca="false">IF($B107="","",TRIM(SUBSTITUTE(SUBSTITUTE(SUBSTITUTE(SUBSTITUTE(SUBSTITUTE(SUBSTITUTE(UPPER(IFERROR(INDEX('Registro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7" s="19" t="str">
        <f aca="false">IF($B107="","",TRIM(SUBSTITUTE(SUBSTITUTE(SUBSTITUTE(SUBSTITUTE(SUBSTITUTE(SUBSTITUTE(UPPER(IFERROR(INDEX('Registro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7" s="26" t="str">
        <f aca="false">IF($B107="","",IFERROR(INDEX('Registro de Comisión'!$H$5:$H$304,MATCH(ROW()-21,'Registro de Comisión'!$P$5:$P$304,0)),""))</f>
        <v/>
      </c>
      <c r="J107" s="20" t="str">
        <f aca="false">IF($B107="","",TRIM(SUBSTITUTE(SUBSTITUTE(SUBSTITUTE(SUBSTITUTE(SUBSTITUTE(SUBSTITUTE(UPPER(IFERROR(INDEX(tblPeriodos[Institución en el Período],MATCH($B107&amp;"-1",tblPeriodos[Clave (uso interno)],0)),"SIN PERIODO REGISTRADO")),"Á","A"),"É","E"),"Í","I"),"Ó","O"),"Ú","U"),"Ü","U")))</f>
        <v/>
      </c>
      <c r="K107" s="22" t="str">
        <f aca="false">IF($B107="","",IFERROR(_xlfn.MINIFS(tblPeriodos[Fecha Inicio del Período],tblPeriodos[Cédula],$B107),""))</f>
        <v/>
      </c>
      <c r="L107" s="22" t="str">
        <f aca="false">IF($B107="","",IFERROR(_xlfn.MAXIFS(tblPeriodos[Fecha Fin del Período],tblPeriodos[Cédula],$B107),""))</f>
        <v/>
      </c>
      <c r="M107" s="19" t="str">
        <f aca="false">IF($B107="","",COUNTIFS(tblPeriodos[Cédula],$B107))</f>
        <v/>
      </c>
      <c r="N107" s="23" t="str">
        <f aca="false">IF($B107="","",SUMIFS(tblPeriodos[Días del Período],tblPeriodos[Cédula],$B107))</f>
        <v/>
      </c>
      <c r="O107" s="24" t="str">
        <f aca="false">IF($B107="","",ROUND(N107/365.25,1))</f>
        <v/>
      </c>
      <c r="P107" s="22" t="str">
        <f aca="false">IF($B107="","",EDATE(K107,72))</f>
        <v/>
      </c>
      <c r="Q107" s="23" t="str">
        <f aca="true">IF($B107="","",P107-TODAY())</f>
        <v/>
      </c>
      <c r="R107" s="19" t="str">
        <f aca="false">IF($B107="","",IF(Q107&lt;=0,"🔴 SUPERO LIMITE LEGAL",IF(Q107&lt;=180,"🟠 PROXIMO AL LIMITE (6 ANOS)",IF(Q107&lt;=365,"🟡 VIGILAR (&lt; 1 ANO)","🟢 DENTRO DEL LIMITE"))))</f>
        <v/>
      </c>
      <c r="S107" s="23" t="str">
        <f aca="true">IF($B107="","",L107-TODAY())</f>
        <v/>
      </c>
      <c r="T107" s="19" t="str">
        <f aca="false">IF($B107="","",IF(S107&lt;0,"🔴 COMISION VENCIDA",IF(S107&lt;=90,"🟠 VENCE PRONTO (&lt;=90 DIAS)",IF(S107&lt;=180,"🟡 PROXIMA A VENCER (&lt;=180 DIAS)","🟢 VIGENTE"))))</f>
        <v/>
      </c>
      <c r="U107" s="19" t="str">
        <f aca="false">IF($B107="","",IF(ABS(N107-(L107-K107+1))&lt;=3,"CONTINUA","CON INTERRUPCIONES - REVISAR"))</f>
        <v/>
      </c>
      <c r="V107" s="20" t="str">
        <f aca="false">IF($B107="","",TRIM(SUBSTITUTE(SUBSTITUTE(SUBSTITUTE(SUBSTITUTE(SUBSTITUTE(SUBSTITUTE(UPPER(IFERROR(INDEX('Registro de Comisión'!$L$5:$L$304,MATCH($B107&amp;"-ACT",'Registro de Comisión'!$N$5:$N$304,0)),"SIN REGISTRAR")),"Á","A"),"É","E"),"Í","I"),"Ó","O"),"Ú","U"),"Ü","U")))</f>
        <v/>
      </c>
      <c r="W107" s="20"/>
    </row>
    <row r="108" customFormat="false" ht="15" hidden="false" customHeight="false" outlineLevel="0" collapsed="false">
      <c r="A108" s="13" t="str">
        <f aca="false">IF($B108="","",ROW()-6)</f>
        <v/>
      </c>
      <c r="B108" s="13" t="str">
        <f aca="false">IFERROR(INDEX('Registro de Comisión'!$A$5:$A$304,MATCH(ROW()-21,'Registro de Comisión'!$P$5:$P$304,0)),"")</f>
        <v/>
      </c>
      <c r="C108" s="14" t="str">
        <f aca="false">IF($B108="","",TRIM(SUBSTITUTE(SUBSTITUTE(SUBSTITUTE(SUBSTITUTE(SUBSTITUTE(SUBSTITUTE(UPPER(IFERROR(INDEX('Registro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8" s="13" t="str">
        <f aca="false">IF($B108="","",TRIM(SUBSTITUTE(SUBSTITUTE(SUBSTITUTE(SUBSTITUTE(SUBSTITUTE(SUBSTITUTE(UPPER(IFERROR(INDEX('Registro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8" s="14" t="str">
        <f aca="false">IF($B108="","",TRIM(SUBSTITUTE(SUBSTITUTE(SUBSTITUTE(SUBSTITUTE(SUBSTITUTE(SUBSTITUTE(UPPER(IFERROR(INDEX('Registro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8" s="14" t="str">
        <f aca="false">IF($B108="","",TRIM(SUBSTITUTE(SUBSTITUTE(SUBSTITUTE(SUBSTITUTE(SUBSTITUTE(SUBSTITUTE(UPPER(IFERROR(INDEX('Registro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8" s="14" t="str">
        <f aca="false">IF($B108="","",TRIM(SUBSTITUTE(SUBSTITUTE(SUBSTITUTE(SUBSTITUTE(SUBSTITUTE(SUBSTITUTE(UPPER(IFERROR(INDEX('Registro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8" s="13" t="str">
        <f aca="false">IF($B108="","",TRIM(SUBSTITUTE(SUBSTITUTE(SUBSTITUTE(SUBSTITUTE(SUBSTITUTE(SUBSTITUTE(UPPER(IFERROR(INDEX('Registro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8" s="25" t="str">
        <f aca="false">IF($B108="","",IFERROR(INDEX('Registro de Comisión'!$H$5:$H$304,MATCH(ROW()-21,'Registro de Comisión'!$P$5:$P$304,0)),""))</f>
        <v/>
      </c>
      <c r="J108" s="14" t="str">
        <f aca="false">IF($B108="","",TRIM(SUBSTITUTE(SUBSTITUTE(SUBSTITUTE(SUBSTITUTE(SUBSTITUTE(SUBSTITUTE(UPPER(IFERROR(INDEX(tblPeriodos[Institución en el Período],MATCH($B108&amp;"-1",tblPeriodos[Clave (uso interno)],0)),"SIN PERIODO REGISTRADO")),"Á","A"),"É","E"),"Í","I"),"Ó","O"),"Ú","U"),"Ü","U")))</f>
        <v/>
      </c>
      <c r="K108" s="16" t="str">
        <f aca="false">IF($B108="","",IFERROR(_xlfn.MINIFS(tblPeriodos[Fecha Inicio del Período],tblPeriodos[Cédula],$B108),""))</f>
        <v/>
      </c>
      <c r="L108" s="16" t="str">
        <f aca="false">IF($B108="","",IFERROR(_xlfn.MAXIFS(tblPeriodos[Fecha Fin del Período],tblPeriodos[Cédula],$B108),""))</f>
        <v/>
      </c>
      <c r="M108" s="13" t="str">
        <f aca="false">IF($B108="","",COUNTIFS(tblPeriodos[Cédula],$B108))</f>
        <v/>
      </c>
      <c r="N108" s="17" t="str">
        <f aca="false">IF($B108="","",SUMIFS(tblPeriodos[Días del Período],tblPeriodos[Cédula],$B108))</f>
        <v/>
      </c>
      <c r="O108" s="18" t="str">
        <f aca="false">IF($B108="","",ROUND(N108/365.25,1))</f>
        <v/>
      </c>
      <c r="P108" s="16" t="str">
        <f aca="false">IF($B108="","",EDATE(K108,72))</f>
        <v/>
      </c>
      <c r="Q108" s="17" t="str">
        <f aca="true">IF($B108="","",P108-TODAY())</f>
        <v/>
      </c>
      <c r="R108" s="13" t="str">
        <f aca="false">IF($B108="","",IF(Q108&lt;=0,"🔴 SUPERO LIMITE LEGAL",IF(Q108&lt;=180,"🟠 PROXIMO AL LIMITE (6 ANOS)",IF(Q108&lt;=365,"🟡 VIGILAR (&lt; 1 ANO)","🟢 DENTRO DEL LIMITE"))))</f>
        <v/>
      </c>
      <c r="S108" s="17" t="str">
        <f aca="true">IF($B108="","",L108-TODAY())</f>
        <v/>
      </c>
      <c r="T108" s="13" t="str">
        <f aca="false">IF($B108="","",IF(S108&lt;0,"🔴 COMISION VENCIDA",IF(S108&lt;=90,"🟠 VENCE PRONTO (&lt;=90 DIAS)",IF(S108&lt;=180,"🟡 PROXIMA A VENCER (&lt;=180 DIAS)","🟢 VIGENTE"))))</f>
        <v/>
      </c>
      <c r="U108" s="13" t="str">
        <f aca="false">IF($B108="","",IF(ABS(N108-(L108-K108+1))&lt;=3,"CONTINUA","CON INTERRUPCIONES - REVISAR"))</f>
        <v/>
      </c>
      <c r="V108" s="14" t="str">
        <f aca="false">IF($B108="","",TRIM(SUBSTITUTE(SUBSTITUTE(SUBSTITUTE(SUBSTITUTE(SUBSTITUTE(SUBSTITUTE(UPPER(IFERROR(INDEX('Registro de Comisión'!$L$5:$L$304,MATCH($B108&amp;"-ACT",'Registro de Comisión'!$N$5:$N$304,0)),"SIN REGISTRAR")),"Á","A"),"É","E"),"Í","I"),"Ó","O"),"Ú","U"),"Ü","U")))</f>
        <v/>
      </c>
      <c r="W108" s="14"/>
    </row>
    <row r="109" customFormat="false" ht="15" hidden="false" customHeight="false" outlineLevel="0" collapsed="false">
      <c r="A109" s="19" t="str">
        <f aca="false">IF($B109="","",ROW()-6)</f>
        <v/>
      </c>
      <c r="B109" s="19" t="str">
        <f aca="false">IFERROR(INDEX('Registro de Comisión'!$A$5:$A$304,MATCH(ROW()-21,'Registro de Comisión'!$P$5:$P$304,0)),"")</f>
        <v/>
      </c>
      <c r="C109" s="20" t="str">
        <f aca="false">IF($B109="","",TRIM(SUBSTITUTE(SUBSTITUTE(SUBSTITUTE(SUBSTITUTE(SUBSTITUTE(SUBSTITUTE(UPPER(IFERROR(INDEX('Registro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09" s="19" t="str">
        <f aca="false">IF($B109="","",TRIM(SUBSTITUTE(SUBSTITUTE(SUBSTITUTE(SUBSTITUTE(SUBSTITUTE(SUBSTITUTE(UPPER(IFERROR(INDEX('Registro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09" s="20" t="str">
        <f aca="false">IF($B109="","",TRIM(SUBSTITUTE(SUBSTITUTE(SUBSTITUTE(SUBSTITUTE(SUBSTITUTE(SUBSTITUTE(UPPER(IFERROR(INDEX('Registro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09" s="20" t="str">
        <f aca="false">IF($B109="","",TRIM(SUBSTITUTE(SUBSTITUTE(SUBSTITUTE(SUBSTITUTE(SUBSTITUTE(SUBSTITUTE(UPPER(IFERROR(INDEX('Registro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09" s="20" t="str">
        <f aca="false">IF($B109="","",TRIM(SUBSTITUTE(SUBSTITUTE(SUBSTITUTE(SUBSTITUTE(SUBSTITUTE(SUBSTITUTE(UPPER(IFERROR(INDEX('Registro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09" s="19" t="str">
        <f aca="false">IF($B109="","",TRIM(SUBSTITUTE(SUBSTITUTE(SUBSTITUTE(SUBSTITUTE(SUBSTITUTE(SUBSTITUTE(UPPER(IFERROR(INDEX('Registro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09" s="26" t="str">
        <f aca="false">IF($B109="","",IFERROR(INDEX('Registro de Comisión'!$H$5:$H$304,MATCH(ROW()-21,'Registro de Comisión'!$P$5:$P$304,0)),""))</f>
        <v/>
      </c>
      <c r="J109" s="20" t="str">
        <f aca="false">IF($B109="","",TRIM(SUBSTITUTE(SUBSTITUTE(SUBSTITUTE(SUBSTITUTE(SUBSTITUTE(SUBSTITUTE(UPPER(IFERROR(INDEX(tblPeriodos[Institución en el Período],MATCH($B109&amp;"-1",tblPeriodos[Clave (uso interno)],0)),"SIN PERIODO REGISTRADO")),"Á","A"),"É","E"),"Í","I"),"Ó","O"),"Ú","U"),"Ü","U")))</f>
        <v/>
      </c>
      <c r="K109" s="22" t="str">
        <f aca="false">IF($B109="","",IFERROR(_xlfn.MINIFS(tblPeriodos[Fecha Inicio del Período],tblPeriodos[Cédula],$B109),""))</f>
        <v/>
      </c>
      <c r="L109" s="22" t="str">
        <f aca="false">IF($B109="","",IFERROR(_xlfn.MAXIFS(tblPeriodos[Fecha Fin del Período],tblPeriodos[Cédula],$B109),""))</f>
        <v/>
      </c>
      <c r="M109" s="19" t="str">
        <f aca="false">IF($B109="","",COUNTIFS(tblPeriodos[Cédula],$B109))</f>
        <v/>
      </c>
      <c r="N109" s="23" t="str">
        <f aca="false">IF($B109="","",SUMIFS(tblPeriodos[Días del Período],tblPeriodos[Cédula],$B109))</f>
        <v/>
      </c>
      <c r="O109" s="24" t="str">
        <f aca="false">IF($B109="","",ROUND(N109/365.25,1))</f>
        <v/>
      </c>
      <c r="P109" s="22" t="str">
        <f aca="false">IF($B109="","",EDATE(K109,72))</f>
        <v/>
      </c>
      <c r="Q109" s="23" t="str">
        <f aca="true">IF($B109="","",P109-TODAY())</f>
        <v/>
      </c>
      <c r="R109" s="19" t="str">
        <f aca="false">IF($B109="","",IF(Q109&lt;=0,"🔴 SUPERO LIMITE LEGAL",IF(Q109&lt;=180,"🟠 PROXIMO AL LIMITE (6 ANOS)",IF(Q109&lt;=365,"🟡 VIGILAR (&lt; 1 ANO)","🟢 DENTRO DEL LIMITE"))))</f>
        <v/>
      </c>
      <c r="S109" s="23" t="str">
        <f aca="true">IF($B109="","",L109-TODAY())</f>
        <v/>
      </c>
      <c r="T109" s="19" t="str">
        <f aca="false">IF($B109="","",IF(S109&lt;0,"🔴 COMISION VENCIDA",IF(S109&lt;=90,"🟠 VENCE PRONTO (&lt;=90 DIAS)",IF(S109&lt;=180,"🟡 PROXIMA A VENCER (&lt;=180 DIAS)","🟢 VIGENTE"))))</f>
        <v/>
      </c>
      <c r="U109" s="19" t="str">
        <f aca="false">IF($B109="","",IF(ABS(N109-(L109-K109+1))&lt;=3,"CONTINUA","CON INTERRUPCIONES - REVISAR"))</f>
        <v/>
      </c>
      <c r="V109" s="20" t="str">
        <f aca="false">IF($B109="","",TRIM(SUBSTITUTE(SUBSTITUTE(SUBSTITUTE(SUBSTITUTE(SUBSTITUTE(SUBSTITUTE(UPPER(IFERROR(INDEX('Registro de Comisión'!$L$5:$L$304,MATCH($B109&amp;"-ACT",'Registro de Comisión'!$N$5:$N$304,0)),"SIN REGISTRAR")),"Á","A"),"É","E"),"Í","I"),"Ó","O"),"Ú","U"),"Ü","U")))</f>
        <v/>
      </c>
      <c r="W109" s="20"/>
    </row>
    <row r="110" customFormat="false" ht="15" hidden="false" customHeight="false" outlineLevel="0" collapsed="false">
      <c r="A110" s="13" t="str">
        <f aca="false">IF($B110="","",ROW()-6)</f>
        <v/>
      </c>
      <c r="B110" s="13" t="str">
        <f aca="false">IFERROR(INDEX('Registro de Comisión'!$A$5:$A$304,MATCH(ROW()-21,'Registro de Comisión'!$P$5:$P$304,0)),"")</f>
        <v/>
      </c>
      <c r="C110" s="14" t="str">
        <f aca="false">IF($B110="","",TRIM(SUBSTITUTE(SUBSTITUTE(SUBSTITUTE(SUBSTITUTE(SUBSTITUTE(SUBSTITUTE(UPPER(IFERROR(INDEX('Registro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0" s="13" t="str">
        <f aca="false">IF($B110="","",TRIM(SUBSTITUTE(SUBSTITUTE(SUBSTITUTE(SUBSTITUTE(SUBSTITUTE(SUBSTITUTE(UPPER(IFERROR(INDEX('Registro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0" s="14" t="str">
        <f aca="false">IF($B110="","",TRIM(SUBSTITUTE(SUBSTITUTE(SUBSTITUTE(SUBSTITUTE(SUBSTITUTE(SUBSTITUTE(UPPER(IFERROR(INDEX('Registro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0" s="14" t="str">
        <f aca="false">IF($B110="","",TRIM(SUBSTITUTE(SUBSTITUTE(SUBSTITUTE(SUBSTITUTE(SUBSTITUTE(SUBSTITUTE(UPPER(IFERROR(INDEX('Registro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0" s="14" t="str">
        <f aca="false">IF($B110="","",TRIM(SUBSTITUTE(SUBSTITUTE(SUBSTITUTE(SUBSTITUTE(SUBSTITUTE(SUBSTITUTE(UPPER(IFERROR(INDEX('Registro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0" s="13" t="str">
        <f aca="false">IF($B110="","",TRIM(SUBSTITUTE(SUBSTITUTE(SUBSTITUTE(SUBSTITUTE(SUBSTITUTE(SUBSTITUTE(UPPER(IFERROR(INDEX('Registro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0" s="25" t="str">
        <f aca="false">IF($B110="","",IFERROR(INDEX('Registro de Comisión'!$H$5:$H$304,MATCH(ROW()-21,'Registro de Comisión'!$P$5:$P$304,0)),""))</f>
        <v/>
      </c>
      <c r="J110" s="14" t="str">
        <f aca="false">IF($B110="","",TRIM(SUBSTITUTE(SUBSTITUTE(SUBSTITUTE(SUBSTITUTE(SUBSTITUTE(SUBSTITUTE(UPPER(IFERROR(INDEX(tblPeriodos[Institución en el Período],MATCH($B110&amp;"-1",tblPeriodos[Clave (uso interno)],0)),"SIN PERIODO REGISTRADO")),"Á","A"),"É","E"),"Í","I"),"Ó","O"),"Ú","U"),"Ü","U")))</f>
        <v/>
      </c>
      <c r="K110" s="16" t="str">
        <f aca="false">IF($B110="","",IFERROR(_xlfn.MINIFS(tblPeriodos[Fecha Inicio del Período],tblPeriodos[Cédula],$B110),""))</f>
        <v/>
      </c>
      <c r="L110" s="16" t="str">
        <f aca="false">IF($B110="","",IFERROR(_xlfn.MAXIFS(tblPeriodos[Fecha Fin del Período],tblPeriodos[Cédula],$B110),""))</f>
        <v/>
      </c>
      <c r="M110" s="13" t="str">
        <f aca="false">IF($B110="","",COUNTIFS(tblPeriodos[Cédula],$B110))</f>
        <v/>
      </c>
      <c r="N110" s="17" t="str">
        <f aca="false">IF($B110="","",SUMIFS(tblPeriodos[Días del Período],tblPeriodos[Cédula],$B110))</f>
        <v/>
      </c>
      <c r="O110" s="18" t="str">
        <f aca="false">IF($B110="","",ROUND(N110/365.25,1))</f>
        <v/>
      </c>
      <c r="P110" s="16" t="str">
        <f aca="false">IF($B110="","",EDATE(K110,72))</f>
        <v/>
      </c>
      <c r="Q110" s="17" t="str">
        <f aca="true">IF($B110="","",P110-TODAY())</f>
        <v/>
      </c>
      <c r="R110" s="13" t="str">
        <f aca="false">IF($B110="","",IF(Q110&lt;=0,"🔴 SUPERO LIMITE LEGAL",IF(Q110&lt;=180,"🟠 PROXIMO AL LIMITE (6 ANOS)",IF(Q110&lt;=365,"🟡 VIGILAR (&lt; 1 ANO)","🟢 DENTRO DEL LIMITE"))))</f>
        <v/>
      </c>
      <c r="S110" s="17" t="str">
        <f aca="true">IF($B110="","",L110-TODAY())</f>
        <v/>
      </c>
      <c r="T110" s="13" t="str">
        <f aca="false">IF($B110="","",IF(S110&lt;0,"🔴 COMISION VENCIDA",IF(S110&lt;=90,"🟠 VENCE PRONTO (&lt;=90 DIAS)",IF(S110&lt;=180,"🟡 PROXIMA A VENCER (&lt;=180 DIAS)","🟢 VIGENTE"))))</f>
        <v/>
      </c>
      <c r="U110" s="13" t="str">
        <f aca="false">IF($B110="","",IF(ABS(N110-(L110-K110+1))&lt;=3,"CONTINUA","CON INTERRUPCIONES - REVISAR"))</f>
        <v/>
      </c>
      <c r="V110" s="14" t="str">
        <f aca="false">IF($B110="","",TRIM(SUBSTITUTE(SUBSTITUTE(SUBSTITUTE(SUBSTITUTE(SUBSTITUTE(SUBSTITUTE(UPPER(IFERROR(INDEX('Registro de Comisión'!$L$5:$L$304,MATCH($B110&amp;"-ACT",'Registro de Comisión'!$N$5:$N$304,0)),"SIN REGISTRAR")),"Á","A"),"É","E"),"Í","I"),"Ó","O"),"Ú","U"),"Ü","U")))</f>
        <v/>
      </c>
      <c r="W110" s="14"/>
    </row>
    <row r="111" customFormat="false" ht="15" hidden="false" customHeight="false" outlineLevel="0" collapsed="false">
      <c r="A111" s="19" t="str">
        <f aca="false">IF($B111="","",ROW()-6)</f>
        <v/>
      </c>
      <c r="B111" s="19" t="str">
        <f aca="false">IFERROR(INDEX('Registro de Comisión'!$A$5:$A$304,MATCH(ROW()-21,'Registro de Comisión'!$P$5:$P$304,0)),"")</f>
        <v/>
      </c>
      <c r="C111" s="20" t="str">
        <f aca="false">IF($B111="","",TRIM(SUBSTITUTE(SUBSTITUTE(SUBSTITUTE(SUBSTITUTE(SUBSTITUTE(SUBSTITUTE(UPPER(IFERROR(INDEX('Registro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1" s="19" t="str">
        <f aca="false">IF($B111="","",TRIM(SUBSTITUTE(SUBSTITUTE(SUBSTITUTE(SUBSTITUTE(SUBSTITUTE(SUBSTITUTE(UPPER(IFERROR(INDEX('Registro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1" s="20" t="str">
        <f aca="false">IF($B111="","",TRIM(SUBSTITUTE(SUBSTITUTE(SUBSTITUTE(SUBSTITUTE(SUBSTITUTE(SUBSTITUTE(UPPER(IFERROR(INDEX('Registro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1" s="20" t="str">
        <f aca="false">IF($B111="","",TRIM(SUBSTITUTE(SUBSTITUTE(SUBSTITUTE(SUBSTITUTE(SUBSTITUTE(SUBSTITUTE(UPPER(IFERROR(INDEX('Registro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1" s="20" t="str">
        <f aca="false">IF($B111="","",TRIM(SUBSTITUTE(SUBSTITUTE(SUBSTITUTE(SUBSTITUTE(SUBSTITUTE(SUBSTITUTE(UPPER(IFERROR(INDEX('Registro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1" s="19" t="str">
        <f aca="false">IF($B111="","",TRIM(SUBSTITUTE(SUBSTITUTE(SUBSTITUTE(SUBSTITUTE(SUBSTITUTE(SUBSTITUTE(UPPER(IFERROR(INDEX('Registro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1" s="26" t="str">
        <f aca="false">IF($B111="","",IFERROR(INDEX('Registro de Comisión'!$H$5:$H$304,MATCH(ROW()-21,'Registro de Comisión'!$P$5:$P$304,0)),""))</f>
        <v/>
      </c>
      <c r="J111" s="20" t="str">
        <f aca="false">IF($B111="","",TRIM(SUBSTITUTE(SUBSTITUTE(SUBSTITUTE(SUBSTITUTE(SUBSTITUTE(SUBSTITUTE(UPPER(IFERROR(INDEX(tblPeriodos[Institución en el Período],MATCH($B111&amp;"-1",tblPeriodos[Clave (uso interno)],0)),"SIN PERIODO REGISTRADO")),"Á","A"),"É","E"),"Í","I"),"Ó","O"),"Ú","U"),"Ü","U")))</f>
        <v/>
      </c>
      <c r="K111" s="22" t="str">
        <f aca="false">IF($B111="","",IFERROR(_xlfn.MINIFS(tblPeriodos[Fecha Inicio del Período],tblPeriodos[Cédula],$B111),""))</f>
        <v/>
      </c>
      <c r="L111" s="22" t="str">
        <f aca="false">IF($B111="","",IFERROR(_xlfn.MAXIFS(tblPeriodos[Fecha Fin del Período],tblPeriodos[Cédula],$B111),""))</f>
        <v/>
      </c>
      <c r="M111" s="19" t="str">
        <f aca="false">IF($B111="","",COUNTIFS(tblPeriodos[Cédula],$B111))</f>
        <v/>
      </c>
      <c r="N111" s="23" t="str">
        <f aca="false">IF($B111="","",SUMIFS(tblPeriodos[Días del Período],tblPeriodos[Cédula],$B111))</f>
        <v/>
      </c>
      <c r="O111" s="24" t="str">
        <f aca="false">IF($B111="","",ROUND(N111/365.25,1))</f>
        <v/>
      </c>
      <c r="P111" s="22" t="str">
        <f aca="false">IF($B111="","",EDATE(K111,72))</f>
        <v/>
      </c>
      <c r="Q111" s="23" t="str">
        <f aca="true">IF($B111="","",P111-TODAY())</f>
        <v/>
      </c>
      <c r="R111" s="19" t="str">
        <f aca="false">IF($B111="","",IF(Q111&lt;=0,"🔴 SUPERO LIMITE LEGAL",IF(Q111&lt;=180,"🟠 PROXIMO AL LIMITE (6 ANOS)",IF(Q111&lt;=365,"🟡 VIGILAR (&lt; 1 ANO)","🟢 DENTRO DEL LIMITE"))))</f>
        <v/>
      </c>
      <c r="S111" s="23" t="str">
        <f aca="true">IF($B111="","",L111-TODAY())</f>
        <v/>
      </c>
      <c r="T111" s="19" t="str">
        <f aca="false">IF($B111="","",IF(S111&lt;0,"🔴 COMISION VENCIDA",IF(S111&lt;=90,"🟠 VENCE PRONTO (&lt;=90 DIAS)",IF(S111&lt;=180,"🟡 PROXIMA A VENCER (&lt;=180 DIAS)","🟢 VIGENTE"))))</f>
        <v/>
      </c>
      <c r="U111" s="19" t="str">
        <f aca="false">IF($B111="","",IF(ABS(N111-(L111-K111+1))&lt;=3,"CONTINUA","CON INTERRUPCIONES - REVISAR"))</f>
        <v/>
      </c>
      <c r="V111" s="20" t="str">
        <f aca="false">IF($B111="","",TRIM(SUBSTITUTE(SUBSTITUTE(SUBSTITUTE(SUBSTITUTE(SUBSTITUTE(SUBSTITUTE(UPPER(IFERROR(INDEX('Registro de Comisión'!$L$5:$L$304,MATCH($B111&amp;"-ACT",'Registro de Comisión'!$N$5:$N$304,0)),"SIN REGISTRAR")),"Á","A"),"É","E"),"Í","I"),"Ó","O"),"Ú","U"),"Ü","U")))</f>
        <v/>
      </c>
      <c r="W111" s="20"/>
    </row>
    <row r="112" customFormat="false" ht="15" hidden="false" customHeight="false" outlineLevel="0" collapsed="false">
      <c r="A112" s="13" t="str">
        <f aca="false">IF($B112="","",ROW()-6)</f>
        <v/>
      </c>
      <c r="B112" s="13" t="str">
        <f aca="false">IFERROR(INDEX('Registro de Comisión'!$A$5:$A$304,MATCH(ROW()-21,'Registro de Comisión'!$P$5:$P$304,0)),"")</f>
        <v/>
      </c>
      <c r="C112" s="14" t="str">
        <f aca="false">IF($B112="","",TRIM(SUBSTITUTE(SUBSTITUTE(SUBSTITUTE(SUBSTITUTE(SUBSTITUTE(SUBSTITUTE(UPPER(IFERROR(INDEX('Registro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2" s="13" t="str">
        <f aca="false">IF($B112="","",TRIM(SUBSTITUTE(SUBSTITUTE(SUBSTITUTE(SUBSTITUTE(SUBSTITUTE(SUBSTITUTE(UPPER(IFERROR(INDEX('Registro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2" s="14" t="str">
        <f aca="false">IF($B112="","",TRIM(SUBSTITUTE(SUBSTITUTE(SUBSTITUTE(SUBSTITUTE(SUBSTITUTE(SUBSTITUTE(UPPER(IFERROR(INDEX('Registro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2" s="14" t="str">
        <f aca="false">IF($B112="","",TRIM(SUBSTITUTE(SUBSTITUTE(SUBSTITUTE(SUBSTITUTE(SUBSTITUTE(SUBSTITUTE(UPPER(IFERROR(INDEX('Registro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2" s="14" t="str">
        <f aca="false">IF($B112="","",TRIM(SUBSTITUTE(SUBSTITUTE(SUBSTITUTE(SUBSTITUTE(SUBSTITUTE(SUBSTITUTE(UPPER(IFERROR(INDEX('Registro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2" s="13" t="str">
        <f aca="false">IF($B112="","",TRIM(SUBSTITUTE(SUBSTITUTE(SUBSTITUTE(SUBSTITUTE(SUBSTITUTE(SUBSTITUTE(UPPER(IFERROR(INDEX('Registro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2" s="25" t="str">
        <f aca="false">IF($B112="","",IFERROR(INDEX('Registro de Comisión'!$H$5:$H$304,MATCH(ROW()-21,'Registro de Comisión'!$P$5:$P$304,0)),""))</f>
        <v/>
      </c>
      <c r="J112" s="14" t="str">
        <f aca="false">IF($B112="","",TRIM(SUBSTITUTE(SUBSTITUTE(SUBSTITUTE(SUBSTITUTE(SUBSTITUTE(SUBSTITUTE(UPPER(IFERROR(INDEX(tblPeriodos[Institución en el Período],MATCH($B112&amp;"-1",tblPeriodos[Clave (uso interno)],0)),"SIN PERIODO REGISTRADO")),"Á","A"),"É","E"),"Í","I"),"Ó","O"),"Ú","U"),"Ü","U")))</f>
        <v/>
      </c>
      <c r="K112" s="16" t="str">
        <f aca="false">IF($B112="","",IFERROR(_xlfn.MINIFS(tblPeriodos[Fecha Inicio del Período],tblPeriodos[Cédula],$B112),""))</f>
        <v/>
      </c>
      <c r="L112" s="16" t="str">
        <f aca="false">IF($B112="","",IFERROR(_xlfn.MAXIFS(tblPeriodos[Fecha Fin del Período],tblPeriodos[Cédula],$B112),""))</f>
        <v/>
      </c>
      <c r="M112" s="13" t="str">
        <f aca="false">IF($B112="","",COUNTIFS(tblPeriodos[Cédula],$B112))</f>
        <v/>
      </c>
      <c r="N112" s="17" t="str">
        <f aca="false">IF($B112="","",SUMIFS(tblPeriodos[Días del Período],tblPeriodos[Cédula],$B112))</f>
        <v/>
      </c>
      <c r="O112" s="18" t="str">
        <f aca="false">IF($B112="","",ROUND(N112/365.25,1))</f>
        <v/>
      </c>
      <c r="P112" s="16" t="str">
        <f aca="false">IF($B112="","",EDATE(K112,72))</f>
        <v/>
      </c>
      <c r="Q112" s="17" t="str">
        <f aca="true">IF($B112="","",P112-TODAY())</f>
        <v/>
      </c>
      <c r="R112" s="13" t="str">
        <f aca="false">IF($B112="","",IF(Q112&lt;=0,"🔴 SUPERO LIMITE LEGAL",IF(Q112&lt;=180,"🟠 PROXIMO AL LIMITE (6 ANOS)",IF(Q112&lt;=365,"🟡 VIGILAR (&lt; 1 ANO)","🟢 DENTRO DEL LIMITE"))))</f>
        <v/>
      </c>
      <c r="S112" s="17" t="str">
        <f aca="true">IF($B112="","",L112-TODAY())</f>
        <v/>
      </c>
      <c r="T112" s="13" t="str">
        <f aca="false">IF($B112="","",IF(S112&lt;0,"🔴 COMISION VENCIDA",IF(S112&lt;=90,"🟠 VENCE PRONTO (&lt;=90 DIAS)",IF(S112&lt;=180,"🟡 PROXIMA A VENCER (&lt;=180 DIAS)","🟢 VIGENTE"))))</f>
        <v/>
      </c>
      <c r="U112" s="13" t="str">
        <f aca="false">IF($B112="","",IF(ABS(N112-(L112-K112+1))&lt;=3,"CONTINUA","CON INTERRUPCIONES - REVISAR"))</f>
        <v/>
      </c>
      <c r="V112" s="14" t="str">
        <f aca="false">IF($B112="","",TRIM(SUBSTITUTE(SUBSTITUTE(SUBSTITUTE(SUBSTITUTE(SUBSTITUTE(SUBSTITUTE(UPPER(IFERROR(INDEX('Registro de Comisión'!$L$5:$L$304,MATCH($B112&amp;"-ACT",'Registro de Comisión'!$N$5:$N$304,0)),"SIN REGISTRAR")),"Á","A"),"É","E"),"Í","I"),"Ó","O"),"Ú","U"),"Ü","U")))</f>
        <v/>
      </c>
      <c r="W112" s="14"/>
    </row>
    <row r="113" customFormat="false" ht="15" hidden="false" customHeight="false" outlineLevel="0" collapsed="false">
      <c r="A113" s="19" t="str">
        <f aca="false">IF($B113="","",ROW()-6)</f>
        <v/>
      </c>
      <c r="B113" s="19" t="str">
        <f aca="false">IFERROR(INDEX('Registro de Comisión'!$A$5:$A$304,MATCH(ROW()-21,'Registro de Comisión'!$P$5:$P$304,0)),"")</f>
        <v/>
      </c>
      <c r="C113" s="20" t="str">
        <f aca="false">IF($B113="","",TRIM(SUBSTITUTE(SUBSTITUTE(SUBSTITUTE(SUBSTITUTE(SUBSTITUTE(SUBSTITUTE(UPPER(IFERROR(INDEX('Registro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3" s="19" t="str">
        <f aca="false">IF($B113="","",TRIM(SUBSTITUTE(SUBSTITUTE(SUBSTITUTE(SUBSTITUTE(SUBSTITUTE(SUBSTITUTE(UPPER(IFERROR(INDEX('Registro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3" s="20" t="str">
        <f aca="false">IF($B113="","",TRIM(SUBSTITUTE(SUBSTITUTE(SUBSTITUTE(SUBSTITUTE(SUBSTITUTE(SUBSTITUTE(UPPER(IFERROR(INDEX('Registro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3" s="20" t="str">
        <f aca="false">IF($B113="","",TRIM(SUBSTITUTE(SUBSTITUTE(SUBSTITUTE(SUBSTITUTE(SUBSTITUTE(SUBSTITUTE(UPPER(IFERROR(INDEX('Registro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3" s="20" t="str">
        <f aca="false">IF($B113="","",TRIM(SUBSTITUTE(SUBSTITUTE(SUBSTITUTE(SUBSTITUTE(SUBSTITUTE(SUBSTITUTE(UPPER(IFERROR(INDEX('Registro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3" s="19" t="str">
        <f aca="false">IF($B113="","",TRIM(SUBSTITUTE(SUBSTITUTE(SUBSTITUTE(SUBSTITUTE(SUBSTITUTE(SUBSTITUTE(UPPER(IFERROR(INDEX('Registro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3" s="26" t="str">
        <f aca="false">IF($B113="","",IFERROR(INDEX('Registro de Comisión'!$H$5:$H$304,MATCH(ROW()-21,'Registro de Comisión'!$P$5:$P$304,0)),""))</f>
        <v/>
      </c>
      <c r="J113" s="20" t="str">
        <f aca="false">IF($B113="","",TRIM(SUBSTITUTE(SUBSTITUTE(SUBSTITUTE(SUBSTITUTE(SUBSTITUTE(SUBSTITUTE(UPPER(IFERROR(INDEX(tblPeriodos[Institución en el Período],MATCH($B113&amp;"-1",tblPeriodos[Clave (uso interno)],0)),"SIN PERIODO REGISTRADO")),"Á","A"),"É","E"),"Í","I"),"Ó","O"),"Ú","U"),"Ü","U")))</f>
        <v/>
      </c>
      <c r="K113" s="22" t="str">
        <f aca="false">IF($B113="","",IFERROR(_xlfn.MINIFS(tblPeriodos[Fecha Inicio del Período],tblPeriodos[Cédula],$B113),""))</f>
        <v/>
      </c>
      <c r="L113" s="22" t="str">
        <f aca="false">IF($B113="","",IFERROR(_xlfn.MAXIFS(tblPeriodos[Fecha Fin del Período],tblPeriodos[Cédula],$B113),""))</f>
        <v/>
      </c>
      <c r="M113" s="19" t="str">
        <f aca="false">IF($B113="","",COUNTIFS(tblPeriodos[Cédula],$B113))</f>
        <v/>
      </c>
      <c r="N113" s="23" t="str">
        <f aca="false">IF($B113="","",SUMIFS(tblPeriodos[Días del Período],tblPeriodos[Cédula],$B113))</f>
        <v/>
      </c>
      <c r="O113" s="24" t="str">
        <f aca="false">IF($B113="","",ROUND(N113/365.25,1))</f>
        <v/>
      </c>
      <c r="P113" s="22" t="str">
        <f aca="false">IF($B113="","",EDATE(K113,72))</f>
        <v/>
      </c>
      <c r="Q113" s="23" t="str">
        <f aca="true">IF($B113="","",P113-TODAY())</f>
        <v/>
      </c>
      <c r="R113" s="19" t="str">
        <f aca="false">IF($B113="","",IF(Q113&lt;=0,"🔴 SUPERO LIMITE LEGAL",IF(Q113&lt;=180,"🟠 PROXIMO AL LIMITE (6 ANOS)",IF(Q113&lt;=365,"🟡 VIGILAR (&lt; 1 ANO)","🟢 DENTRO DEL LIMITE"))))</f>
        <v/>
      </c>
      <c r="S113" s="23" t="str">
        <f aca="true">IF($B113="","",L113-TODAY())</f>
        <v/>
      </c>
      <c r="T113" s="19" t="str">
        <f aca="false">IF($B113="","",IF(S113&lt;0,"🔴 COMISION VENCIDA",IF(S113&lt;=90,"🟠 VENCE PRONTO (&lt;=90 DIAS)",IF(S113&lt;=180,"🟡 PROXIMA A VENCER (&lt;=180 DIAS)","🟢 VIGENTE"))))</f>
        <v/>
      </c>
      <c r="U113" s="19" t="str">
        <f aca="false">IF($B113="","",IF(ABS(N113-(L113-K113+1))&lt;=3,"CONTINUA","CON INTERRUPCIONES - REVISAR"))</f>
        <v/>
      </c>
      <c r="V113" s="20" t="str">
        <f aca="false">IF($B113="","",TRIM(SUBSTITUTE(SUBSTITUTE(SUBSTITUTE(SUBSTITUTE(SUBSTITUTE(SUBSTITUTE(UPPER(IFERROR(INDEX('Registro de Comisión'!$L$5:$L$304,MATCH($B113&amp;"-ACT",'Registro de Comisión'!$N$5:$N$304,0)),"SIN REGISTRAR")),"Á","A"),"É","E"),"Í","I"),"Ó","O"),"Ú","U"),"Ü","U")))</f>
        <v/>
      </c>
      <c r="W113" s="20"/>
    </row>
    <row r="114" customFormat="false" ht="15" hidden="false" customHeight="false" outlineLevel="0" collapsed="false">
      <c r="A114" s="13" t="str">
        <f aca="false">IF($B114="","",ROW()-6)</f>
        <v/>
      </c>
      <c r="B114" s="13" t="str">
        <f aca="false">IFERROR(INDEX('Registro de Comisión'!$A$5:$A$304,MATCH(ROW()-21,'Registro de Comisión'!$P$5:$P$304,0)),"")</f>
        <v/>
      </c>
      <c r="C114" s="14" t="str">
        <f aca="false">IF($B114="","",TRIM(SUBSTITUTE(SUBSTITUTE(SUBSTITUTE(SUBSTITUTE(SUBSTITUTE(SUBSTITUTE(UPPER(IFERROR(INDEX('Registro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4" s="13" t="str">
        <f aca="false">IF($B114="","",TRIM(SUBSTITUTE(SUBSTITUTE(SUBSTITUTE(SUBSTITUTE(SUBSTITUTE(SUBSTITUTE(UPPER(IFERROR(INDEX('Registro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4" s="14" t="str">
        <f aca="false">IF($B114="","",TRIM(SUBSTITUTE(SUBSTITUTE(SUBSTITUTE(SUBSTITUTE(SUBSTITUTE(SUBSTITUTE(UPPER(IFERROR(INDEX('Registro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4" s="14" t="str">
        <f aca="false">IF($B114="","",TRIM(SUBSTITUTE(SUBSTITUTE(SUBSTITUTE(SUBSTITUTE(SUBSTITUTE(SUBSTITUTE(UPPER(IFERROR(INDEX('Registro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4" s="14" t="str">
        <f aca="false">IF($B114="","",TRIM(SUBSTITUTE(SUBSTITUTE(SUBSTITUTE(SUBSTITUTE(SUBSTITUTE(SUBSTITUTE(UPPER(IFERROR(INDEX('Registro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4" s="13" t="str">
        <f aca="false">IF($B114="","",TRIM(SUBSTITUTE(SUBSTITUTE(SUBSTITUTE(SUBSTITUTE(SUBSTITUTE(SUBSTITUTE(UPPER(IFERROR(INDEX('Registro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4" s="25" t="str">
        <f aca="false">IF($B114="","",IFERROR(INDEX('Registro de Comisión'!$H$5:$H$304,MATCH(ROW()-21,'Registro de Comisión'!$P$5:$P$304,0)),""))</f>
        <v/>
      </c>
      <c r="J114" s="14" t="str">
        <f aca="false">IF($B114="","",TRIM(SUBSTITUTE(SUBSTITUTE(SUBSTITUTE(SUBSTITUTE(SUBSTITUTE(SUBSTITUTE(UPPER(IFERROR(INDEX(tblPeriodos[Institución en el Período],MATCH($B114&amp;"-1",tblPeriodos[Clave (uso interno)],0)),"SIN PERIODO REGISTRADO")),"Á","A"),"É","E"),"Í","I"),"Ó","O"),"Ú","U"),"Ü","U")))</f>
        <v/>
      </c>
      <c r="K114" s="16" t="str">
        <f aca="false">IF($B114="","",IFERROR(_xlfn.MINIFS(tblPeriodos[Fecha Inicio del Período],tblPeriodos[Cédula],$B114),""))</f>
        <v/>
      </c>
      <c r="L114" s="16" t="str">
        <f aca="false">IF($B114="","",IFERROR(_xlfn.MAXIFS(tblPeriodos[Fecha Fin del Período],tblPeriodos[Cédula],$B114),""))</f>
        <v/>
      </c>
      <c r="M114" s="13" t="str">
        <f aca="false">IF($B114="","",COUNTIFS(tblPeriodos[Cédula],$B114))</f>
        <v/>
      </c>
      <c r="N114" s="17" t="str">
        <f aca="false">IF($B114="","",SUMIFS(tblPeriodos[Días del Período],tblPeriodos[Cédula],$B114))</f>
        <v/>
      </c>
      <c r="O114" s="18" t="str">
        <f aca="false">IF($B114="","",ROUND(N114/365.25,1))</f>
        <v/>
      </c>
      <c r="P114" s="16" t="str">
        <f aca="false">IF($B114="","",EDATE(K114,72))</f>
        <v/>
      </c>
      <c r="Q114" s="17" t="str">
        <f aca="true">IF($B114="","",P114-TODAY())</f>
        <v/>
      </c>
      <c r="R114" s="13" t="str">
        <f aca="false">IF($B114="","",IF(Q114&lt;=0,"🔴 SUPERO LIMITE LEGAL",IF(Q114&lt;=180,"🟠 PROXIMO AL LIMITE (6 ANOS)",IF(Q114&lt;=365,"🟡 VIGILAR (&lt; 1 ANO)","🟢 DENTRO DEL LIMITE"))))</f>
        <v/>
      </c>
      <c r="S114" s="17" t="str">
        <f aca="true">IF($B114="","",L114-TODAY())</f>
        <v/>
      </c>
      <c r="T114" s="13" t="str">
        <f aca="false">IF($B114="","",IF(S114&lt;0,"🔴 COMISION VENCIDA",IF(S114&lt;=90,"🟠 VENCE PRONTO (&lt;=90 DIAS)",IF(S114&lt;=180,"🟡 PROXIMA A VENCER (&lt;=180 DIAS)","🟢 VIGENTE"))))</f>
        <v/>
      </c>
      <c r="U114" s="13" t="str">
        <f aca="false">IF($B114="","",IF(ABS(N114-(L114-K114+1))&lt;=3,"CONTINUA","CON INTERRUPCIONES - REVISAR"))</f>
        <v/>
      </c>
      <c r="V114" s="14" t="str">
        <f aca="false">IF($B114="","",TRIM(SUBSTITUTE(SUBSTITUTE(SUBSTITUTE(SUBSTITUTE(SUBSTITUTE(SUBSTITUTE(UPPER(IFERROR(INDEX('Registro de Comisión'!$L$5:$L$304,MATCH($B114&amp;"-ACT",'Registro de Comisión'!$N$5:$N$304,0)),"SIN REGISTRAR")),"Á","A"),"É","E"),"Í","I"),"Ó","O"),"Ú","U"),"Ü","U")))</f>
        <v/>
      </c>
      <c r="W114" s="14"/>
    </row>
    <row r="115" customFormat="false" ht="15" hidden="false" customHeight="false" outlineLevel="0" collapsed="false">
      <c r="A115" s="19" t="str">
        <f aca="false">IF($B115="","",ROW()-6)</f>
        <v/>
      </c>
      <c r="B115" s="19" t="str">
        <f aca="false">IFERROR(INDEX('Registro de Comisión'!$A$5:$A$304,MATCH(ROW()-21,'Registro de Comisión'!$P$5:$P$304,0)),"")</f>
        <v/>
      </c>
      <c r="C115" s="20" t="str">
        <f aca="false">IF($B115="","",TRIM(SUBSTITUTE(SUBSTITUTE(SUBSTITUTE(SUBSTITUTE(SUBSTITUTE(SUBSTITUTE(UPPER(IFERROR(INDEX('Registro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5" s="19" t="str">
        <f aca="false">IF($B115="","",TRIM(SUBSTITUTE(SUBSTITUTE(SUBSTITUTE(SUBSTITUTE(SUBSTITUTE(SUBSTITUTE(UPPER(IFERROR(INDEX('Registro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5" s="20" t="str">
        <f aca="false">IF($B115="","",TRIM(SUBSTITUTE(SUBSTITUTE(SUBSTITUTE(SUBSTITUTE(SUBSTITUTE(SUBSTITUTE(UPPER(IFERROR(INDEX('Registro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5" s="20" t="str">
        <f aca="false">IF($B115="","",TRIM(SUBSTITUTE(SUBSTITUTE(SUBSTITUTE(SUBSTITUTE(SUBSTITUTE(SUBSTITUTE(UPPER(IFERROR(INDEX('Registro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5" s="20" t="str">
        <f aca="false">IF($B115="","",TRIM(SUBSTITUTE(SUBSTITUTE(SUBSTITUTE(SUBSTITUTE(SUBSTITUTE(SUBSTITUTE(UPPER(IFERROR(INDEX('Registro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5" s="19" t="str">
        <f aca="false">IF($B115="","",TRIM(SUBSTITUTE(SUBSTITUTE(SUBSTITUTE(SUBSTITUTE(SUBSTITUTE(SUBSTITUTE(UPPER(IFERROR(INDEX('Registro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5" s="26" t="str">
        <f aca="false">IF($B115="","",IFERROR(INDEX('Registro de Comisión'!$H$5:$H$304,MATCH(ROW()-21,'Registro de Comisión'!$P$5:$P$304,0)),""))</f>
        <v/>
      </c>
      <c r="J115" s="20" t="str">
        <f aca="false">IF($B115="","",TRIM(SUBSTITUTE(SUBSTITUTE(SUBSTITUTE(SUBSTITUTE(SUBSTITUTE(SUBSTITUTE(UPPER(IFERROR(INDEX(tblPeriodos[Institución en el Período],MATCH($B115&amp;"-1",tblPeriodos[Clave (uso interno)],0)),"SIN PERIODO REGISTRADO")),"Á","A"),"É","E"),"Í","I"),"Ó","O"),"Ú","U"),"Ü","U")))</f>
        <v/>
      </c>
      <c r="K115" s="22" t="str">
        <f aca="false">IF($B115="","",IFERROR(_xlfn.MINIFS(tblPeriodos[Fecha Inicio del Período],tblPeriodos[Cédula],$B115),""))</f>
        <v/>
      </c>
      <c r="L115" s="22" t="str">
        <f aca="false">IF($B115="","",IFERROR(_xlfn.MAXIFS(tblPeriodos[Fecha Fin del Período],tblPeriodos[Cédula],$B115),""))</f>
        <v/>
      </c>
      <c r="M115" s="19" t="str">
        <f aca="false">IF($B115="","",COUNTIFS(tblPeriodos[Cédula],$B115))</f>
        <v/>
      </c>
      <c r="N115" s="23" t="str">
        <f aca="false">IF($B115="","",SUMIFS(tblPeriodos[Días del Período],tblPeriodos[Cédula],$B115))</f>
        <v/>
      </c>
      <c r="O115" s="24" t="str">
        <f aca="false">IF($B115="","",ROUND(N115/365.25,1))</f>
        <v/>
      </c>
      <c r="P115" s="22" t="str">
        <f aca="false">IF($B115="","",EDATE(K115,72))</f>
        <v/>
      </c>
      <c r="Q115" s="23" t="str">
        <f aca="true">IF($B115="","",P115-TODAY())</f>
        <v/>
      </c>
      <c r="R115" s="19" t="str">
        <f aca="false">IF($B115="","",IF(Q115&lt;=0,"🔴 SUPERO LIMITE LEGAL",IF(Q115&lt;=180,"🟠 PROXIMO AL LIMITE (6 ANOS)",IF(Q115&lt;=365,"🟡 VIGILAR (&lt; 1 ANO)","🟢 DENTRO DEL LIMITE"))))</f>
        <v/>
      </c>
      <c r="S115" s="23" t="str">
        <f aca="true">IF($B115="","",L115-TODAY())</f>
        <v/>
      </c>
      <c r="T115" s="19" t="str">
        <f aca="false">IF($B115="","",IF(S115&lt;0,"🔴 COMISION VENCIDA",IF(S115&lt;=90,"🟠 VENCE PRONTO (&lt;=90 DIAS)",IF(S115&lt;=180,"🟡 PROXIMA A VENCER (&lt;=180 DIAS)","🟢 VIGENTE"))))</f>
        <v/>
      </c>
      <c r="U115" s="19" t="str">
        <f aca="false">IF($B115="","",IF(ABS(N115-(L115-K115+1))&lt;=3,"CONTINUA","CON INTERRUPCIONES - REVISAR"))</f>
        <v/>
      </c>
      <c r="V115" s="20" t="str">
        <f aca="false">IF($B115="","",TRIM(SUBSTITUTE(SUBSTITUTE(SUBSTITUTE(SUBSTITUTE(SUBSTITUTE(SUBSTITUTE(UPPER(IFERROR(INDEX('Registro de Comisión'!$L$5:$L$304,MATCH($B115&amp;"-ACT",'Registro de Comisión'!$N$5:$N$304,0)),"SIN REGISTRAR")),"Á","A"),"É","E"),"Í","I"),"Ó","O"),"Ú","U"),"Ü","U")))</f>
        <v/>
      </c>
      <c r="W115" s="20"/>
    </row>
    <row r="116" customFormat="false" ht="15" hidden="false" customHeight="false" outlineLevel="0" collapsed="false">
      <c r="A116" s="13" t="str">
        <f aca="false">IF($B116="","",ROW()-6)</f>
        <v/>
      </c>
      <c r="B116" s="13" t="str">
        <f aca="false">IFERROR(INDEX('Registro de Comisión'!$A$5:$A$304,MATCH(ROW()-21,'Registro de Comisión'!$P$5:$P$304,0)),"")</f>
        <v/>
      </c>
      <c r="C116" s="14" t="str">
        <f aca="false">IF($B116="","",TRIM(SUBSTITUTE(SUBSTITUTE(SUBSTITUTE(SUBSTITUTE(SUBSTITUTE(SUBSTITUTE(UPPER(IFERROR(INDEX('Registro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6" s="13" t="str">
        <f aca="false">IF($B116="","",TRIM(SUBSTITUTE(SUBSTITUTE(SUBSTITUTE(SUBSTITUTE(SUBSTITUTE(SUBSTITUTE(UPPER(IFERROR(INDEX('Registro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6" s="14" t="str">
        <f aca="false">IF($B116="","",TRIM(SUBSTITUTE(SUBSTITUTE(SUBSTITUTE(SUBSTITUTE(SUBSTITUTE(SUBSTITUTE(UPPER(IFERROR(INDEX('Registro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6" s="14" t="str">
        <f aca="false">IF($B116="","",TRIM(SUBSTITUTE(SUBSTITUTE(SUBSTITUTE(SUBSTITUTE(SUBSTITUTE(SUBSTITUTE(UPPER(IFERROR(INDEX('Registro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6" s="14" t="str">
        <f aca="false">IF($B116="","",TRIM(SUBSTITUTE(SUBSTITUTE(SUBSTITUTE(SUBSTITUTE(SUBSTITUTE(SUBSTITUTE(UPPER(IFERROR(INDEX('Registro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6" s="13" t="str">
        <f aca="false">IF($B116="","",TRIM(SUBSTITUTE(SUBSTITUTE(SUBSTITUTE(SUBSTITUTE(SUBSTITUTE(SUBSTITUTE(UPPER(IFERROR(INDEX('Registro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6" s="25" t="str">
        <f aca="false">IF($B116="","",IFERROR(INDEX('Registro de Comisión'!$H$5:$H$304,MATCH(ROW()-21,'Registro de Comisión'!$P$5:$P$304,0)),""))</f>
        <v/>
      </c>
      <c r="J116" s="14" t="str">
        <f aca="false">IF($B116="","",TRIM(SUBSTITUTE(SUBSTITUTE(SUBSTITUTE(SUBSTITUTE(SUBSTITUTE(SUBSTITUTE(UPPER(IFERROR(INDEX(tblPeriodos[Institución en el Período],MATCH($B116&amp;"-1",tblPeriodos[Clave (uso interno)],0)),"SIN PERIODO REGISTRADO")),"Á","A"),"É","E"),"Í","I"),"Ó","O"),"Ú","U"),"Ü","U")))</f>
        <v/>
      </c>
      <c r="K116" s="16" t="str">
        <f aca="false">IF($B116="","",IFERROR(_xlfn.MINIFS(tblPeriodos[Fecha Inicio del Período],tblPeriodos[Cédula],$B116),""))</f>
        <v/>
      </c>
      <c r="L116" s="16" t="str">
        <f aca="false">IF($B116="","",IFERROR(_xlfn.MAXIFS(tblPeriodos[Fecha Fin del Período],tblPeriodos[Cédula],$B116),""))</f>
        <v/>
      </c>
      <c r="M116" s="13" t="str">
        <f aca="false">IF($B116="","",COUNTIFS(tblPeriodos[Cédula],$B116))</f>
        <v/>
      </c>
      <c r="N116" s="17" t="str">
        <f aca="false">IF($B116="","",SUMIFS(tblPeriodos[Días del Período],tblPeriodos[Cédula],$B116))</f>
        <v/>
      </c>
      <c r="O116" s="18" t="str">
        <f aca="false">IF($B116="","",ROUND(N116/365.25,1))</f>
        <v/>
      </c>
      <c r="P116" s="16" t="str">
        <f aca="false">IF($B116="","",EDATE(K116,72))</f>
        <v/>
      </c>
      <c r="Q116" s="17" t="str">
        <f aca="true">IF($B116="","",P116-TODAY())</f>
        <v/>
      </c>
      <c r="R116" s="13" t="str">
        <f aca="false">IF($B116="","",IF(Q116&lt;=0,"🔴 SUPERO LIMITE LEGAL",IF(Q116&lt;=180,"🟠 PROXIMO AL LIMITE (6 ANOS)",IF(Q116&lt;=365,"🟡 VIGILAR (&lt; 1 ANO)","🟢 DENTRO DEL LIMITE"))))</f>
        <v/>
      </c>
      <c r="S116" s="17" t="str">
        <f aca="true">IF($B116="","",L116-TODAY())</f>
        <v/>
      </c>
      <c r="T116" s="13" t="str">
        <f aca="false">IF($B116="","",IF(S116&lt;0,"🔴 COMISION VENCIDA",IF(S116&lt;=90,"🟠 VENCE PRONTO (&lt;=90 DIAS)",IF(S116&lt;=180,"🟡 PROXIMA A VENCER (&lt;=180 DIAS)","🟢 VIGENTE"))))</f>
        <v/>
      </c>
      <c r="U116" s="13" t="str">
        <f aca="false">IF($B116="","",IF(ABS(N116-(L116-K116+1))&lt;=3,"CONTINUA","CON INTERRUPCIONES - REVISAR"))</f>
        <v/>
      </c>
      <c r="V116" s="14" t="str">
        <f aca="false">IF($B116="","",TRIM(SUBSTITUTE(SUBSTITUTE(SUBSTITUTE(SUBSTITUTE(SUBSTITUTE(SUBSTITUTE(UPPER(IFERROR(INDEX('Registro de Comisión'!$L$5:$L$304,MATCH($B116&amp;"-ACT",'Registro de Comisión'!$N$5:$N$304,0)),"SIN REGISTRAR")),"Á","A"),"É","E"),"Í","I"),"Ó","O"),"Ú","U"),"Ü","U")))</f>
        <v/>
      </c>
      <c r="W116" s="14"/>
    </row>
    <row r="117" customFormat="false" ht="15" hidden="false" customHeight="false" outlineLevel="0" collapsed="false">
      <c r="A117" s="19" t="str">
        <f aca="false">IF($B117="","",ROW()-6)</f>
        <v/>
      </c>
      <c r="B117" s="19" t="str">
        <f aca="false">IFERROR(INDEX('Registro de Comisión'!$A$5:$A$304,MATCH(ROW()-21,'Registro de Comisión'!$P$5:$P$304,0)),"")</f>
        <v/>
      </c>
      <c r="C117" s="20" t="str">
        <f aca="false">IF($B117="","",TRIM(SUBSTITUTE(SUBSTITUTE(SUBSTITUTE(SUBSTITUTE(SUBSTITUTE(SUBSTITUTE(UPPER(IFERROR(INDEX('Registro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7" s="19" t="str">
        <f aca="false">IF($B117="","",TRIM(SUBSTITUTE(SUBSTITUTE(SUBSTITUTE(SUBSTITUTE(SUBSTITUTE(SUBSTITUTE(UPPER(IFERROR(INDEX('Registro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7" s="20" t="str">
        <f aca="false">IF($B117="","",TRIM(SUBSTITUTE(SUBSTITUTE(SUBSTITUTE(SUBSTITUTE(SUBSTITUTE(SUBSTITUTE(UPPER(IFERROR(INDEX('Registro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7" s="20" t="str">
        <f aca="false">IF($B117="","",TRIM(SUBSTITUTE(SUBSTITUTE(SUBSTITUTE(SUBSTITUTE(SUBSTITUTE(SUBSTITUTE(UPPER(IFERROR(INDEX('Registro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7" s="20" t="str">
        <f aca="false">IF($B117="","",TRIM(SUBSTITUTE(SUBSTITUTE(SUBSTITUTE(SUBSTITUTE(SUBSTITUTE(SUBSTITUTE(UPPER(IFERROR(INDEX('Registro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7" s="19" t="str">
        <f aca="false">IF($B117="","",TRIM(SUBSTITUTE(SUBSTITUTE(SUBSTITUTE(SUBSTITUTE(SUBSTITUTE(SUBSTITUTE(UPPER(IFERROR(INDEX('Registro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7" s="26" t="str">
        <f aca="false">IF($B117="","",IFERROR(INDEX('Registro de Comisión'!$H$5:$H$304,MATCH(ROW()-21,'Registro de Comisión'!$P$5:$P$304,0)),""))</f>
        <v/>
      </c>
      <c r="J117" s="20" t="str">
        <f aca="false">IF($B117="","",TRIM(SUBSTITUTE(SUBSTITUTE(SUBSTITUTE(SUBSTITUTE(SUBSTITUTE(SUBSTITUTE(UPPER(IFERROR(INDEX(tblPeriodos[Institución en el Período],MATCH($B117&amp;"-1",tblPeriodos[Clave (uso interno)],0)),"SIN PERIODO REGISTRADO")),"Á","A"),"É","E"),"Í","I"),"Ó","O"),"Ú","U"),"Ü","U")))</f>
        <v/>
      </c>
      <c r="K117" s="22" t="str">
        <f aca="false">IF($B117="","",IFERROR(_xlfn.MINIFS(tblPeriodos[Fecha Inicio del Período],tblPeriodos[Cédula],$B117),""))</f>
        <v/>
      </c>
      <c r="L117" s="22" t="str">
        <f aca="false">IF($B117="","",IFERROR(_xlfn.MAXIFS(tblPeriodos[Fecha Fin del Período],tblPeriodos[Cédula],$B117),""))</f>
        <v/>
      </c>
      <c r="M117" s="19" t="str">
        <f aca="false">IF($B117="","",COUNTIFS(tblPeriodos[Cédula],$B117))</f>
        <v/>
      </c>
      <c r="N117" s="23" t="str">
        <f aca="false">IF($B117="","",SUMIFS(tblPeriodos[Días del Período],tblPeriodos[Cédula],$B117))</f>
        <v/>
      </c>
      <c r="O117" s="24" t="str">
        <f aca="false">IF($B117="","",ROUND(N117/365.25,1))</f>
        <v/>
      </c>
      <c r="P117" s="22" t="str">
        <f aca="false">IF($B117="","",EDATE(K117,72))</f>
        <v/>
      </c>
      <c r="Q117" s="23" t="str">
        <f aca="true">IF($B117="","",P117-TODAY())</f>
        <v/>
      </c>
      <c r="R117" s="19" t="str">
        <f aca="false">IF($B117="","",IF(Q117&lt;=0,"🔴 SUPERO LIMITE LEGAL",IF(Q117&lt;=180,"🟠 PROXIMO AL LIMITE (6 ANOS)",IF(Q117&lt;=365,"🟡 VIGILAR (&lt; 1 ANO)","🟢 DENTRO DEL LIMITE"))))</f>
        <v/>
      </c>
      <c r="S117" s="23" t="str">
        <f aca="true">IF($B117="","",L117-TODAY())</f>
        <v/>
      </c>
      <c r="T117" s="19" t="str">
        <f aca="false">IF($B117="","",IF(S117&lt;0,"🔴 COMISION VENCIDA",IF(S117&lt;=90,"🟠 VENCE PRONTO (&lt;=90 DIAS)",IF(S117&lt;=180,"🟡 PROXIMA A VENCER (&lt;=180 DIAS)","🟢 VIGENTE"))))</f>
        <v/>
      </c>
      <c r="U117" s="19" t="str">
        <f aca="false">IF($B117="","",IF(ABS(N117-(L117-K117+1))&lt;=3,"CONTINUA","CON INTERRUPCIONES - REVISAR"))</f>
        <v/>
      </c>
      <c r="V117" s="20" t="str">
        <f aca="false">IF($B117="","",TRIM(SUBSTITUTE(SUBSTITUTE(SUBSTITUTE(SUBSTITUTE(SUBSTITUTE(SUBSTITUTE(UPPER(IFERROR(INDEX('Registro de Comisión'!$L$5:$L$304,MATCH($B117&amp;"-ACT",'Registro de Comisión'!$N$5:$N$304,0)),"SIN REGISTRAR")),"Á","A"),"É","E"),"Í","I"),"Ó","O"),"Ú","U"),"Ü","U")))</f>
        <v/>
      </c>
      <c r="W117" s="20"/>
    </row>
    <row r="118" customFormat="false" ht="15" hidden="false" customHeight="false" outlineLevel="0" collapsed="false">
      <c r="A118" s="13" t="str">
        <f aca="false">IF($B118="","",ROW()-6)</f>
        <v/>
      </c>
      <c r="B118" s="13" t="str">
        <f aca="false">IFERROR(INDEX('Registro de Comisión'!$A$5:$A$304,MATCH(ROW()-21,'Registro de Comisión'!$P$5:$P$304,0)),"")</f>
        <v/>
      </c>
      <c r="C118" s="14" t="str">
        <f aca="false">IF($B118="","",TRIM(SUBSTITUTE(SUBSTITUTE(SUBSTITUTE(SUBSTITUTE(SUBSTITUTE(SUBSTITUTE(UPPER(IFERROR(INDEX('Registro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8" s="13" t="str">
        <f aca="false">IF($B118="","",TRIM(SUBSTITUTE(SUBSTITUTE(SUBSTITUTE(SUBSTITUTE(SUBSTITUTE(SUBSTITUTE(UPPER(IFERROR(INDEX('Registro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8" s="14" t="str">
        <f aca="false">IF($B118="","",TRIM(SUBSTITUTE(SUBSTITUTE(SUBSTITUTE(SUBSTITUTE(SUBSTITUTE(SUBSTITUTE(UPPER(IFERROR(INDEX('Registro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8" s="14" t="str">
        <f aca="false">IF($B118="","",TRIM(SUBSTITUTE(SUBSTITUTE(SUBSTITUTE(SUBSTITUTE(SUBSTITUTE(SUBSTITUTE(UPPER(IFERROR(INDEX('Registro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8" s="14" t="str">
        <f aca="false">IF($B118="","",TRIM(SUBSTITUTE(SUBSTITUTE(SUBSTITUTE(SUBSTITUTE(SUBSTITUTE(SUBSTITUTE(UPPER(IFERROR(INDEX('Registro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8" s="13" t="str">
        <f aca="false">IF($B118="","",TRIM(SUBSTITUTE(SUBSTITUTE(SUBSTITUTE(SUBSTITUTE(SUBSTITUTE(SUBSTITUTE(UPPER(IFERROR(INDEX('Registro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8" s="25" t="str">
        <f aca="false">IF($B118="","",IFERROR(INDEX('Registro de Comisión'!$H$5:$H$304,MATCH(ROW()-21,'Registro de Comisión'!$P$5:$P$304,0)),""))</f>
        <v/>
      </c>
      <c r="J118" s="14" t="str">
        <f aca="false">IF($B118="","",TRIM(SUBSTITUTE(SUBSTITUTE(SUBSTITUTE(SUBSTITUTE(SUBSTITUTE(SUBSTITUTE(UPPER(IFERROR(INDEX(tblPeriodos[Institución en el Período],MATCH($B118&amp;"-1",tblPeriodos[Clave (uso interno)],0)),"SIN PERIODO REGISTRADO")),"Á","A"),"É","E"),"Í","I"),"Ó","O"),"Ú","U"),"Ü","U")))</f>
        <v/>
      </c>
      <c r="K118" s="16" t="str">
        <f aca="false">IF($B118="","",IFERROR(_xlfn.MINIFS(tblPeriodos[Fecha Inicio del Período],tblPeriodos[Cédula],$B118),""))</f>
        <v/>
      </c>
      <c r="L118" s="16" t="str">
        <f aca="false">IF($B118="","",IFERROR(_xlfn.MAXIFS(tblPeriodos[Fecha Fin del Período],tblPeriodos[Cédula],$B118),""))</f>
        <v/>
      </c>
      <c r="M118" s="13" t="str">
        <f aca="false">IF($B118="","",COUNTIFS(tblPeriodos[Cédula],$B118))</f>
        <v/>
      </c>
      <c r="N118" s="17" t="str">
        <f aca="false">IF($B118="","",SUMIFS(tblPeriodos[Días del Período],tblPeriodos[Cédula],$B118))</f>
        <v/>
      </c>
      <c r="O118" s="18" t="str">
        <f aca="false">IF($B118="","",ROUND(N118/365.25,1))</f>
        <v/>
      </c>
      <c r="P118" s="16" t="str">
        <f aca="false">IF($B118="","",EDATE(K118,72))</f>
        <v/>
      </c>
      <c r="Q118" s="17" t="str">
        <f aca="true">IF($B118="","",P118-TODAY())</f>
        <v/>
      </c>
      <c r="R118" s="13" t="str">
        <f aca="false">IF($B118="","",IF(Q118&lt;=0,"🔴 SUPERO LIMITE LEGAL",IF(Q118&lt;=180,"🟠 PROXIMO AL LIMITE (6 ANOS)",IF(Q118&lt;=365,"🟡 VIGILAR (&lt; 1 ANO)","🟢 DENTRO DEL LIMITE"))))</f>
        <v/>
      </c>
      <c r="S118" s="17" t="str">
        <f aca="true">IF($B118="","",L118-TODAY())</f>
        <v/>
      </c>
      <c r="T118" s="13" t="str">
        <f aca="false">IF($B118="","",IF(S118&lt;0,"🔴 COMISION VENCIDA",IF(S118&lt;=90,"🟠 VENCE PRONTO (&lt;=90 DIAS)",IF(S118&lt;=180,"🟡 PROXIMA A VENCER (&lt;=180 DIAS)","🟢 VIGENTE"))))</f>
        <v/>
      </c>
      <c r="U118" s="13" t="str">
        <f aca="false">IF($B118="","",IF(ABS(N118-(L118-K118+1))&lt;=3,"CONTINUA","CON INTERRUPCIONES - REVISAR"))</f>
        <v/>
      </c>
      <c r="V118" s="14" t="str">
        <f aca="false">IF($B118="","",TRIM(SUBSTITUTE(SUBSTITUTE(SUBSTITUTE(SUBSTITUTE(SUBSTITUTE(SUBSTITUTE(UPPER(IFERROR(INDEX('Registro de Comisión'!$L$5:$L$304,MATCH($B118&amp;"-ACT",'Registro de Comisión'!$N$5:$N$304,0)),"SIN REGISTRAR")),"Á","A"),"É","E"),"Í","I"),"Ó","O"),"Ú","U"),"Ü","U")))</f>
        <v/>
      </c>
      <c r="W118" s="14"/>
    </row>
    <row r="119" customFormat="false" ht="15" hidden="false" customHeight="false" outlineLevel="0" collapsed="false">
      <c r="A119" s="19" t="str">
        <f aca="false">IF($B119="","",ROW()-6)</f>
        <v/>
      </c>
      <c r="B119" s="19" t="str">
        <f aca="false">IFERROR(INDEX('Registro de Comisión'!$A$5:$A$304,MATCH(ROW()-21,'Registro de Comisión'!$P$5:$P$304,0)),"")</f>
        <v/>
      </c>
      <c r="C119" s="20" t="str">
        <f aca="false">IF($B119="","",TRIM(SUBSTITUTE(SUBSTITUTE(SUBSTITUTE(SUBSTITUTE(SUBSTITUTE(SUBSTITUTE(UPPER(IFERROR(INDEX('Registro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19" s="19" t="str">
        <f aca="false">IF($B119="","",TRIM(SUBSTITUTE(SUBSTITUTE(SUBSTITUTE(SUBSTITUTE(SUBSTITUTE(SUBSTITUTE(UPPER(IFERROR(INDEX('Registro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19" s="20" t="str">
        <f aca="false">IF($B119="","",TRIM(SUBSTITUTE(SUBSTITUTE(SUBSTITUTE(SUBSTITUTE(SUBSTITUTE(SUBSTITUTE(UPPER(IFERROR(INDEX('Registro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19" s="20" t="str">
        <f aca="false">IF($B119="","",TRIM(SUBSTITUTE(SUBSTITUTE(SUBSTITUTE(SUBSTITUTE(SUBSTITUTE(SUBSTITUTE(UPPER(IFERROR(INDEX('Registro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19" s="20" t="str">
        <f aca="false">IF($B119="","",TRIM(SUBSTITUTE(SUBSTITUTE(SUBSTITUTE(SUBSTITUTE(SUBSTITUTE(SUBSTITUTE(UPPER(IFERROR(INDEX('Registro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19" s="19" t="str">
        <f aca="false">IF($B119="","",TRIM(SUBSTITUTE(SUBSTITUTE(SUBSTITUTE(SUBSTITUTE(SUBSTITUTE(SUBSTITUTE(UPPER(IFERROR(INDEX('Registro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19" s="26" t="str">
        <f aca="false">IF($B119="","",IFERROR(INDEX('Registro de Comisión'!$H$5:$H$304,MATCH(ROW()-21,'Registro de Comisión'!$P$5:$P$304,0)),""))</f>
        <v/>
      </c>
      <c r="J119" s="20" t="str">
        <f aca="false">IF($B119="","",TRIM(SUBSTITUTE(SUBSTITUTE(SUBSTITUTE(SUBSTITUTE(SUBSTITUTE(SUBSTITUTE(UPPER(IFERROR(INDEX(tblPeriodos[Institución en el Período],MATCH($B119&amp;"-1",tblPeriodos[Clave (uso interno)],0)),"SIN PERIODO REGISTRADO")),"Á","A"),"É","E"),"Í","I"),"Ó","O"),"Ú","U"),"Ü","U")))</f>
        <v/>
      </c>
      <c r="K119" s="22" t="str">
        <f aca="false">IF($B119="","",IFERROR(_xlfn.MINIFS(tblPeriodos[Fecha Inicio del Período],tblPeriodos[Cédula],$B119),""))</f>
        <v/>
      </c>
      <c r="L119" s="22" t="str">
        <f aca="false">IF($B119="","",IFERROR(_xlfn.MAXIFS(tblPeriodos[Fecha Fin del Período],tblPeriodos[Cédula],$B119),""))</f>
        <v/>
      </c>
      <c r="M119" s="19" t="str">
        <f aca="false">IF($B119="","",COUNTIFS(tblPeriodos[Cédula],$B119))</f>
        <v/>
      </c>
      <c r="N119" s="23" t="str">
        <f aca="false">IF($B119="","",SUMIFS(tblPeriodos[Días del Período],tblPeriodos[Cédula],$B119))</f>
        <v/>
      </c>
      <c r="O119" s="24" t="str">
        <f aca="false">IF($B119="","",ROUND(N119/365.25,1))</f>
        <v/>
      </c>
      <c r="P119" s="22" t="str">
        <f aca="false">IF($B119="","",EDATE(K119,72))</f>
        <v/>
      </c>
      <c r="Q119" s="23" t="str">
        <f aca="true">IF($B119="","",P119-TODAY())</f>
        <v/>
      </c>
      <c r="R119" s="19" t="str">
        <f aca="false">IF($B119="","",IF(Q119&lt;=0,"🔴 SUPERO LIMITE LEGAL",IF(Q119&lt;=180,"🟠 PROXIMO AL LIMITE (6 ANOS)",IF(Q119&lt;=365,"🟡 VIGILAR (&lt; 1 ANO)","🟢 DENTRO DEL LIMITE"))))</f>
        <v/>
      </c>
      <c r="S119" s="23" t="str">
        <f aca="true">IF($B119="","",L119-TODAY())</f>
        <v/>
      </c>
      <c r="T119" s="19" t="str">
        <f aca="false">IF($B119="","",IF(S119&lt;0,"🔴 COMISION VENCIDA",IF(S119&lt;=90,"🟠 VENCE PRONTO (&lt;=90 DIAS)",IF(S119&lt;=180,"🟡 PROXIMA A VENCER (&lt;=180 DIAS)","🟢 VIGENTE"))))</f>
        <v/>
      </c>
      <c r="U119" s="19" t="str">
        <f aca="false">IF($B119="","",IF(ABS(N119-(L119-K119+1))&lt;=3,"CONTINUA","CON INTERRUPCIONES - REVISAR"))</f>
        <v/>
      </c>
      <c r="V119" s="20" t="str">
        <f aca="false">IF($B119="","",TRIM(SUBSTITUTE(SUBSTITUTE(SUBSTITUTE(SUBSTITUTE(SUBSTITUTE(SUBSTITUTE(UPPER(IFERROR(INDEX('Registro de Comisión'!$L$5:$L$304,MATCH($B119&amp;"-ACT",'Registro de Comisión'!$N$5:$N$304,0)),"SIN REGISTRAR")),"Á","A"),"É","E"),"Í","I"),"Ó","O"),"Ú","U"),"Ü","U")))</f>
        <v/>
      </c>
      <c r="W119" s="20"/>
    </row>
    <row r="120" customFormat="false" ht="15" hidden="false" customHeight="false" outlineLevel="0" collapsed="false">
      <c r="A120" s="13" t="str">
        <f aca="false">IF($B120="","",ROW()-6)</f>
        <v/>
      </c>
      <c r="B120" s="13" t="str">
        <f aca="false">IFERROR(INDEX('Registro de Comisión'!$A$5:$A$304,MATCH(ROW()-21,'Registro de Comisión'!$P$5:$P$304,0)),"")</f>
        <v/>
      </c>
      <c r="C120" s="14" t="str">
        <f aca="false">IF($B120="","",TRIM(SUBSTITUTE(SUBSTITUTE(SUBSTITUTE(SUBSTITUTE(SUBSTITUTE(SUBSTITUTE(UPPER(IFERROR(INDEX('Registro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20" s="13" t="str">
        <f aca="false">IF($B120="","",TRIM(SUBSTITUTE(SUBSTITUTE(SUBSTITUTE(SUBSTITUTE(SUBSTITUTE(SUBSTITUTE(UPPER(IFERROR(INDEX('Registro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20" s="14" t="str">
        <f aca="false">IF($B120="","",TRIM(SUBSTITUTE(SUBSTITUTE(SUBSTITUTE(SUBSTITUTE(SUBSTITUTE(SUBSTITUTE(UPPER(IFERROR(INDEX('Registro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20" s="14" t="str">
        <f aca="false">IF($B120="","",TRIM(SUBSTITUTE(SUBSTITUTE(SUBSTITUTE(SUBSTITUTE(SUBSTITUTE(SUBSTITUTE(UPPER(IFERROR(INDEX('Registro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20" s="14" t="str">
        <f aca="false">IF($B120="","",TRIM(SUBSTITUTE(SUBSTITUTE(SUBSTITUTE(SUBSTITUTE(SUBSTITUTE(SUBSTITUTE(UPPER(IFERROR(INDEX('Registro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20" s="13" t="str">
        <f aca="false">IF($B120="","",TRIM(SUBSTITUTE(SUBSTITUTE(SUBSTITUTE(SUBSTITUTE(SUBSTITUTE(SUBSTITUTE(UPPER(IFERROR(INDEX('Registro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20" s="25" t="str">
        <f aca="false">IF($B120="","",IFERROR(INDEX('Registro de Comisión'!$H$5:$H$304,MATCH(ROW()-21,'Registro de Comisión'!$P$5:$P$304,0)),""))</f>
        <v/>
      </c>
      <c r="J120" s="14" t="str">
        <f aca="false">IF($B120="","",TRIM(SUBSTITUTE(SUBSTITUTE(SUBSTITUTE(SUBSTITUTE(SUBSTITUTE(SUBSTITUTE(UPPER(IFERROR(INDEX(tblPeriodos[Institución en el Período],MATCH($B120&amp;"-1",tblPeriodos[Clave (uso interno)],0)),"SIN PERIODO REGISTRADO")),"Á","A"),"É","E"),"Í","I"),"Ó","O"),"Ú","U"),"Ü","U")))</f>
        <v/>
      </c>
      <c r="K120" s="16" t="str">
        <f aca="false">IF($B120="","",IFERROR(_xlfn.MINIFS(tblPeriodos[Fecha Inicio del Período],tblPeriodos[Cédula],$B120),""))</f>
        <v/>
      </c>
      <c r="L120" s="16" t="str">
        <f aca="false">IF($B120="","",IFERROR(_xlfn.MAXIFS(tblPeriodos[Fecha Fin del Período],tblPeriodos[Cédula],$B120),""))</f>
        <v/>
      </c>
      <c r="M120" s="13" t="str">
        <f aca="false">IF($B120="","",COUNTIFS(tblPeriodos[Cédula],$B120))</f>
        <v/>
      </c>
      <c r="N120" s="17" t="str">
        <f aca="false">IF($B120="","",SUMIFS(tblPeriodos[Días del Período],tblPeriodos[Cédula],$B120))</f>
        <v/>
      </c>
      <c r="O120" s="18" t="str">
        <f aca="false">IF($B120="","",ROUND(N120/365.25,1))</f>
        <v/>
      </c>
      <c r="P120" s="16" t="str">
        <f aca="false">IF($B120="","",EDATE(K120,72))</f>
        <v/>
      </c>
      <c r="Q120" s="17" t="str">
        <f aca="true">IF($B120="","",P120-TODAY())</f>
        <v/>
      </c>
      <c r="R120" s="13" t="str">
        <f aca="false">IF($B120="","",IF(Q120&lt;=0,"🔴 SUPERO LIMITE LEGAL",IF(Q120&lt;=180,"🟠 PROXIMO AL LIMITE (6 ANOS)",IF(Q120&lt;=365,"🟡 VIGILAR (&lt; 1 ANO)","🟢 DENTRO DEL LIMITE"))))</f>
        <v/>
      </c>
      <c r="S120" s="17" t="str">
        <f aca="true">IF($B120="","",L120-TODAY())</f>
        <v/>
      </c>
      <c r="T120" s="13" t="str">
        <f aca="false">IF($B120="","",IF(S120&lt;0,"🔴 COMISION VENCIDA",IF(S120&lt;=90,"🟠 VENCE PRONTO (&lt;=90 DIAS)",IF(S120&lt;=180,"🟡 PROXIMA A VENCER (&lt;=180 DIAS)","🟢 VIGENTE"))))</f>
        <v/>
      </c>
      <c r="U120" s="13" t="str">
        <f aca="false">IF($B120="","",IF(ABS(N120-(L120-K120+1))&lt;=3,"CONTINUA","CON INTERRUPCIONES - REVISAR"))</f>
        <v/>
      </c>
      <c r="V120" s="14" t="str">
        <f aca="false">IF($B120="","",TRIM(SUBSTITUTE(SUBSTITUTE(SUBSTITUTE(SUBSTITUTE(SUBSTITUTE(SUBSTITUTE(UPPER(IFERROR(INDEX('Registro de Comisión'!$L$5:$L$304,MATCH($B120&amp;"-ACT",'Registro de Comisión'!$N$5:$N$304,0)),"SIN REGISTRAR")),"Á","A"),"É","E"),"Í","I"),"Ó","O"),"Ú","U"),"Ü","U")))</f>
        <v/>
      </c>
      <c r="W120" s="14"/>
    </row>
    <row r="121" customFormat="false" ht="15" hidden="false" customHeight="false" outlineLevel="0" collapsed="false">
      <c r="A121" s="19" t="str">
        <f aca="false">IF($B121="","",ROW()-6)</f>
        <v/>
      </c>
      <c r="B121" s="19" t="str">
        <f aca="false">IFERROR(INDEX('Registro de Comisión'!$A$5:$A$304,MATCH(ROW()-21,'Registro de Comisión'!$P$5:$P$304,0)),"")</f>
        <v/>
      </c>
      <c r="C121" s="20" t="str">
        <f aca="false">IF($B121="","",TRIM(SUBSTITUTE(SUBSTITUTE(SUBSTITUTE(SUBSTITUTE(SUBSTITUTE(SUBSTITUTE(UPPER(IFERROR(INDEX('Registro de Comisión'!$B$5:$B$304,MATCH(ROW()-21,'Registro de Comisión'!$P$5:$P$304,0)),"")),"Á","A"),"É","E"),"Í","I"),"Ó","O"),"Ú","U"),"Ü","U")))</f>
        <v/>
      </c>
      <c r="D121" s="19" t="str">
        <f aca="false">IF($B121="","",TRIM(SUBSTITUTE(SUBSTITUTE(SUBSTITUTE(SUBSTITUTE(SUBSTITUTE(SUBSTITUTE(UPPER(IFERROR(INDEX('Registro de Comisión'!$C$5:$C$304,MATCH(ROW()-21,'Registro de Comisión'!$P$5:$P$304,0)),"")),"Á","A"),"É","E"),"Í","I"),"Ó","O"),"Ú","U"),"Ü","U")))</f>
        <v/>
      </c>
      <c r="E121" s="20" t="str">
        <f aca="false">IF($B121="","",TRIM(SUBSTITUTE(SUBSTITUTE(SUBSTITUTE(SUBSTITUTE(SUBSTITUTE(SUBSTITUTE(UPPER(IFERROR(INDEX('Registro de Comisión'!$D$5:$D$304,MATCH(ROW()-21,'Registro de Comisión'!$P$5:$P$304,0)),"")),"Á","A"),"É","E"),"Í","I"),"Ó","O"),"Ú","U"),"Ü","U")))</f>
        <v/>
      </c>
      <c r="F121" s="20" t="str">
        <f aca="false">IF($B121="","",TRIM(SUBSTITUTE(SUBSTITUTE(SUBSTITUTE(SUBSTITUTE(SUBSTITUTE(SUBSTITUTE(UPPER(IFERROR(INDEX('Registro de Comisión'!$E$5:$E$304,MATCH(ROW()-21,'Registro de Comisión'!$P$5:$P$304,0)),"")),"Á","A"),"É","E"),"Í","I"),"Ó","O"),"Ú","U"),"Ü","U")))</f>
        <v/>
      </c>
      <c r="G121" s="20" t="str">
        <f aca="false">IF($B121="","",TRIM(SUBSTITUTE(SUBSTITUTE(SUBSTITUTE(SUBSTITUTE(SUBSTITUTE(SUBSTITUTE(UPPER(IFERROR(INDEX('Registro de Comisión'!$F$5:$F$304,MATCH(ROW()-21,'Registro de Comisión'!$P$5:$P$304,0)),"")),"Á","A"),"É","E"),"Í","I"),"Ó","O"),"Ú","U"),"Ü","U")))</f>
        <v/>
      </c>
      <c r="H121" s="19" t="str">
        <f aca="false">IF($B121="","",TRIM(SUBSTITUTE(SUBSTITUTE(SUBSTITUTE(SUBSTITUTE(SUBSTITUTE(SUBSTITUTE(UPPER(IFERROR(INDEX('Registro de Comisión'!$G$5:$G$304,MATCH(ROW()-21,'Registro de Comisión'!$P$5:$P$304,0)),"")),"Á","A"),"É","E"),"Í","I"),"Ó","O"),"Ú","U"),"Ü","U")))</f>
        <v/>
      </c>
      <c r="I121" s="26" t="str">
        <f aca="false">IF($B121="","",IFERROR(INDEX('Registro de Comisión'!$H$5:$H$304,MATCH(ROW()-21,'Registro de Comisión'!$P$5:$P$304,0)),""))</f>
        <v/>
      </c>
      <c r="J121" s="20" t="str">
        <f aca="false">IF($B121="","",TRIM(SUBSTITUTE(SUBSTITUTE(SUBSTITUTE(SUBSTITUTE(SUBSTITUTE(SUBSTITUTE(UPPER(IFERROR(INDEX(tblPeriodos[Institución en el Período],MATCH($B121&amp;"-1",tblPeriodos[Clave (uso interno)],0)),"SIN PERIODO REGISTRADO")),"Á","A"),"É","E"),"Í","I"),"Ó","O"),"Ú","U"),"Ü","U")))</f>
        <v/>
      </c>
      <c r="K121" s="22" t="str">
        <f aca="false">IF($B121="","",IFERROR(_xlfn.MINIFS(tblPeriodos[Fecha Inicio del Período],tblPeriodos[Cédula],$B121),""))</f>
        <v/>
      </c>
      <c r="L121" s="22" t="str">
        <f aca="false">IF($B121="","",IFERROR(_xlfn.MAXIFS(tblPeriodos[Fecha Fin del Período],tblPeriodos[Cédula],$B121),""))</f>
        <v/>
      </c>
      <c r="M121" s="19" t="str">
        <f aca="false">IF($B121="","",COUNTIFS(tblPeriodos[Cédula],$B121))</f>
        <v/>
      </c>
      <c r="N121" s="23" t="str">
        <f aca="false">IF($B121="","",SUMIFS(tblPeriodos[Días del Período],tblPeriodos[Cédula],$B121))</f>
        <v/>
      </c>
      <c r="O121" s="24" t="str">
        <f aca="false">IF($B121="","",ROUND(N121/365.25,1))</f>
        <v/>
      </c>
      <c r="P121" s="22" t="str">
        <f aca="false">IF($B121="","",EDATE(K121,72))</f>
        <v/>
      </c>
      <c r="Q121" s="23" t="str">
        <f aca="true">IF($B121="","",P121-TODAY())</f>
        <v/>
      </c>
      <c r="R121" s="19" t="str">
        <f aca="false">IF($B121="","",IF(Q121&lt;=0,"🔴 SUPERO LIMITE LEGAL",IF(Q121&lt;=180,"🟠 PROXIMO AL LIMITE (6 ANOS)",IF(Q121&lt;=365,"🟡 VIGILAR (&lt; 1 ANO)","🟢 DENTRO DEL LIMITE"))))</f>
        <v/>
      </c>
      <c r="S121" s="23" t="str">
        <f aca="true">IF($B121="","",L121-TODAY())</f>
        <v/>
      </c>
      <c r="T121" s="19" t="str">
        <f aca="false">IF($B121="","",IF(S121&lt;0,"🔴 COMISION VENCIDA",IF(S121&lt;=90,"🟠 VENCE PRONTO (&lt;=90 DIAS)",IF(S121&lt;=180,"🟡 PROXIMA A VENCER (&lt;=180 DIAS)","🟢 VIGENTE"))))</f>
        <v/>
      </c>
      <c r="U121" s="19" t="str">
        <f aca="false">IF($B121="","",IF(ABS(N121-(L121-K121+1))&lt;=3,"CONTINUA","CON INTERRUPCIONES - REVISAR"))</f>
        <v/>
      </c>
      <c r="V121" s="20" t="str">
        <f aca="false">IF($B121="","",TRIM(SUBSTITUTE(SUBSTITUTE(SUBSTITUTE(SUBSTITUTE(SUBSTITUTE(SUBSTITUTE(UPPER(IFERROR(INDEX('Registro de Comisión'!$L$5:$L$304,MATCH($B121&amp;"-ACT",'Registro de Comisión'!$N$5:$N$304,0)),"SIN REGISTRAR")),"Á","A"),"É","E"),"Í","I"),"Ó","O"),"Ú","U"),"Ü","U")))</f>
        <v/>
      </c>
      <c r="W121" s="20"/>
    </row>
  </sheetData>
  <mergeCells count="5">
    <mergeCell ref="A1:W1"/>
    <mergeCell ref="A2:W2"/>
    <mergeCell ref="A4:C4"/>
    <mergeCell ref="D4:H4"/>
    <mergeCell ref="I4:M4"/>
  </mergeCells>
  <conditionalFormatting sqref="A7:W121">
    <cfRule type="expression" priority="2" aboveAverage="0" equalAverage="0" bottom="0" percent="0" rank="0" text="" dxfId="8">
      <formula>AND($D$4&lt;&gt;"",OR(ISNUMBER(SEARCH($D$4,$B7)),ISNUMBER(SEARCH($D$4,$C7))))</formula>
    </cfRule>
  </conditionalFormatting>
  <conditionalFormatting sqref="R7:R121">
    <cfRule type="expression" priority="3" aboveAverage="0" equalAverage="0" bottom="0" percent="0" rank="0" text="" dxfId="9">
      <formula>ISNUMBER(SEARCH("SUPERO",R7))</formula>
    </cfRule>
    <cfRule type="expression" priority="4" aboveAverage="0" equalAverage="0" bottom="0" percent="0" rank="0" text="" dxfId="10">
      <formula>ISNUMBER(SEARCH("PROXIMO",R7))</formula>
    </cfRule>
    <cfRule type="expression" priority="5" aboveAverage="0" equalAverage="0" bottom="0" percent="0" rank="0" text="" dxfId="11">
      <formula>ISNUMBER(SEARCH("VIGILAR",R7))</formula>
    </cfRule>
    <cfRule type="expression" priority="6" aboveAverage="0" equalAverage="0" bottom="0" percent="0" rank="0" text="" dxfId="12">
      <formula>ISNUMBER(SEARCH("DENTRO",R7))</formula>
    </cfRule>
  </conditionalFormatting>
  <conditionalFormatting sqref="T7:T121">
    <cfRule type="expression" priority="7" aboveAverage="0" equalAverage="0" bottom="0" percent="0" rank="0" text="" dxfId="9">
      <formula>ISNUMBER(SEARCH("VENCIDA",T7))</formula>
    </cfRule>
    <cfRule type="expression" priority="8" aboveAverage="0" equalAverage="0" bottom="0" percent="0" rank="0" text="" dxfId="10">
      <formula>ISNUMBER(SEARCH("VENCE PRONTO",T7))</formula>
    </cfRule>
    <cfRule type="expression" priority="9" aboveAverage="0" equalAverage="0" bottom="0" percent="0" rank="0" text="" dxfId="11">
      <formula>ISNUMBER(SEARCH("PROXIMA A VENCER",T7))</formula>
    </cfRule>
    <cfRule type="expression" priority="10" aboveAverage="0" equalAverage="0" bottom="0" percent="0" rank="0" text="" dxfId="12">
      <formula>ISNUMBER(SEARCH("VIGENTE",T7))</formula>
    </cfRule>
  </conditionalFormatting>
  <conditionalFormatting sqref="U7:U121">
    <cfRule type="expression" priority="11" aboveAverage="0" equalAverage="0" bottom="0" percent="0" rank="0" text="" dxfId="11">
      <formula>ISNUMBER(SEARCH("interrupciones",U7))</formula>
    </cfRule>
  </conditionalFormatting>
  <conditionalFormatting sqref="V7:V121">
    <cfRule type="expression" priority="12" aboveAverage="0" equalAverage="0" bottom="0" percent="0" rank="0" text="" dxfId="11">
      <formula>OR(ISNUMBER(SEARCH("INACTIVO",V7)),ISNUMBER(SEARCH("SIN REGISTRAR",V7)))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I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34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true" outlineLevel="0" max="9" min="9" style="1" width="16"/>
  </cols>
  <sheetData>
    <row r="1" customFormat="false" ht="27.75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12" t="s">
        <v>26</v>
      </c>
      <c r="B4" s="12" t="s">
        <v>27</v>
      </c>
      <c r="C4" s="12" t="s">
        <v>126</v>
      </c>
      <c r="D4" s="12" t="s">
        <v>127</v>
      </c>
      <c r="E4" s="12" t="s">
        <v>128</v>
      </c>
      <c r="F4" s="12" t="s">
        <v>129</v>
      </c>
      <c r="G4" s="12" t="s">
        <v>130</v>
      </c>
      <c r="H4" s="12" t="s">
        <v>131</v>
      </c>
      <c r="I4" s="12" t="s">
        <v>132</v>
      </c>
    </row>
    <row r="5" customFormat="false" ht="15" hidden="false" customHeight="true" outlineLevel="0" collapsed="false">
      <c r="A5" s="27" t="s">
        <v>48</v>
      </c>
      <c r="B5" s="27" t="s">
        <v>49</v>
      </c>
      <c r="C5" s="27" t="s">
        <v>133</v>
      </c>
      <c r="D5" s="28" t="n">
        <v>44635</v>
      </c>
      <c r="E5" s="28" t="n">
        <v>45000</v>
      </c>
      <c r="F5" s="29" t="n">
        <f aca="false">E5-D5+1</f>
        <v>366</v>
      </c>
      <c r="G5" s="27" t="n">
        <f aca="false">COUNTIFS($A$5:A5,A5)</f>
        <v>1</v>
      </c>
      <c r="H5" s="27" t="n">
        <f aca="false">IF(E5=_xlfn.MAXIFS($E$5:$E$304,$A$5:$A$304,A5),1,0)</f>
        <v>0</v>
      </c>
      <c r="I5" s="27" t="str">
        <f aca="false">A5&amp;"-"&amp;H5</f>
        <v>1713260295-0</v>
      </c>
    </row>
    <row r="6" customFormat="false" ht="15" hidden="false" customHeight="true" outlineLevel="0" collapsed="false">
      <c r="A6" s="30" t="s">
        <v>48</v>
      </c>
      <c r="B6" s="30" t="s">
        <v>49</v>
      </c>
      <c r="C6" s="30" t="s">
        <v>133</v>
      </c>
      <c r="D6" s="31" t="n">
        <v>45000</v>
      </c>
      <c r="E6" s="31" t="n">
        <v>45365</v>
      </c>
      <c r="F6" s="32" t="n">
        <f aca="false">E6-D6+1</f>
        <v>366</v>
      </c>
      <c r="G6" s="30" t="n">
        <f aca="false">COUNTIFS($A$5:A6,A6)</f>
        <v>2</v>
      </c>
      <c r="H6" s="30" t="n">
        <f aca="false">IF(E6=_xlfn.MAXIFS($E$5:$E$304,$A$5:$A$304,A6),1,0)</f>
        <v>0</v>
      </c>
      <c r="I6" s="30" t="str">
        <f aca="false">A6&amp;"-"&amp;H6</f>
        <v>1713260295-0</v>
      </c>
    </row>
    <row r="7" customFormat="false" ht="15" hidden="false" customHeight="true" outlineLevel="0" collapsed="false">
      <c r="A7" s="27" t="s">
        <v>48</v>
      </c>
      <c r="B7" s="27" t="s">
        <v>49</v>
      </c>
      <c r="C7" s="27" t="s">
        <v>133</v>
      </c>
      <c r="D7" s="28" t="n">
        <v>45366</v>
      </c>
      <c r="E7" s="28" t="n">
        <v>45730</v>
      </c>
      <c r="F7" s="29" t="n">
        <f aca="false">E7-D7+1</f>
        <v>365</v>
      </c>
      <c r="G7" s="27" t="n">
        <f aca="false">COUNTIFS($A$5:A7,A7)</f>
        <v>3</v>
      </c>
      <c r="H7" s="27" t="n">
        <f aca="false">IF(E7=_xlfn.MAXIFS($E$5:$E$304,$A$5:$A$304,A7),1,0)</f>
        <v>0</v>
      </c>
      <c r="I7" s="27" t="str">
        <f aca="false">A7&amp;"-"&amp;H7</f>
        <v>1713260295-0</v>
      </c>
    </row>
    <row r="8" customFormat="false" ht="15" hidden="false" customHeight="true" outlineLevel="0" collapsed="false">
      <c r="A8" s="30" t="s">
        <v>48</v>
      </c>
      <c r="B8" s="30" t="s">
        <v>49</v>
      </c>
      <c r="C8" s="30" t="s">
        <v>133</v>
      </c>
      <c r="D8" s="31" t="n">
        <v>45731</v>
      </c>
      <c r="E8" s="31" t="n">
        <v>46460</v>
      </c>
      <c r="F8" s="32" t="n">
        <f aca="false">E8-D8+1</f>
        <v>730</v>
      </c>
      <c r="G8" s="30" t="n">
        <f aca="false">COUNTIFS($A$5:A8,A8)</f>
        <v>4</v>
      </c>
      <c r="H8" s="30" t="n">
        <f aca="false">IF(E8=_xlfn.MAXIFS($E$5:$E$304,$A$5:$A$304,A8),1,0)</f>
        <v>1</v>
      </c>
      <c r="I8" s="30" t="str">
        <f aca="false">A8&amp;"-"&amp;H8</f>
        <v>1713260295-1</v>
      </c>
    </row>
    <row r="9" customFormat="false" ht="15" hidden="false" customHeight="true" outlineLevel="0" collapsed="false">
      <c r="A9" s="27" t="s">
        <v>56</v>
      </c>
      <c r="B9" s="27" t="s">
        <v>57</v>
      </c>
      <c r="C9" s="27" t="s">
        <v>133</v>
      </c>
      <c r="D9" s="28" t="n">
        <v>44697</v>
      </c>
      <c r="E9" s="28" t="n">
        <v>45062</v>
      </c>
      <c r="F9" s="29" t="n">
        <f aca="false">E9-D9+1</f>
        <v>366</v>
      </c>
      <c r="G9" s="27" t="n">
        <f aca="false">COUNTIFS($A$5:A9,A9)</f>
        <v>1</v>
      </c>
      <c r="H9" s="27" t="n">
        <f aca="false">IF(E9=_xlfn.MAXIFS($E$5:$E$304,$A$5:$A$304,A9),1,0)</f>
        <v>0</v>
      </c>
      <c r="I9" s="27" t="str">
        <f aca="false">A9&amp;"-"&amp;H9</f>
        <v>1722632476-0</v>
      </c>
    </row>
    <row r="10" customFormat="false" ht="15" hidden="false" customHeight="true" outlineLevel="0" collapsed="false">
      <c r="A10" s="30" t="s">
        <v>56</v>
      </c>
      <c r="B10" s="30" t="s">
        <v>57</v>
      </c>
      <c r="C10" s="30" t="s">
        <v>133</v>
      </c>
      <c r="D10" s="31" t="n">
        <v>45062</v>
      </c>
      <c r="E10" s="31" t="n">
        <v>45427</v>
      </c>
      <c r="F10" s="32" t="n">
        <f aca="false">E10-D10+1</f>
        <v>366</v>
      </c>
      <c r="G10" s="30" t="n">
        <f aca="false">COUNTIFS($A$5:A10,A10)</f>
        <v>2</v>
      </c>
      <c r="H10" s="30" t="n">
        <f aca="false">IF(E10=_xlfn.MAXIFS($E$5:$E$304,$A$5:$A$304,A10),1,0)</f>
        <v>0</v>
      </c>
      <c r="I10" s="30" t="str">
        <f aca="false">A10&amp;"-"&amp;H10</f>
        <v>1722632476-0</v>
      </c>
    </row>
    <row r="11" customFormat="false" ht="15" hidden="false" customHeight="true" outlineLevel="0" collapsed="false">
      <c r="A11" s="27" t="s">
        <v>56</v>
      </c>
      <c r="B11" s="27" t="s">
        <v>57</v>
      </c>
      <c r="C11" s="27" t="s">
        <v>133</v>
      </c>
      <c r="D11" s="28" t="n">
        <v>45428</v>
      </c>
      <c r="E11" s="28" t="n">
        <v>45792</v>
      </c>
      <c r="F11" s="29" t="n">
        <f aca="false">E11-D11+1</f>
        <v>365</v>
      </c>
      <c r="G11" s="27" t="n">
        <f aca="false">COUNTIFS($A$5:A11,A11)</f>
        <v>3</v>
      </c>
      <c r="H11" s="27" t="n">
        <f aca="false">IF(E11=_xlfn.MAXIFS($E$5:$E$304,$A$5:$A$304,A11),1,0)</f>
        <v>0</v>
      </c>
      <c r="I11" s="27" t="str">
        <f aca="false">A11&amp;"-"&amp;H11</f>
        <v>1722632476-0</v>
      </c>
    </row>
    <row r="12" customFormat="false" ht="15" hidden="false" customHeight="true" outlineLevel="0" collapsed="false">
      <c r="A12" s="30" t="s">
        <v>56</v>
      </c>
      <c r="B12" s="30" t="s">
        <v>57</v>
      </c>
      <c r="C12" s="30" t="s">
        <v>133</v>
      </c>
      <c r="D12" s="31" t="n">
        <v>45793</v>
      </c>
      <c r="E12" s="31" t="n">
        <v>46522</v>
      </c>
      <c r="F12" s="32" t="n">
        <f aca="false">E12-D12+1</f>
        <v>730</v>
      </c>
      <c r="G12" s="30" t="n">
        <f aca="false">COUNTIFS($A$5:A12,A12)</f>
        <v>4</v>
      </c>
      <c r="H12" s="30" t="n">
        <f aca="false">IF(E12=_xlfn.MAXIFS($E$5:$E$304,$A$5:$A$304,A12),1,0)</f>
        <v>1</v>
      </c>
      <c r="I12" s="30" t="str">
        <f aca="false">A12&amp;"-"&amp;H12</f>
        <v>1722632476-1</v>
      </c>
    </row>
    <row r="13" customFormat="false" ht="15" hidden="false" customHeight="true" outlineLevel="0" collapsed="false">
      <c r="A13" s="27" t="s">
        <v>63</v>
      </c>
      <c r="B13" s="27" t="s">
        <v>64</v>
      </c>
      <c r="C13" s="27" t="s">
        <v>134</v>
      </c>
      <c r="D13" s="28" t="n">
        <v>45075</v>
      </c>
      <c r="E13" s="28" t="n">
        <v>46535</v>
      </c>
      <c r="F13" s="29" t="n">
        <f aca="false">E13-D13+1</f>
        <v>1461</v>
      </c>
      <c r="G13" s="27" t="n">
        <f aca="false">COUNTIFS($A$5:A13,A13)</f>
        <v>1</v>
      </c>
      <c r="H13" s="27" t="n">
        <f aca="false">IF(E13=_xlfn.MAXIFS($E$5:$E$304,$A$5:$A$304,A13),1,0)</f>
        <v>1</v>
      </c>
      <c r="I13" s="27" t="str">
        <f aca="false">A13&amp;"-"&amp;H13</f>
        <v>1721533576-1</v>
      </c>
    </row>
    <row r="14" customFormat="false" ht="15" hidden="false" customHeight="true" outlineLevel="0" collapsed="false">
      <c r="A14" s="30" t="s">
        <v>70</v>
      </c>
      <c r="B14" s="30" t="s">
        <v>71</v>
      </c>
      <c r="C14" s="30" t="s">
        <v>135</v>
      </c>
      <c r="D14" s="31" t="n">
        <v>45096</v>
      </c>
      <c r="E14" s="31" t="n">
        <v>45826</v>
      </c>
      <c r="F14" s="32" t="n">
        <f aca="false">E14-D14+1</f>
        <v>731</v>
      </c>
      <c r="G14" s="30" t="n">
        <f aca="false">COUNTIFS($A$5:A14,A14)</f>
        <v>1</v>
      </c>
      <c r="H14" s="30" t="n">
        <f aca="false">IF(E14=_xlfn.MAXIFS($E$5:$E$304,$A$5:$A$304,A14),1,0)</f>
        <v>0</v>
      </c>
      <c r="I14" s="30" t="str">
        <f aca="false">A14&amp;"-"&amp;H14</f>
        <v>1711688190-0</v>
      </c>
    </row>
    <row r="15" customFormat="false" ht="15" hidden="false" customHeight="true" outlineLevel="0" collapsed="false">
      <c r="A15" s="27" t="s">
        <v>70</v>
      </c>
      <c r="B15" s="27" t="s">
        <v>71</v>
      </c>
      <c r="C15" s="27" t="s">
        <v>135</v>
      </c>
      <c r="D15" s="28" t="n">
        <v>45827</v>
      </c>
      <c r="E15" s="28" t="n">
        <v>46203</v>
      </c>
      <c r="F15" s="29" t="n">
        <f aca="false">E15-D15+1</f>
        <v>377</v>
      </c>
      <c r="G15" s="27" t="n">
        <f aca="false">COUNTIFS($A$5:A15,A15)</f>
        <v>2</v>
      </c>
      <c r="H15" s="27" t="n">
        <f aca="false">IF(E15=_xlfn.MAXIFS($E$5:$E$304,$A$5:$A$304,A15),1,0)</f>
        <v>1</v>
      </c>
      <c r="I15" s="27" t="str">
        <f aca="false">A15&amp;"-"&amp;H15</f>
        <v>1711688190-1</v>
      </c>
    </row>
    <row r="16" customFormat="false" ht="15" hidden="false" customHeight="true" outlineLevel="0" collapsed="false">
      <c r="A16" s="30" t="s">
        <v>76</v>
      </c>
      <c r="B16" s="30" t="s">
        <v>77</v>
      </c>
      <c r="C16" s="30" t="s">
        <v>136</v>
      </c>
      <c r="D16" s="31" t="n">
        <v>45323</v>
      </c>
      <c r="E16" s="31" t="n">
        <v>46053</v>
      </c>
      <c r="F16" s="32" t="n">
        <f aca="false">E16-D16+1</f>
        <v>731</v>
      </c>
      <c r="G16" s="30" t="n">
        <f aca="false">COUNTIFS($A$5:A16,A16)</f>
        <v>1</v>
      </c>
      <c r="H16" s="30" t="n">
        <f aca="false">IF(E16=_xlfn.MAXIFS($E$5:$E$304,$A$5:$A$304,A16),1,0)</f>
        <v>0</v>
      </c>
      <c r="I16" s="30" t="str">
        <f aca="false">A16&amp;"-"&amp;H16</f>
        <v>0917368417-0</v>
      </c>
    </row>
    <row r="17" customFormat="false" ht="15" hidden="false" customHeight="true" outlineLevel="0" collapsed="false">
      <c r="A17" s="27" t="s">
        <v>76</v>
      </c>
      <c r="B17" s="27" t="s">
        <v>77</v>
      </c>
      <c r="C17" s="27" t="s">
        <v>136</v>
      </c>
      <c r="D17" s="28" t="n">
        <v>46054</v>
      </c>
      <c r="E17" s="28" t="n">
        <v>46418</v>
      </c>
      <c r="F17" s="29" t="n">
        <f aca="false">E17-D17+1</f>
        <v>365</v>
      </c>
      <c r="G17" s="27" t="n">
        <f aca="false">COUNTIFS($A$5:A17,A17)</f>
        <v>2</v>
      </c>
      <c r="H17" s="27" t="n">
        <f aca="false">IF(E17=_xlfn.MAXIFS($E$5:$E$304,$A$5:$A$304,A17),1,0)</f>
        <v>1</v>
      </c>
      <c r="I17" s="27" t="str">
        <f aca="false">A17&amp;"-"&amp;H17</f>
        <v>0917368417-1</v>
      </c>
    </row>
    <row r="18" customFormat="false" ht="15" hidden="false" customHeight="true" outlineLevel="0" collapsed="false">
      <c r="A18" s="30" t="s">
        <v>81</v>
      </c>
      <c r="B18" s="30" t="s">
        <v>82</v>
      </c>
      <c r="C18" s="30" t="s">
        <v>137</v>
      </c>
      <c r="D18" s="31" t="n">
        <v>45573</v>
      </c>
      <c r="E18" s="31" t="n">
        <v>46302</v>
      </c>
      <c r="F18" s="32" t="n">
        <f aca="false">E18-D18+1</f>
        <v>730</v>
      </c>
      <c r="G18" s="30" t="n">
        <f aca="false">COUNTIFS($A$5:A18,A18)</f>
        <v>1</v>
      </c>
      <c r="H18" s="30" t="n">
        <f aca="false">IF(E18=_xlfn.MAXIFS($E$5:$E$304,$A$5:$A$304,A18),1,0)</f>
        <v>1</v>
      </c>
      <c r="I18" s="30" t="str">
        <f aca="false">A18&amp;"-"&amp;H18</f>
        <v>1716262728-1</v>
      </c>
    </row>
    <row r="19" customFormat="false" ht="15" hidden="false" customHeight="true" outlineLevel="0" collapsed="false">
      <c r="A19" s="27" t="s">
        <v>86</v>
      </c>
      <c r="B19" s="27" t="s">
        <v>87</v>
      </c>
      <c r="C19" s="27" t="s">
        <v>138</v>
      </c>
      <c r="D19" s="28" t="n">
        <v>45658</v>
      </c>
      <c r="E19" s="28" t="n">
        <v>46022</v>
      </c>
      <c r="F19" s="29" t="n">
        <f aca="false">E19-D19+1</f>
        <v>365</v>
      </c>
      <c r="G19" s="27" t="n">
        <f aca="false">COUNTIFS($A$5:A19,A19)</f>
        <v>1</v>
      </c>
      <c r="H19" s="27" t="n">
        <f aca="false">IF(E19=_xlfn.MAXIFS($E$5:$E$304,$A$5:$A$304,A19),1,0)</f>
        <v>0</v>
      </c>
      <c r="I19" s="27" t="str">
        <f aca="false">A19&amp;"-"&amp;H19</f>
        <v>1712422839-0</v>
      </c>
    </row>
    <row r="20" customFormat="false" ht="15" hidden="false" customHeight="true" outlineLevel="0" collapsed="false">
      <c r="A20" s="30" t="s">
        <v>86</v>
      </c>
      <c r="B20" s="30" t="s">
        <v>87</v>
      </c>
      <c r="C20" s="30" t="s">
        <v>138</v>
      </c>
      <c r="D20" s="31" t="n">
        <v>46023</v>
      </c>
      <c r="E20" s="31" t="n">
        <v>46053</v>
      </c>
      <c r="F20" s="32" t="n">
        <f aca="false">E20-D20+1</f>
        <v>31</v>
      </c>
      <c r="G20" s="30" t="n">
        <f aca="false">COUNTIFS($A$5:A20,A20)</f>
        <v>2</v>
      </c>
      <c r="H20" s="30" t="n">
        <f aca="false">IF(E20=_xlfn.MAXIFS($E$5:$E$304,$A$5:$A$304,A20),1,0)</f>
        <v>1</v>
      </c>
      <c r="I20" s="30" t="str">
        <f aca="false">A20&amp;"-"&amp;H20</f>
        <v>1712422839-1</v>
      </c>
    </row>
    <row r="21" customFormat="false" ht="15" hidden="false" customHeight="true" outlineLevel="0" collapsed="false">
      <c r="A21" s="27" t="s">
        <v>91</v>
      </c>
      <c r="B21" s="27" t="s">
        <v>92</v>
      </c>
      <c r="C21" s="27" t="s">
        <v>139</v>
      </c>
      <c r="D21" s="28" t="n">
        <v>45992</v>
      </c>
      <c r="E21" s="28" t="n">
        <v>46356</v>
      </c>
      <c r="F21" s="29" t="n">
        <f aca="false">E21-D21+1</f>
        <v>365</v>
      </c>
      <c r="G21" s="27" t="n">
        <f aca="false">COUNTIFS($A$5:A21,A21)</f>
        <v>1</v>
      </c>
      <c r="H21" s="27" t="n">
        <f aca="false">IF(E21=_xlfn.MAXIFS($E$5:$E$304,$A$5:$A$304,A21),1,0)</f>
        <v>1</v>
      </c>
      <c r="I21" s="27" t="str">
        <f aca="false">A21&amp;"-"&amp;H21</f>
        <v>1719201822-1</v>
      </c>
    </row>
    <row r="22" customFormat="false" ht="15" hidden="false" customHeight="true" outlineLevel="0" collapsed="false">
      <c r="A22" s="30" t="s">
        <v>94</v>
      </c>
      <c r="B22" s="30" t="s">
        <v>95</v>
      </c>
      <c r="C22" s="30" t="s">
        <v>140</v>
      </c>
      <c r="D22" s="31" t="n">
        <v>45689</v>
      </c>
      <c r="E22" s="31" t="n">
        <v>46050</v>
      </c>
      <c r="F22" s="32" t="n">
        <f aca="false">E22-D22+1</f>
        <v>362</v>
      </c>
      <c r="G22" s="30" t="n">
        <f aca="false">COUNTIFS($A$5:A22,A22)</f>
        <v>1</v>
      </c>
      <c r="H22" s="30" t="n">
        <f aca="false">IF(E22=_xlfn.MAXIFS($E$5:$E$304,$A$5:$A$304,A22),1,0)</f>
        <v>0</v>
      </c>
      <c r="I22" s="30" t="str">
        <f aca="false">A22&amp;"-"&amp;H22</f>
        <v>1717835407-0</v>
      </c>
    </row>
    <row r="23" customFormat="false" ht="15" hidden="false" customHeight="true" outlineLevel="0" collapsed="false">
      <c r="A23" s="27" t="s">
        <v>94</v>
      </c>
      <c r="B23" s="27" t="s">
        <v>95</v>
      </c>
      <c r="C23" s="27" t="s">
        <v>141</v>
      </c>
      <c r="D23" s="28" t="n">
        <v>46054</v>
      </c>
      <c r="E23" s="28" t="n">
        <v>46112</v>
      </c>
      <c r="F23" s="29" t="n">
        <f aca="false">E23-D23+1</f>
        <v>59</v>
      </c>
      <c r="G23" s="27" t="n">
        <f aca="false">COUNTIFS($A$5:A23,A23)</f>
        <v>2</v>
      </c>
      <c r="H23" s="27" t="n">
        <f aca="false">IF(E23=_xlfn.MAXIFS($E$5:$E$304,$A$5:$A$304,A23),1,0)</f>
        <v>0</v>
      </c>
      <c r="I23" s="27" t="str">
        <f aca="false">A23&amp;"-"&amp;H23</f>
        <v>1717835407-0</v>
      </c>
    </row>
    <row r="24" customFormat="false" ht="15" hidden="false" customHeight="true" outlineLevel="0" collapsed="false">
      <c r="A24" s="30" t="s">
        <v>94</v>
      </c>
      <c r="B24" s="30" t="s">
        <v>95</v>
      </c>
      <c r="C24" s="30" t="s">
        <v>142</v>
      </c>
      <c r="D24" s="31" t="n">
        <v>46204</v>
      </c>
      <c r="E24" s="31" t="n">
        <v>46568</v>
      </c>
      <c r="F24" s="32" t="n">
        <f aca="false">E24-D24+1</f>
        <v>365</v>
      </c>
      <c r="G24" s="30" t="n">
        <f aca="false">COUNTIFS($A$5:A24,A24)</f>
        <v>3</v>
      </c>
      <c r="H24" s="30" t="n">
        <f aca="false">IF(E24=_xlfn.MAXIFS($E$5:$E$304,$A$5:$A$304,A24),1,0)</f>
        <v>1</v>
      </c>
      <c r="I24" s="30" t="str">
        <f aca="false">A24&amp;"-"&amp;H24</f>
        <v>1717835407-1</v>
      </c>
    </row>
    <row r="25" customFormat="false" ht="15" hidden="false" customHeight="true" outlineLevel="0" collapsed="false">
      <c r="A25" s="27" t="s">
        <v>98</v>
      </c>
      <c r="B25" s="27" t="s">
        <v>99</v>
      </c>
      <c r="C25" s="27" t="s">
        <v>140</v>
      </c>
      <c r="D25" s="28" t="n">
        <v>45689</v>
      </c>
      <c r="E25" s="28" t="n">
        <v>46050</v>
      </c>
      <c r="F25" s="29" t="n">
        <f aca="false">E25-D25+1</f>
        <v>362</v>
      </c>
      <c r="G25" s="27" t="n">
        <f aca="false">COUNTIFS($A$5:A25,A25)</f>
        <v>1</v>
      </c>
      <c r="H25" s="27" t="n">
        <f aca="false">IF(E25=_xlfn.MAXIFS($E$5:$E$304,$A$5:$A$304,A25),1,0)</f>
        <v>0</v>
      </c>
      <c r="I25" s="27" t="str">
        <f aca="false">A25&amp;"-"&amp;H25</f>
        <v>1718348913-0</v>
      </c>
    </row>
    <row r="26" customFormat="false" ht="15" hidden="false" customHeight="true" outlineLevel="0" collapsed="false">
      <c r="A26" s="30" t="s">
        <v>98</v>
      </c>
      <c r="B26" s="30" t="s">
        <v>99</v>
      </c>
      <c r="C26" s="30" t="s">
        <v>143</v>
      </c>
      <c r="D26" s="31" t="n">
        <v>46054</v>
      </c>
      <c r="E26" s="31" t="n">
        <v>46112</v>
      </c>
      <c r="F26" s="32" t="n">
        <f aca="false">E26-D26+1</f>
        <v>59</v>
      </c>
      <c r="G26" s="30" t="n">
        <f aca="false">COUNTIFS($A$5:A26,A26)</f>
        <v>2</v>
      </c>
      <c r="H26" s="30" t="n">
        <f aca="false">IF(E26=_xlfn.MAXIFS($E$5:$E$304,$A$5:$A$304,A26),1,0)</f>
        <v>1</v>
      </c>
      <c r="I26" s="30" t="str">
        <f aca="false">A26&amp;"-"&amp;H26</f>
        <v>1718348913-1</v>
      </c>
    </row>
    <row r="27" customFormat="false" ht="15" hidden="false" customHeight="true" outlineLevel="0" collapsed="false">
      <c r="A27" s="27" t="s">
        <v>102</v>
      </c>
      <c r="B27" s="27" t="s">
        <v>103</v>
      </c>
      <c r="C27" s="27" t="s">
        <v>144</v>
      </c>
      <c r="D27" s="28" t="n">
        <v>45978</v>
      </c>
      <c r="E27" s="28" t="n">
        <v>46342</v>
      </c>
      <c r="F27" s="29" t="n">
        <f aca="false">E27-D27+1</f>
        <v>365</v>
      </c>
      <c r="G27" s="27" t="n">
        <f aca="false">COUNTIFS($A$5:A27,A27)</f>
        <v>1</v>
      </c>
      <c r="H27" s="27" t="n">
        <f aca="false">IF(E27=_xlfn.MAXIFS($E$5:$E$304,$A$5:$A$304,A27),1,0)</f>
        <v>1</v>
      </c>
      <c r="I27" s="27" t="str">
        <f aca="false">A27&amp;"-"&amp;H27</f>
        <v>1802226850-1</v>
      </c>
    </row>
    <row r="28" customFormat="false" ht="15" hidden="false" customHeight="true" outlineLevel="0" collapsed="false">
      <c r="A28" s="30" t="s">
        <v>107</v>
      </c>
      <c r="B28" s="30" t="s">
        <v>108</v>
      </c>
      <c r="C28" s="30" t="s">
        <v>145</v>
      </c>
      <c r="D28" s="31" t="n">
        <v>46013</v>
      </c>
      <c r="E28" s="31" t="n">
        <v>46377</v>
      </c>
      <c r="F28" s="32" t="n">
        <f aca="false">E28-D28+1</f>
        <v>365</v>
      </c>
      <c r="G28" s="30" t="n">
        <f aca="false">COUNTIFS($A$5:A28,A28)</f>
        <v>1</v>
      </c>
      <c r="H28" s="30" t="n">
        <f aca="false">IF(E28=_xlfn.MAXIFS($E$5:$E$304,$A$5:$A$304,A28),1,0)</f>
        <v>1</v>
      </c>
      <c r="I28" s="30" t="str">
        <f aca="false">A28&amp;"-"&amp;H28</f>
        <v>0302025838-1</v>
      </c>
    </row>
    <row r="29" customFormat="false" ht="15" hidden="false" customHeight="true" outlineLevel="0" collapsed="false">
      <c r="A29" s="27" t="s">
        <v>111</v>
      </c>
      <c r="B29" s="27" t="s">
        <v>112</v>
      </c>
      <c r="C29" s="27" t="s">
        <v>144</v>
      </c>
      <c r="D29" s="28" t="n">
        <v>46113</v>
      </c>
      <c r="E29" s="28" t="n">
        <v>46843</v>
      </c>
      <c r="F29" s="29" t="n">
        <f aca="false">E29-D29+1</f>
        <v>731</v>
      </c>
      <c r="G29" s="27" t="n">
        <f aca="false">COUNTIFS($A$5:A29,A29)</f>
        <v>1</v>
      </c>
      <c r="H29" s="27" t="n">
        <f aca="false">IF(E29=_xlfn.MAXIFS($E$5:$E$304,$A$5:$A$304,A29),1,0)</f>
        <v>1</v>
      </c>
      <c r="I29" s="27" t="str">
        <f aca="false">A29&amp;"-"&amp;H29</f>
        <v>1715408819-1</v>
      </c>
    </row>
    <row r="30" customFormat="false" ht="15" hidden="false" customHeight="true" outlineLevel="0" collapsed="false">
      <c r="A30" s="30" t="s">
        <v>116</v>
      </c>
      <c r="B30" s="30" t="s">
        <v>117</v>
      </c>
      <c r="C30" s="30" t="s">
        <v>146</v>
      </c>
      <c r="D30" s="31" t="n">
        <v>46113</v>
      </c>
      <c r="E30" s="31" t="n">
        <v>46477</v>
      </c>
      <c r="F30" s="32" t="n">
        <f aca="false">E30-D30+1</f>
        <v>365</v>
      </c>
      <c r="G30" s="30" t="n">
        <f aca="false">COUNTIFS($A$5:A30,A30)</f>
        <v>1</v>
      </c>
      <c r="H30" s="30" t="n">
        <f aca="false">IF(E30=_xlfn.MAXIFS($E$5:$E$304,$A$5:$A$304,A30),1,0)</f>
        <v>1</v>
      </c>
      <c r="I30" s="30" t="str">
        <f aca="false">A30&amp;"-"&amp;H30</f>
        <v>1725390221-1</v>
      </c>
    </row>
    <row r="31" customFormat="false" ht="15" hidden="false" customHeight="true" outlineLevel="0" collapsed="false">
      <c r="A31" s="27" t="s">
        <v>121</v>
      </c>
      <c r="B31" s="27" t="s">
        <v>122</v>
      </c>
      <c r="C31" s="27" t="s">
        <v>147</v>
      </c>
      <c r="D31" s="28" t="n">
        <v>46132</v>
      </c>
      <c r="E31" s="28" t="n">
        <v>46265</v>
      </c>
      <c r="F31" s="29" t="n">
        <f aca="false">E31-D31+1</f>
        <v>134</v>
      </c>
      <c r="G31" s="27" t="n">
        <f aca="false">COUNTIFS($A$5:A31,A31)</f>
        <v>1</v>
      </c>
      <c r="H31" s="27" t="n">
        <f aca="false">IF(E31=_xlfn.MAXIFS($E$5:$E$304,$A$5:$A$304,A31),1,0)</f>
        <v>1</v>
      </c>
      <c r="I31" s="27" t="str">
        <f aca="false">A31&amp;"-"&amp;H31</f>
        <v>1721084919-1</v>
      </c>
    </row>
    <row r="32" customFormat="false" ht="15" hidden="false" customHeight="false" outlineLevel="0" collapsed="false">
      <c r="A32" s="27" t="str">
        <f aca="false">IF('Registro de Comisión'!A32="","",'Registro de Comisión'!A32)</f>
        <v/>
      </c>
      <c r="B32" s="27" t="str">
        <f aca="false">IF(A32="","",TRIM(SUBSTITUTE(SUBSTITUTE(SUBSTITUTE(SUBSTITUTE(SUBSTITUTE(SUBSTITUTE(UPPER('Registro de Comisión'!B32),"Á","A"),"É","E"),"Í","I"),"Ó","O"),"Ú","U"),"Ü","U")))</f>
        <v/>
      </c>
      <c r="C32" s="27" t="str">
        <f aca="false">IF(A32="","",TRIM(SUBSTITUTE(SUBSTITUTE(SUBSTITUTE(SUBSTITUTE(SUBSTITUTE(SUBSTITUTE(UPPER('Registro de Comisión'!I32),"Á","A"),"É","E"),"Í","I"),"Ó","O"),"Ú","U"),"Ü","U")))</f>
        <v/>
      </c>
      <c r="D32" s="28" t="str">
        <f aca="false">IF(A32="","",'Registro de Comisión'!J32)</f>
        <v/>
      </c>
      <c r="E32" s="28" t="str">
        <f aca="false">IF(A32="","",'Registro de Comisión'!K32)</f>
        <v/>
      </c>
      <c r="F32" s="29" t="str">
        <f aca="false">IF(A32="","",E32-D32+1)</f>
        <v/>
      </c>
      <c r="G32" s="27" t="str">
        <f aca="false">IF(A32="","",COUNTIFS($A$5:A32,A32))</f>
        <v/>
      </c>
      <c r="H32" s="27" t="str">
        <f aca="false">IF(A32="","",IF(E32=_xlfn.MAXIFS($E$5:$E$304,$A$5:$A$304,A32),1,0))</f>
        <v/>
      </c>
      <c r="I32" s="27" t="str">
        <f aca="false">IF(A32="","",A32&amp;"-"&amp;H32)</f>
        <v/>
      </c>
    </row>
    <row r="33" customFormat="false" ht="15" hidden="false" customHeight="false" outlineLevel="0" collapsed="false">
      <c r="A33" s="27" t="str">
        <f aca="false">IF('Registro de Comisión'!A33="","",'Registro de Comisión'!A33)</f>
        <v/>
      </c>
      <c r="B33" s="27" t="str">
        <f aca="false">IF(A33="","",TRIM(SUBSTITUTE(SUBSTITUTE(SUBSTITUTE(SUBSTITUTE(SUBSTITUTE(SUBSTITUTE(UPPER('Registro de Comisión'!B33),"Á","A"),"É","E"),"Í","I"),"Ó","O"),"Ú","U"),"Ü","U")))</f>
        <v/>
      </c>
      <c r="C33" s="27" t="str">
        <f aca="false">IF(A33="","",TRIM(SUBSTITUTE(SUBSTITUTE(SUBSTITUTE(SUBSTITUTE(SUBSTITUTE(SUBSTITUTE(UPPER('Registro de Comisión'!I33),"Á","A"),"É","E"),"Í","I"),"Ó","O"),"Ú","U"),"Ü","U")))</f>
        <v/>
      </c>
      <c r="D33" s="28" t="str">
        <f aca="false">IF(A33="","",'Registro de Comisión'!J33)</f>
        <v/>
      </c>
      <c r="E33" s="28" t="str">
        <f aca="false">IF(A33="","",'Registro de Comisión'!K33)</f>
        <v/>
      </c>
      <c r="F33" s="29" t="str">
        <f aca="false">IF(A33="","",E33-D33+1)</f>
        <v/>
      </c>
      <c r="G33" s="27" t="str">
        <f aca="false">IF(A33="","",COUNTIFS($A$5:A33,A33))</f>
        <v/>
      </c>
      <c r="H33" s="27" t="str">
        <f aca="false">IF(A33="","",IF(E33=_xlfn.MAXIFS($E$5:$E$304,$A$5:$A$304,A33),1,0))</f>
        <v/>
      </c>
      <c r="I33" s="27" t="str">
        <f aca="false">IF(A33="","",A33&amp;"-"&amp;H33)</f>
        <v/>
      </c>
    </row>
    <row r="34" customFormat="false" ht="15" hidden="false" customHeight="false" outlineLevel="0" collapsed="false">
      <c r="A34" s="27" t="str">
        <f aca="false">IF('Registro de Comisión'!A34="","",'Registro de Comisión'!A34)</f>
        <v/>
      </c>
      <c r="B34" s="27" t="str">
        <f aca="false">IF(A34="","",TRIM(SUBSTITUTE(SUBSTITUTE(SUBSTITUTE(SUBSTITUTE(SUBSTITUTE(SUBSTITUTE(UPPER('Registro de Comisión'!B34),"Á","A"),"É","E"),"Í","I"),"Ó","O"),"Ú","U"),"Ü","U")))</f>
        <v/>
      </c>
      <c r="C34" s="27" t="str">
        <f aca="false">IF(A34="","",TRIM(SUBSTITUTE(SUBSTITUTE(SUBSTITUTE(SUBSTITUTE(SUBSTITUTE(SUBSTITUTE(UPPER('Registro de Comisión'!I34),"Á","A"),"É","E"),"Í","I"),"Ó","O"),"Ú","U"),"Ü","U")))</f>
        <v/>
      </c>
      <c r="D34" s="28" t="str">
        <f aca="false">IF(A34="","",'Registro de Comisión'!J34)</f>
        <v/>
      </c>
      <c r="E34" s="28" t="str">
        <f aca="false">IF(A34="","",'Registro de Comisión'!K34)</f>
        <v/>
      </c>
      <c r="F34" s="29" t="str">
        <f aca="false">IF(A34="","",E34-D34+1)</f>
        <v/>
      </c>
      <c r="G34" s="27" t="str">
        <f aca="false">IF(A34="","",COUNTIFS($A$5:A34,A34))</f>
        <v/>
      </c>
      <c r="H34" s="27" t="str">
        <f aca="false">IF(A34="","",IF(E34=_xlfn.MAXIFS($E$5:$E$304,$A$5:$A$304,A34),1,0))</f>
        <v/>
      </c>
      <c r="I34" s="27" t="str">
        <f aca="false">IF(A34="","",A34&amp;"-"&amp;H34)</f>
        <v/>
      </c>
    </row>
    <row r="35" customFormat="false" ht="15" hidden="false" customHeight="false" outlineLevel="0" collapsed="false">
      <c r="A35" s="27" t="str">
        <f aca="false">IF('Registro de Comisión'!A35="","",'Registro de Comisión'!A35)</f>
        <v/>
      </c>
      <c r="B35" s="27" t="str">
        <f aca="false">IF(A35="","",TRIM(SUBSTITUTE(SUBSTITUTE(SUBSTITUTE(SUBSTITUTE(SUBSTITUTE(SUBSTITUTE(UPPER('Registro de Comisión'!B35),"Á","A"),"É","E"),"Í","I"),"Ó","O"),"Ú","U"),"Ü","U")))</f>
        <v/>
      </c>
      <c r="C35" s="27" t="str">
        <f aca="false">IF(A35="","",TRIM(SUBSTITUTE(SUBSTITUTE(SUBSTITUTE(SUBSTITUTE(SUBSTITUTE(SUBSTITUTE(UPPER('Registro de Comisión'!I35),"Á","A"),"É","E"),"Í","I"),"Ó","O"),"Ú","U"),"Ü","U")))</f>
        <v/>
      </c>
      <c r="D35" s="28" t="str">
        <f aca="false">IF(A35="","",'Registro de Comisión'!J35)</f>
        <v/>
      </c>
      <c r="E35" s="28" t="str">
        <f aca="false">IF(A35="","",'Registro de Comisión'!K35)</f>
        <v/>
      </c>
      <c r="F35" s="29" t="str">
        <f aca="false">IF(A35="","",E35-D35+1)</f>
        <v/>
      </c>
      <c r="G35" s="27" t="str">
        <f aca="false">IF(A35="","",COUNTIFS($A$5:A35,A35))</f>
        <v/>
      </c>
      <c r="H35" s="27" t="str">
        <f aca="false">IF(A35="","",IF(E35=_xlfn.MAXIFS($E$5:$E$304,$A$5:$A$304,A35),1,0))</f>
        <v/>
      </c>
      <c r="I35" s="27" t="str">
        <f aca="false">IF(A35="","",A35&amp;"-"&amp;H35)</f>
        <v/>
      </c>
    </row>
    <row r="36" customFormat="false" ht="15" hidden="false" customHeight="false" outlineLevel="0" collapsed="false">
      <c r="A36" s="27" t="str">
        <f aca="false">IF('Registro de Comisión'!A36="","",'Registro de Comisión'!A36)</f>
        <v/>
      </c>
      <c r="B36" s="27" t="str">
        <f aca="false">IF(A36="","",TRIM(SUBSTITUTE(SUBSTITUTE(SUBSTITUTE(SUBSTITUTE(SUBSTITUTE(SUBSTITUTE(UPPER('Registro de Comisión'!B36),"Á","A"),"É","E"),"Í","I"),"Ó","O"),"Ú","U"),"Ü","U")))</f>
        <v/>
      </c>
      <c r="C36" s="27" t="str">
        <f aca="false">IF(A36="","",TRIM(SUBSTITUTE(SUBSTITUTE(SUBSTITUTE(SUBSTITUTE(SUBSTITUTE(SUBSTITUTE(UPPER('Registro de Comisión'!I36),"Á","A"),"É","E"),"Í","I"),"Ó","O"),"Ú","U"),"Ü","U")))</f>
        <v/>
      </c>
      <c r="D36" s="28" t="str">
        <f aca="false">IF(A36="","",'Registro de Comisión'!J36)</f>
        <v/>
      </c>
      <c r="E36" s="28" t="str">
        <f aca="false">IF(A36="","",'Registro de Comisión'!K36)</f>
        <v/>
      </c>
      <c r="F36" s="29" t="str">
        <f aca="false">IF(A36="","",E36-D36+1)</f>
        <v/>
      </c>
      <c r="G36" s="27" t="str">
        <f aca="false">IF(A36="","",COUNTIFS($A$5:A36,A36))</f>
        <v/>
      </c>
      <c r="H36" s="27" t="str">
        <f aca="false">IF(A36="","",IF(E36=_xlfn.MAXIFS($E$5:$E$304,$A$5:$A$304,A36),1,0))</f>
        <v/>
      </c>
      <c r="I36" s="27" t="str">
        <f aca="false">IF(A36="","",A36&amp;"-"&amp;H36)</f>
        <v/>
      </c>
    </row>
    <row r="37" customFormat="false" ht="15" hidden="false" customHeight="false" outlineLevel="0" collapsed="false">
      <c r="A37" s="27" t="str">
        <f aca="false">IF('Registro de Comisión'!A37="","",'Registro de Comisión'!A37)</f>
        <v/>
      </c>
      <c r="B37" s="27" t="str">
        <f aca="false">IF(A37="","",TRIM(SUBSTITUTE(SUBSTITUTE(SUBSTITUTE(SUBSTITUTE(SUBSTITUTE(SUBSTITUTE(UPPER('Registro de Comisión'!B37),"Á","A"),"É","E"),"Í","I"),"Ó","O"),"Ú","U"),"Ü","U")))</f>
        <v/>
      </c>
      <c r="C37" s="27" t="str">
        <f aca="false">IF(A37="","",TRIM(SUBSTITUTE(SUBSTITUTE(SUBSTITUTE(SUBSTITUTE(SUBSTITUTE(SUBSTITUTE(UPPER('Registro de Comisión'!I37),"Á","A"),"É","E"),"Í","I"),"Ó","O"),"Ú","U"),"Ü","U")))</f>
        <v/>
      </c>
      <c r="D37" s="28" t="str">
        <f aca="false">IF(A37="","",'Registro de Comisión'!J37)</f>
        <v/>
      </c>
      <c r="E37" s="28" t="str">
        <f aca="false">IF(A37="","",'Registro de Comisión'!K37)</f>
        <v/>
      </c>
      <c r="F37" s="29" t="str">
        <f aca="false">IF(A37="","",E37-D37+1)</f>
        <v/>
      </c>
      <c r="G37" s="27" t="str">
        <f aca="false">IF(A37="","",COUNTIFS($A$5:A37,A37))</f>
        <v/>
      </c>
      <c r="H37" s="27" t="str">
        <f aca="false">IF(A37="","",IF(E37=_xlfn.MAXIFS($E$5:$E$304,$A$5:$A$304,A37),1,0))</f>
        <v/>
      </c>
      <c r="I37" s="27" t="str">
        <f aca="false">IF(A37="","",A37&amp;"-"&amp;H37)</f>
        <v/>
      </c>
    </row>
    <row r="38" customFormat="false" ht="15" hidden="false" customHeight="false" outlineLevel="0" collapsed="false">
      <c r="A38" s="27" t="str">
        <f aca="false">IF('Registro de Comisión'!A38="","",'Registro de Comisión'!A38)</f>
        <v/>
      </c>
      <c r="B38" s="27" t="str">
        <f aca="false">IF(A38="","",TRIM(SUBSTITUTE(SUBSTITUTE(SUBSTITUTE(SUBSTITUTE(SUBSTITUTE(SUBSTITUTE(UPPER('Registro de Comisión'!B38),"Á","A"),"É","E"),"Í","I"),"Ó","O"),"Ú","U"),"Ü","U")))</f>
        <v/>
      </c>
      <c r="C38" s="27" t="str">
        <f aca="false">IF(A38="","",TRIM(SUBSTITUTE(SUBSTITUTE(SUBSTITUTE(SUBSTITUTE(SUBSTITUTE(SUBSTITUTE(UPPER('Registro de Comisión'!I38),"Á","A"),"É","E"),"Í","I"),"Ó","O"),"Ú","U"),"Ü","U")))</f>
        <v/>
      </c>
      <c r="D38" s="28" t="str">
        <f aca="false">IF(A38="","",'Registro de Comisión'!J38)</f>
        <v/>
      </c>
      <c r="E38" s="28" t="str">
        <f aca="false">IF(A38="","",'Registro de Comisión'!K38)</f>
        <v/>
      </c>
      <c r="F38" s="29" t="str">
        <f aca="false">IF(A38="","",E38-D38+1)</f>
        <v/>
      </c>
      <c r="G38" s="27" t="str">
        <f aca="false">IF(A38="","",COUNTIFS($A$5:A38,A38))</f>
        <v/>
      </c>
      <c r="H38" s="27" t="str">
        <f aca="false">IF(A38="","",IF(E38=_xlfn.MAXIFS($E$5:$E$304,$A$5:$A$304,A38),1,0))</f>
        <v/>
      </c>
      <c r="I38" s="27" t="str">
        <f aca="false">IF(A38="","",A38&amp;"-"&amp;H38)</f>
        <v/>
      </c>
    </row>
    <row r="39" customFormat="false" ht="15" hidden="false" customHeight="false" outlineLevel="0" collapsed="false">
      <c r="A39" s="27" t="str">
        <f aca="false">IF('Registro de Comisión'!A39="","",'Registro de Comisión'!A39)</f>
        <v/>
      </c>
      <c r="B39" s="27" t="str">
        <f aca="false">IF(A39="","",TRIM(SUBSTITUTE(SUBSTITUTE(SUBSTITUTE(SUBSTITUTE(SUBSTITUTE(SUBSTITUTE(UPPER('Registro de Comisión'!B39),"Á","A"),"É","E"),"Í","I"),"Ó","O"),"Ú","U"),"Ü","U")))</f>
        <v/>
      </c>
      <c r="C39" s="27" t="str">
        <f aca="false">IF(A39="","",TRIM(SUBSTITUTE(SUBSTITUTE(SUBSTITUTE(SUBSTITUTE(SUBSTITUTE(SUBSTITUTE(UPPER('Registro de Comisión'!I39),"Á","A"),"É","E"),"Í","I"),"Ó","O"),"Ú","U"),"Ü","U")))</f>
        <v/>
      </c>
      <c r="D39" s="28" t="str">
        <f aca="false">IF(A39="","",'Registro de Comisión'!J39)</f>
        <v/>
      </c>
      <c r="E39" s="28" t="str">
        <f aca="false">IF(A39="","",'Registro de Comisión'!K39)</f>
        <v/>
      </c>
      <c r="F39" s="29" t="str">
        <f aca="false">IF(A39="","",E39-D39+1)</f>
        <v/>
      </c>
      <c r="G39" s="27" t="str">
        <f aca="false">IF(A39="","",COUNTIFS($A$5:A39,A39))</f>
        <v/>
      </c>
      <c r="H39" s="27" t="str">
        <f aca="false">IF(A39="","",IF(E39=_xlfn.MAXIFS($E$5:$E$304,$A$5:$A$304,A39),1,0))</f>
        <v/>
      </c>
      <c r="I39" s="27" t="str">
        <f aca="false">IF(A39="","",A39&amp;"-"&amp;H39)</f>
        <v/>
      </c>
    </row>
    <row r="40" customFormat="false" ht="15" hidden="false" customHeight="false" outlineLevel="0" collapsed="false">
      <c r="A40" s="27" t="str">
        <f aca="false">IF('Registro de Comisión'!A40="","",'Registro de Comisión'!A40)</f>
        <v/>
      </c>
      <c r="B40" s="27" t="str">
        <f aca="false">IF(A40="","",TRIM(SUBSTITUTE(SUBSTITUTE(SUBSTITUTE(SUBSTITUTE(SUBSTITUTE(SUBSTITUTE(UPPER('Registro de Comisión'!B40),"Á","A"),"É","E"),"Í","I"),"Ó","O"),"Ú","U"),"Ü","U")))</f>
        <v/>
      </c>
      <c r="C40" s="27" t="str">
        <f aca="false">IF(A40="","",TRIM(SUBSTITUTE(SUBSTITUTE(SUBSTITUTE(SUBSTITUTE(SUBSTITUTE(SUBSTITUTE(UPPER('Registro de Comisión'!I40),"Á","A"),"É","E"),"Í","I"),"Ó","O"),"Ú","U"),"Ü","U")))</f>
        <v/>
      </c>
      <c r="D40" s="28" t="str">
        <f aca="false">IF(A40="","",'Registro de Comisión'!J40)</f>
        <v/>
      </c>
      <c r="E40" s="28" t="str">
        <f aca="false">IF(A40="","",'Registro de Comisión'!K40)</f>
        <v/>
      </c>
      <c r="F40" s="29" t="str">
        <f aca="false">IF(A40="","",E40-D40+1)</f>
        <v/>
      </c>
      <c r="G40" s="27" t="str">
        <f aca="false">IF(A40="","",COUNTIFS($A$5:A40,A40))</f>
        <v/>
      </c>
      <c r="H40" s="27" t="str">
        <f aca="false">IF(A40="","",IF(E40=_xlfn.MAXIFS($E$5:$E$304,$A$5:$A$304,A40),1,0))</f>
        <v/>
      </c>
      <c r="I40" s="27" t="str">
        <f aca="false">IF(A40="","",A40&amp;"-"&amp;H40)</f>
        <v/>
      </c>
    </row>
    <row r="41" customFormat="false" ht="15" hidden="false" customHeight="false" outlineLevel="0" collapsed="false">
      <c r="A41" s="27" t="str">
        <f aca="false">IF('Registro de Comisión'!A41="","",'Registro de Comisión'!A41)</f>
        <v/>
      </c>
      <c r="B41" s="27" t="str">
        <f aca="false">IF(A41="","",TRIM(SUBSTITUTE(SUBSTITUTE(SUBSTITUTE(SUBSTITUTE(SUBSTITUTE(SUBSTITUTE(UPPER('Registro de Comisión'!B41),"Á","A"),"É","E"),"Í","I"),"Ó","O"),"Ú","U"),"Ü","U")))</f>
        <v/>
      </c>
      <c r="C41" s="27" t="str">
        <f aca="false">IF(A41="","",TRIM(SUBSTITUTE(SUBSTITUTE(SUBSTITUTE(SUBSTITUTE(SUBSTITUTE(SUBSTITUTE(UPPER('Registro de Comisión'!I41),"Á","A"),"É","E"),"Í","I"),"Ó","O"),"Ú","U"),"Ü","U")))</f>
        <v/>
      </c>
      <c r="D41" s="28" t="str">
        <f aca="false">IF(A41="","",'Registro de Comisión'!J41)</f>
        <v/>
      </c>
      <c r="E41" s="28" t="str">
        <f aca="false">IF(A41="","",'Registro de Comisión'!K41)</f>
        <v/>
      </c>
      <c r="F41" s="29" t="str">
        <f aca="false">IF(A41="","",E41-D41+1)</f>
        <v/>
      </c>
      <c r="G41" s="27" t="str">
        <f aca="false">IF(A41="","",COUNTIFS($A$5:A41,A41))</f>
        <v/>
      </c>
      <c r="H41" s="27" t="str">
        <f aca="false">IF(A41="","",IF(E41=_xlfn.MAXIFS($E$5:$E$304,$A$5:$A$304,A41),1,0))</f>
        <v/>
      </c>
      <c r="I41" s="27" t="str">
        <f aca="false">IF(A41="","",A41&amp;"-"&amp;H41)</f>
        <v/>
      </c>
    </row>
    <row r="42" customFormat="false" ht="15" hidden="false" customHeight="false" outlineLevel="0" collapsed="false">
      <c r="A42" s="27" t="str">
        <f aca="false">IF('Registro de Comisión'!A42="","",'Registro de Comisión'!A42)</f>
        <v/>
      </c>
      <c r="B42" s="27" t="str">
        <f aca="false">IF(A42="","",TRIM(SUBSTITUTE(SUBSTITUTE(SUBSTITUTE(SUBSTITUTE(SUBSTITUTE(SUBSTITUTE(UPPER('Registro de Comisión'!B42),"Á","A"),"É","E"),"Í","I"),"Ó","O"),"Ú","U"),"Ü","U")))</f>
        <v/>
      </c>
      <c r="C42" s="27" t="str">
        <f aca="false">IF(A42="","",TRIM(SUBSTITUTE(SUBSTITUTE(SUBSTITUTE(SUBSTITUTE(SUBSTITUTE(SUBSTITUTE(UPPER('Registro de Comisión'!I42),"Á","A"),"É","E"),"Í","I"),"Ó","O"),"Ú","U"),"Ü","U")))</f>
        <v/>
      </c>
      <c r="D42" s="28" t="str">
        <f aca="false">IF(A42="","",'Registro de Comisión'!J42)</f>
        <v/>
      </c>
      <c r="E42" s="28" t="str">
        <f aca="false">IF(A42="","",'Registro de Comisión'!K42)</f>
        <v/>
      </c>
      <c r="F42" s="29" t="str">
        <f aca="false">IF(A42="","",E42-D42+1)</f>
        <v/>
      </c>
      <c r="G42" s="27" t="str">
        <f aca="false">IF(A42="","",COUNTIFS($A$5:A42,A42))</f>
        <v/>
      </c>
      <c r="H42" s="27" t="str">
        <f aca="false">IF(A42="","",IF(E42=_xlfn.MAXIFS($E$5:$E$304,$A$5:$A$304,A42),1,0))</f>
        <v/>
      </c>
      <c r="I42" s="27" t="str">
        <f aca="false">IF(A42="","",A42&amp;"-"&amp;H42)</f>
        <v/>
      </c>
    </row>
    <row r="43" customFormat="false" ht="15" hidden="false" customHeight="false" outlineLevel="0" collapsed="false">
      <c r="A43" s="27" t="str">
        <f aca="false">IF('Registro de Comisión'!A43="","",'Registro de Comisión'!A43)</f>
        <v/>
      </c>
      <c r="B43" s="27" t="str">
        <f aca="false">IF(A43="","",TRIM(SUBSTITUTE(SUBSTITUTE(SUBSTITUTE(SUBSTITUTE(SUBSTITUTE(SUBSTITUTE(UPPER('Registro de Comisión'!B43),"Á","A"),"É","E"),"Í","I"),"Ó","O"),"Ú","U"),"Ü","U")))</f>
        <v/>
      </c>
      <c r="C43" s="27" t="str">
        <f aca="false">IF(A43="","",TRIM(SUBSTITUTE(SUBSTITUTE(SUBSTITUTE(SUBSTITUTE(SUBSTITUTE(SUBSTITUTE(UPPER('Registro de Comisión'!I43),"Á","A"),"É","E"),"Í","I"),"Ó","O"),"Ú","U"),"Ü","U")))</f>
        <v/>
      </c>
      <c r="D43" s="28" t="str">
        <f aca="false">IF(A43="","",'Registro de Comisión'!J43)</f>
        <v/>
      </c>
      <c r="E43" s="28" t="str">
        <f aca="false">IF(A43="","",'Registro de Comisión'!K43)</f>
        <v/>
      </c>
      <c r="F43" s="29" t="str">
        <f aca="false">IF(A43="","",E43-D43+1)</f>
        <v/>
      </c>
      <c r="G43" s="27" t="str">
        <f aca="false">IF(A43="","",COUNTIFS($A$5:A43,A43))</f>
        <v/>
      </c>
      <c r="H43" s="27" t="str">
        <f aca="false">IF(A43="","",IF(E43=_xlfn.MAXIFS($E$5:$E$304,$A$5:$A$304,A43),1,0))</f>
        <v/>
      </c>
      <c r="I43" s="27" t="str">
        <f aca="false">IF(A43="","",A43&amp;"-"&amp;H43)</f>
        <v/>
      </c>
    </row>
    <row r="44" customFormat="false" ht="15" hidden="false" customHeight="false" outlineLevel="0" collapsed="false">
      <c r="A44" s="27" t="str">
        <f aca="false">IF('Registro de Comisión'!A44="","",'Registro de Comisión'!A44)</f>
        <v/>
      </c>
      <c r="B44" s="27" t="str">
        <f aca="false">IF(A44="","",TRIM(SUBSTITUTE(SUBSTITUTE(SUBSTITUTE(SUBSTITUTE(SUBSTITUTE(SUBSTITUTE(UPPER('Registro de Comisión'!B44),"Á","A"),"É","E"),"Í","I"),"Ó","O"),"Ú","U"),"Ü","U")))</f>
        <v/>
      </c>
      <c r="C44" s="27" t="str">
        <f aca="false">IF(A44="","",TRIM(SUBSTITUTE(SUBSTITUTE(SUBSTITUTE(SUBSTITUTE(SUBSTITUTE(SUBSTITUTE(UPPER('Registro de Comisión'!I44),"Á","A"),"É","E"),"Í","I"),"Ó","O"),"Ú","U"),"Ü","U")))</f>
        <v/>
      </c>
      <c r="D44" s="28" t="str">
        <f aca="false">IF(A44="","",'Registro de Comisión'!J44)</f>
        <v/>
      </c>
      <c r="E44" s="28" t="str">
        <f aca="false">IF(A44="","",'Registro de Comisión'!K44)</f>
        <v/>
      </c>
      <c r="F44" s="29" t="str">
        <f aca="false">IF(A44="","",E44-D44+1)</f>
        <v/>
      </c>
      <c r="G44" s="27" t="str">
        <f aca="false">IF(A44="","",COUNTIFS($A$5:A44,A44))</f>
        <v/>
      </c>
      <c r="H44" s="27" t="str">
        <f aca="false">IF(A44="","",IF(E44=_xlfn.MAXIFS($E$5:$E$304,$A$5:$A$304,A44),1,0))</f>
        <v/>
      </c>
      <c r="I44" s="27" t="str">
        <f aca="false">IF(A44="","",A44&amp;"-"&amp;H44)</f>
        <v/>
      </c>
    </row>
    <row r="45" customFormat="false" ht="15" hidden="false" customHeight="false" outlineLevel="0" collapsed="false">
      <c r="A45" s="27" t="str">
        <f aca="false">IF('Registro de Comisión'!A45="","",'Registro de Comisión'!A45)</f>
        <v/>
      </c>
      <c r="B45" s="27" t="str">
        <f aca="false">IF(A45="","",TRIM(SUBSTITUTE(SUBSTITUTE(SUBSTITUTE(SUBSTITUTE(SUBSTITUTE(SUBSTITUTE(UPPER('Registro de Comisión'!B45),"Á","A"),"É","E"),"Í","I"),"Ó","O"),"Ú","U"),"Ü","U")))</f>
        <v/>
      </c>
      <c r="C45" s="27" t="str">
        <f aca="false">IF(A45="","",TRIM(SUBSTITUTE(SUBSTITUTE(SUBSTITUTE(SUBSTITUTE(SUBSTITUTE(SUBSTITUTE(UPPER('Registro de Comisión'!I45),"Á","A"),"É","E"),"Í","I"),"Ó","O"),"Ú","U"),"Ü","U")))</f>
        <v/>
      </c>
      <c r="D45" s="28" t="str">
        <f aca="false">IF(A45="","",'Registro de Comisión'!J45)</f>
        <v/>
      </c>
      <c r="E45" s="28" t="str">
        <f aca="false">IF(A45="","",'Registro de Comisión'!K45)</f>
        <v/>
      </c>
      <c r="F45" s="29" t="str">
        <f aca="false">IF(A45="","",E45-D45+1)</f>
        <v/>
      </c>
      <c r="G45" s="27" t="str">
        <f aca="false">IF(A45="","",COUNTIFS($A$5:A45,A45))</f>
        <v/>
      </c>
      <c r="H45" s="27" t="str">
        <f aca="false">IF(A45="","",IF(E45=_xlfn.MAXIFS($E$5:$E$304,$A$5:$A$304,A45),1,0))</f>
        <v/>
      </c>
      <c r="I45" s="27" t="str">
        <f aca="false">IF(A45="","",A45&amp;"-"&amp;H45)</f>
        <v/>
      </c>
    </row>
    <row r="46" customFormat="false" ht="15" hidden="false" customHeight="false" outlineLevel="0" collapsed="false">
      <c r="A46" s="27" t="str">
        <f aca="false">IF('Registro de Comisión'!A46="","",'Registro de Comisión'!A46)</f>
        <v/>
      </c>
      <c r="B46" s="27" t="str">
        <f aca="false">IF(A46="","",TRIM(SUBSTITUTE(SUBSTITUTE(SUBSTITUTE(SUBSTITUTE(SUBSTITUTE(SUBSTITUTE(UPPER('Registro de Comisión'!B46),"Á","A"),"É","E"),"Í","I"),"Ó","O"),"Ú","U"),"Ü","U")))</f>
        <v/>
      </c>
      <c r="C46" s="27" t="str">
        <f aca="false">IF(A46="","",TRIM(SUBSTITUTE(SUBSTITUTE(SUBSTITUTE(SUBSTITUTE(SUBSTITUTE(SUBSTITUTE(UPPER('Registro de Comisión'!I46),"Á","A"),"É","E"),"Í","I"),"Ó","O"),"Ú","U"),"Ü","U")))</f>
        <v/>
      </c>
      <c r="D46" s="28" t="str">
        <f aca="false">IF(A46="","",'Registro de Comisión'!J46)</f>
        <v/>
      </c>
      <c r="E46" s="28" t="str">
        <f aca="false">IF(A46="","",'Registro de Comisión'!K46)</f>
        <v/>
      </c>
      <c r="F46" s="29" t="str">
        <f aca="false">IF(A46="","",E46-D46+1)</f>
        <v/>
      </c>
      <c r="G46" s="27" t="str">
        <f aca="false">IF(A46="","",COUNTIFS($A$5:A46,A46))</f>
        <v/>
      </c>
      <c r="H46" s="27" t="str">
        <f aca="false">IF(A46="","",IF(E46=_xlfn.MAXIFS($E$5:$E$304,$A$5:$A$304,A46),1,0))</f>
        <v/>
      </c>
      <c r="I46" s="27" t="str">
        <f aca="false">IF(A46="","",A46&amp;"-"&amp;H46)</f>
        <v/>
      </c>
    </row>
    <row r="47" customFormat="false" ht="15" hidden="false" customHeight="false" outlineLevel="0" collapsed="false">
      <c r="A47" s="27" t="str">
        <f aca="false">IF('Registro de Comisión'!A47="","",'Registro de Comisión'!A47)</f>
        <v/>
      </c>
      <c r="B47" s="27" t="str">
        <f aca="false">IF(A47="","",TRIM(SUBSTITUTE(SUBSTITUTE(SUBSTITUTE(SUBSTITUTE(SUBSTITUTE(SUBSTITUTE(UPPER('Registro de Comisión'!B47),"Á","A"),"É","E"),"Í","I"),"Ó","O"),"Ú","U"),"Ü","U")))</f>
        <v/>
      </c>
      <c r="C47" s="27" t="str">
        <f aca="false">IF(A47="","",TRIM(SUBSTITUTE(SUBSTITUTE(SUBSTITUTE(SUBSTITUTE(SUBSTITUTE(SUBSTITUTE(UPPER('Registro de Comisión'!I47),"Á","A"),"É","E"),"Í","I"),"Ó","O"),"Ú","U"),"Ü","U")))</f>
        <v/>
      </c>
      <c r="D47" s="28" t="str">
        <f aca="false">IF(A47="","",'Registro de Comisión'!J47)</f>
        <v/>
      </c>
      <c r="E47" s="28" t="str">
        <f aca="false">IF(A47="","",'Registro de Comisión'!K47)</f>
        <v/>
      </c>
      <c r="F47" s="29" t="str">
        <f aca="false">IF(A47="","",E47-D47+1)</f>
        <v/>
      </c>
      <c r="G47" s="27" t="str">
        <f aca="false">IF(A47="","",COUNTIFS($A$5:A47,A47))</f>
        <v/>
      </c>
      <c r="H47" s="27" t="str">
        <f aca="false">IF(A47="","",IF(E47=_xlfn.MAXIFS($E$5:$E$304,$A$5:$A$304,A47),1,0))</f>
        <v/>
      </c>
      <c r="I47" s="27" t="str">
        <f aca="false">IF(A47="","",A47&amp;"-"&amp;H47)</f>
        <v/>
      </c>
    </row>
    <row r="48" customFormat="false" ht="15" hidden="false" customHeight="false" outlineLevel="0" collapsed="false">
      <c r="A48" s="27" t="str">
        <f aca="false">IF('Registro de Comisión'!A48="","",'Registro de Comisión'!A48)</f>
        <v/>
      </c>
      <c r="B48" s="27" t="str">
        <f aca="false">IF(A48="","",TRIM(SUBSTITUTE(SUBSTITUTE(SUBSTITUTE(SUBSTITUTE(SUBSTITUTE(SUBSTITUTE(UPPER('Registro de Comisión'!B48),"Á","A"),"É","E"),"Í","I"),"Ó","O"),"Ú","U"),"Ü","U")))</f>
        <v/>
      </c>
      <c r="C48" s="27" t="str">
        <f aca="false">IF(A48="","",TRIM(SUBSTITUTE(SUBSTITUTE(SUBSTITUTE(SUBSTITUTE(SUBSTITUTE(SUBSTITUTE(UPPER('Registro de Comisión'!I48),"Á","A"),"É","E"),"Í","I"),"Ó","O"),"Ú","U"),"Ü","U")))</f>
        <v/>
      </c>
      <c r="D48" s="28" t="str">
        <f aca="false">IF(A48="","",'Registro de Comisión'!J48)</f>
        <v/>
      </c>
      <c r="E48" s="28" t="str">
        <f aca="false">IF(A48="","",'Registro de Comisión'!K48)</f>
        <v/>
      </c>
      <c r="F48" s="29" t="str">
        <f aca="false">IF(A48="","",E48-D48+1)</f>
        <v/>
      </c>
      <c r="G48" s="27" t="str">
        <f aca="false">IF(A48="","",COUNTIFS($A$5:A48,A48))</f>
        <v/>
      </c>
      <c r="H48" s="27" t="str">
        <f aca="false">IF(A48="","",IF(E48=_xlfn.MAXIFS($E$5:$E$304,$A$5:$A$304,A48),1,0))</f>
        <v/>
      </c>
      <c r="I48" s="27" t="str">
        <f aca="false">IF(A48="","",A48&amp;"-"&amp;H48)</f>
        <v/>
      </c>
    </row>
    <row r="49" customFormat="false" ht="15" hidden="false" customHeight="false" outlineLevel="0" collapsed="false">
      <c r="A49" s="27" t="str">
        <f aca="false">IF('Registro de Comisión'!A49="","",'Registro de Comisión'!A49)</f>
        <v/>
      </c>
      <c r="B49" s="27" t="str">
        <f aca="false">IF(A49="","",TRIM(SUBSTITUTE(SUBSTITUTE(SUBSTITUTE(SUBSTITUTE(SUBSTITUTE(SUBSTITUTE(UPPER('Registro de Comisión'!B49),"Á","A"),"É","E"),"Í","I"),"Ó","O"),"Ú","U"),"Ü","U")))</f>
        <v/>
      </c>
      <c r="C49" s="27" t="str">
        <f aca="false">IF(A49="","",TRIM(SUBSTITUTE(SUBSTITUTE(SUBSTITUTE(SUBSTITUTE(SUBSTITUTE(SUBSTITUTE(UPPER('Registro de Comisión'!I49),"Á","A"),"É","E"),"Í","I"),"Ó","O"),"Ú","U"),"Ü","U")))</f>
        <v/>
      </c>
      <c r="D49" s="28" t="str">
        <f aca="false">IF(A49="","",'Registro de Comisión'!J49)</f>
        <v/>
      </c>
      <c r="E49" s="28" t="str">
        <f aca="false">IF(A49="","",'Registro de Comisión'!K49)</f>
        <v/>
      </c>
      <c r="F49" s="29" t="str">
        <f aca="false">IF(A49="","",E49-D49+1)</f>
        <v/>
      </c>
      <c r="G49" s="27" t="str">
        <f aca="false">IF(A49="","",COUNTIFS($A$5:A49,A49))</f>
        <v/>
      </c>
      <c r="H49" s="27" t="str">
        <f aca="false">IF(A49="","",IF(E49=_xlfn.MAXIFS($E$5:$E$304,$A$5:$A$304,A49),1,0))</f>
        <v/>
      </c>
      <c r="I49" s="27" t="str">
        <f aca="false">IF(A49="","",A49&amp;"-"&amp;H49)</f>
        <v/>
      </c>
    </row>
    <row r="50" customFormat="false" ht="15" hidden="false" customHeight="false" outlineLevel="0" collapsed="false">
      <c r="A50" s="27" t="str">
        <f aca="false">IF('Registro de Comisión'!A50="","",'Registro de Comisión'!A50)</f>
        <v/>
      </c>
      <c r="B50" s="27" t="str">
        <f aca="false">IF(A50="","",TRIM(SUBSTITUTE(SUBSTITUTE(SUBSTITUTE(SUBSTITUTE(SUBSTITUTE(SUBSTITUTE(UPPER('Registro de Comisión'!B50),"Á","A"),"É","E"),"Í","I"),"Ó","O"),"Ú","U"),"Ü","U")))</f>
        <v/>
      </c>
      <c r="C50" s="27" t="str">
        <f aca="false">IF(A50="","",TRIM(SUBSTITUTE(SUBSTITUTE(SUBSTITUTE(SUBSTITUTE(SUBSTITUTE(SUBSTITUTE(UPPER('Registro de Comisión'!I50),"Á","A"),"É","E"),"Í","I"),"Ó","O"),"Ú","U"),"Ü","U")))</f>
        <v/>
      </c>
      <c r="D50" s="28" t="str">
        <f aca="false">IF(A50="","",'Registro de Comisión'!J50)</f>
        <v/>
      </c>
      <c r="E50" s="28" t="str">
        <f aca="false">IF(A50="","",'Registro de Comisión'!K50)</f>
        <v/>
      </c>
      <c r="F50" s="29" t="str">
        <f aca="false">IF(A50="","",E50-D50+1)</f>
        <v/>
      </c>
      <c r="G50" s="27" t="str">
        <f aca="false">IF(A50="","",COUNTIFS($A$5:A50,A50))</f>
        <v/>
      </c>
      <c r="H50" s="27" t="str">
        <f aca="false">IF(A50="","",IF(E50=_xlfn.MAXIFS($E$5:$E$304,$A$5:$A$304,A50),1,0))</f>
        <v/>
      </c>
      <c r="I50" s="27" t="str">
        <f aca="false">IF(A50="","",A50&amp;"-"&amp;H50)</f>
        <v/>
      </c>
    </row>
    <row r="51" customFormat="false" ht="15" hidden="false" customHeight="false" outlineLevel="0" collapsed="false">
      <c r="A51" s="27" t="str">
        <f aca="false">IF('Registro de Comisión'!A51="","",'Registro de Comisión'!A51)</f>
        <v/>
      </c>
      <c r="B51" s="27" t="str">
        <f aca="false">IF(A51="","",TRIM(SUBSTITUTE(SUBSTITUTE(SUBSTITUTE(SUBSTITUTE(SUBSTITUTE(SUBSTITUTE(UPPER('Registro de Comisión'!B51),"Á","A"),"É","E"),"Í","I"),"Ó","O"),"Ú","U"),"Ü","U")))</f>
        <v/>
      </c>
      <c r="C51" s="27" t="str">
        <f aca="false">IF(A51="","",TRIM(SUBSTITUTE(SUBSTITUTE(SUBSTITUTE(SUBSTITUTE(SUBSTITUTE(SUBSTITUTE(UPPER('Registro de Comisión'!I51),"Á","A"),"É","E"),"Í","I"),"Ó","O"),"Ú","U"),"Ü","U")))</f>
        <v/>
      </c>
      <c r="D51" s="28" t="str">
        <f aca="false">IF(A51="","",'Registro de Comisión'!J51)</f>
        <v/>
      </c>
      <c r="E51" s="28" t="str">
        <f aca="false">IF(A51="","",'Registro de Comisión'!K51)</f>
        <v/>
      </c>
      <c r="F51" s="29" t="str">
        <f aca="false">IF(A51="","",E51-D51+1)</f>
        <v/>
      </c>
      <c r="G51" s="27" t="str">
        <f aca="false">IF(A51="","",COUNTIFS($A$5:A51,A51))</f>
        <v/>
      </c>
      <c r="H51" s="27" t="str">
        <f aca="false">IF(A51="","",IF(E51=_xlfn.MAXIFS($E$5:$E$304,$A$5:$A$304,A51),1,0))</f>
        <v/>
      </c>
      <c r="I51" s="27" t="str">
        <f aca="false">IF(A51="","",A51&amp;"-"&amp;H51)</f>
        <v/>
      </c>
    </row>
    <row r="52" customFormat="false" ht="15" hidden="false" customHeight="false" outlineLevel="0" collapsed="false">
      <c r="A52" s="27" t="str">
        <f aca="false">IF('Registro de Comisión'!A52="","",'Registro de Comisión'!A52)</f>
        <v/>
      </c>
      <c r="B52" s="27" t="str">
        <f aca="false">IF(A52="","",TRIM(SUBSTITUTE(SUBSTITUTE(SUBSTITUTE(SUBSTITUTE(SUBSTITUTE(SUBSTITUTE(UPPER('Registro de Comisión'!B52),"Á","A"),"É","E"),"Í","I"),"Ó","O"),"Ú","U"),"Ü","U")))</f>
        <v/>
      </c>
      <c r="C52" s="27" t="str">
        <f aca="false">IF(A52="","",TRIM(SUBSTITUTE(SUBSTITUTE(SUBSTITUTE(SUBSTITUTE(SUBSTITUTE(SUBSTITUTE(UPPER('Registro de Comisión'!I52),"Á","A"),"É","E"),"Í","I"),"Ó","O"),"Ú","U"),"Ü","U")))</f>
        <v/>
      </c>
      <c r="D52" s="28" t="str">
        <f aca="false">IF(A52="","",'Registro de Comisión'!J52)</f>
        <v/>
      </c>
      <c r="E52" s="28" t="str">
        <f aca="false">IF(A52="","",'Registro de Comisión'!K52)</f>
        <v/>
      </c>
      <c r="F52" s="29" t="str">
        <f aca="false">IF(A52="","",E52-D52+1)</f>
        <v/>
      </c>
      <c r="G52" s="27" t="str">
        <f aca="false">IF(A52="","",COUNTIFS($A$5:A52,A52))</f>
        <v/>
      </c>
      <c r="H52" s="27" t="str">
        <f aca="false">IF(A52="","",IF(E52=_xlfn.MAXIFS($E$5:$E$304,$A$5:$A$304,A52),1,0))</f>
        <v/>
      </c>
      <c r="I52" s="27" t="str">
        <f aca="false">IF(A52="","",A52&amp;"-"&amp;H52)</f>
        <v/>
      </c>
    </row>
    <row r="53" customFormat="false" ht="15" hidden="false" customHeight="false" outlineLevel="0" collapsed="false">
      <c r="A53" s="27" t="str">
        <f aca="false">IF('Registro de Comisión'!A53="","",'Registro de Comisión'!A53)</f>
        <v/>
      </c>
      <c r="B53" s="27" t="str">
        <f aca="false">IF(A53="","",TRIM(SUBSTITUTE(SUBSTITUTE(SUBSTITUTE(SUBSTITUTE(SUBSTITUTE(SUBSTITUTE(UPPER('Registro de Comisión'!B53),"Á","A"),"É","E"),"Í","I"),"Ó","O"),"Ú","U"),"Ü","U")))</f>
        <v/>
      </c>
      <c r="C53" s="27" t="str">
        <f aca="false">IF(A53="","",TRIM(SUBSTITUTE(SUBSTITUTE(SUBSTITUTE(SUBSTITUTE(SUBSTITUTE(SUBSTITUTE(UPPER('Registro de Comisión'!I53),"Á","A"),"É","E"),"Í","I"),"Ó","O"),"Ú","U"),"Ü","U")))</f>
        <v/>
      </c>
      <c r="D53" s="28" t="str">
        <f aca="false">IF(A53="","",'Registro de Comisión'!J53)</f>
        <v/>
      </c>
      <c r="E53" s="28" t="str">
        <f aca="false">IF(A53="","",'Registro de Comisión'!K53)</f>
        <v/>
      </c>
      <c r="F53" s="29" t="str">
        <f aca="false">IF(A53="","",E53-D53+1)</f>
        <v/>
      </c>
      <c r="G53" s="27" t="str">
        <f aca="false">IF(A53="","",COUNTIFS($A$5:A53,A53))</f>
        <v/>
      </c>
      <c r="H53" s="27" t="str">
        <f aca="false">IF(A53="","",IF(E53=_xlfn.MAXIFS($E$5:$E$304,$A$5:$A$304,A53),1,0))</f>
        <v/>
      </c>
      <c r="I53" s="27" t="str">
        <f aca="false">IF(A53="","",A53&amp;"-"&amp;H53)</f>
        <v/>
      </c>
    </row>
    <row r="54" customFormat="false" ht="15" hidden="false" customHeight="false" outlineLevel="0" collapsed="false">
      <c r="A54" s="27" t="str">
        <f aca="false">IF('Registro de Comisión'!A54="","",'Registro de Comisión'!A54)</f>
        <v/>
      </c>
      <c r="B54" s="27" t="str">
        <f aca="false">IF(A54="","",TRIM(SUBSTITUTE(SUBSTITUTE(SUBSTITUTE(SUBSTITUTE(SUBSTITUTE(SUBSTITUTE(UPPER('Registro de Comisión'!B54),"Á","A"),"É","E"),"Í","I"),"Ó","O"),"Ú","U"),"Ü","U")))</f>
        <v/>
      </c>
      <c r="C54" s="27" t="str">
        <f aca="false">IF(A54="","",TRIM(SUBSTITUTE(SUBSTITUTE(SUBSTITUTE(SUBSTITUTE(SUBSTITUTE(SUBSTITUTE(UPPER('Registro de Comisión'!I54),"Á","A"),"É","E"),"Í","I"),"Ó","O"),"Ú","U"),"Ü","U")))</f>
        <v/>
      </c>
      <c r="D54" s="28" t="str">
        <f aca="false">IF(A54="","",'Registro de Comisión'!J54)</f>
        <v/>
      </c>
      <c r="E54" s="28" t="str">
        <f aca="false">IF(A54="","",'Registro de Comisión'!K54)</f>
        <v/>
      </c>
      <c r="F54" s="29" t="str">
        <f aca="false">IF(A54="","",E54-D54+1)</f>
        <v/>
      </c>
      <c r="G54" s="27" t="str">
        <f aca="false">IF(A54="","",COUNTIFS($A$5:A54,A54))</f>
        <v/>
      </c>
      <c r="H54" s="27" t="str">
        <f aca="false">IF(A54="","",IF(E54=_xlfn.MAXIFS($E$5:$E$304,$A$5:$A$304,A54),1,0))</f>
        <v/>
      </c>
      <c r="I54" s="27" t="str">
        <f aca="false">IF(A54="","",A54&amp;"-"&amp;H54)</f>
        <v/>
      </c>
    </row>
    <row r="55" customFormat="false" ht="15" hidden="false" customHeight="false" outlineLevel="0" collapsed="false">
      <c r="A55" s="27" t="str">
        <f aca="false">IF('Registro de Comisión'!A55="","",'Registro de Comisión'!A55)</f>
        <v/>
      </c>
      <c r="B55" s="27" t="str">
        <f aca="false">IF(A55="","",TRIM(SUBSTITUTE(SUBSTITUTE(SUBSTITUTE(SUBSTITUTE(SUBSTITUTE(SUBSTITUTE(UPPER('Registro de Comisión'!B55),"Á","A"),"É","E"),"Í","I"),"Ó","O"),"Ú","U"),"Ü","U")))</f>
        <v/>
      </c>
      <c r="C55" s="27" t="str">
        <f aca="false">IF(A55="","",TRIM(SUBSTITUTE(SUBSTITUTE(SUBSTITUTE(SUBSTITUTE(SUBSTITUTE(SUBSTITUTE(UPPER('Registro de Comisión'!I55),"Á","A"),"É","E"),"Í","I"),"Ó","O"),"Ú","U"),"Ü","U")))</f>
        <v/>
      </c>
      <c r="D55" s="28" t="str">
        <f aca="false">IF(A55="","",'Registro de Comisión'!J55)</f>
        <v/>
      </c>
      <c r="E55" s="28" t="str">
        <f aca="false">IF(A55="","",'Registro de Comisión'!K55)</f>
        <v/>
      </c>
      <c r="F55" s="29" t="str">
        <f aca="false">IF(A55="","",E55-D55+1)</f>
        <v/>
      </c>
      <c r="G55" s="27" t="str">
        <f aca="false">IF(A55="","",COUNTIFS($A$5:A55,A55))</f>
        <v/>
      </c>
      <c r="H55" s="27" t="str">
        <f aca="false">IF(A55="","",IF(E55=_xlfn.MAXIFS($E$5:$E$304,$A$5:$A$304,A55),1,0))</f>
        <v/>
      </c>
      <c r="I55" s="27" t="str">
        <f aca="false">IF(A55="","",A55&amp;"-"&amp;H55)</f>
        <v/>
      </c>
    </row>
    <row r="56" customFormat="false" ht="15" hidden="false" customHeight="false" outlineLevel="0" collapsed="false">
      <c r="A56" s="27" t="str">
        <f aca="false">IF('Registro de Comisión'!A56="","",'Registro de Comisión'!A56)</f>
        <v/>
      </c>
      <c r="B56" s="27" t="str">
        <f aca="false">IF(A56="","",TRIM(SUBSTITUTE(SUBSTITUTE(SUBSTITUTE(SUBSTITUTE(SUBSTITUTE(SUBSTITUTE(UPPER('Registro de Comisión'!B56),"Á","A"),"É","E"),"Í","I"),"Ó","O"),"Ú","U"),"Ü","U")))</f>
        <v/>
      </c>
      <c r="C56" s="27" t="str">
        <f aca="false">IF(A56="","",TRIM(SUBSTITUTE(SUBSTITUTE(SUBSTITUTE(SUBSTITUTE(SUBSTITUTE(SUBSTITUTE(UPPER('Registro de Comisión'!I56),"Á","A"),"É","E"),"Í","I"),"Ó","O"),"Ú","U"),"Ü","U")))</f>
        <v/>
      </c>
      <c r="D56" s="28" t="str">
        <f aca="false">IF(A56="","",'Registro de Comisión'!J56)</f>
        <v/>
      </c>
      <c r="E56" s="28" t="str">
        <f aca="false">IF(A56="","",'Registro de Comisión'!K56)</f>
        <v/>
      </c>
      <c r="F56" s="29" t="str">
        <f aca="false">IF(A56="","",E56-D56+1)</f>
        <v/>
      </c>
      <c r="G56" s="27" t="str">
        <f aca="false">IF(A56="","",COUNTIFS($A$5:A56,A56))</f>
        <v/>
      </c>
      <c r="H56" s="27" t="str">
        <f aca="false">IF(A56="","",IF(E56=_xlfn.MAXIFS($E$5:$E$304,$A$5:$A$304,A56),1,0))</f>
        <v/>
      </c>
      <c r="I56" s="27" t="str">
        <f aca="false">IF(A56="","",A56&amp;"-"&amp;H56)</f>
        <v/>
      </c>
    </row>
    <row r="57" customFormat="false" ht="15" hidden="false" customHeight="false" outlineLevel="0" collapsed="false">
      <c r="A57" s="27" t="str">
        <f aca="false">IF('Registro de Comisión'!A57="","",'Registro de Comisión'!A57)</f>
        <v/>
      </c>
      <c r="B57" s="27" t="str">
        <f aca="false">IF(A57="","",TRIM(SUBSTITUTE(SUBSTITUTE(SUBSTITUTE(SUBSTITUTE(SUBSTITUTE(SUBSTITUTE(UPPER('Registro de Comisión'!B57),"Á","A"),"É","E"),"Í","I"),"Ó","O"),"Ú","U"),"Ü","U")))</f>
        <v/>
      </c>
      <c r="C57" s="27" t="str">
        <f aca="false">IF(A57="","",TRIM(SUBSTITUTE(SUBSTITUTE(SUBSTITUTE(SUBSTITUTE(SUBSTITUTE(SUBSTITUTE(UPPER('Registro de Comisión'!I57),"Á","A"),"É","E"),"Í","I"),"Ó","O"),"Ú","U"),"Ü","U")))</f>
        <v/>
      </c>
      <c r="D57" s="28" t="str">
        <f aca="false">IF(A57="","",'Registro de Comisión'!J57)</f>
        <v/>
      </c>
      <c r="E57" s="28" t="str">
        <f aca="false">IF(A57="","",'Registro de Comisión'!K57)</f>
        <v/>
      </c>
      <c r="F57" s="29" t="str">
        <f aca="false">IF(A57="","",E57-D57+1)</f>
        <v/>
      </c>
      <c r="G57" s="27" t="str">
        <f aca="false">IF(A57="","",COUNTIFS($A$5:A57,A57))</f>
        <v/>
      </c>
      <c r="H57" s="27" t="str">
        <f aca="false">IF(A57="","",IF(E57=_xlfn.MAXIFS($E$5:$E$304,$A$5:$A$304,A57),1,0))</f>
        <v/>
      </c>
      <c r="I57" s="27" t="str">
        <f aca="false">IF(A57="","",A57&amp;"-"&amp;H57)</f>
        <v/>
      </c>
    </row>
    <row r="58" customFormat="false" ht="15" hidden="false" customHeight="false" outlineLevel="0" collapsed="false">
      <c r="A58" s="27" t="str">
        <f aca="false">IF('Registro de Comisión'!A58="","",'Registro de Comisión'!A58)</f>
        <v/>
      </c>
      <c r="B58" s="27" t="str">
        <f aca="false">IF(A58="","",TRIM(SUBSTITUTE(SUBSTITUTE(SUBSTITUTE(SUBSTITUTE(SUBSTITUTE(SUBSTITUTE(UPPER('Registro de Comisión'!B58),"Á","A"),"É","E"),"Í","I"),"Ó","O"),"Ú","U"),"Ü","U")))</f>
        <v/>
      </c>
      <c r="C58" s="27" t="str">
        <f aca="false">IF(A58="","",TRIM(SUBSTITUTE(SUBSTITUTE(SUBSTITUTE(SUBSTITUTE(SUBSTITUTE(SUBSTITUTE(UPPER('Registro de Comisión'!I58),"Á","A"),"É","E"),"Í","I"),"Ó","O"),"Ú","U"),"Ü","U")))</f>
        <v/>
      </c>
      <c r="D58" s="28" t="str">
        <f aca="false">IF(A58="","",'Registro de Comisión'!J58)</f>
        <v/>
      </c>
      <c r="E58" s="28" t="str">
        <f aca="false">IF(A58="","",'Registro de Comisión'!K58)</f>
        <v/>
      </c>
      <c r="F58" s="29" t="str">
        <f aca="false">IF(A58="","",E58-D58+1)</f>
        <v/>
      </c>
      <c r="G58" s="27" t="str">
        <f aca="false">IF(A58="","",COUNTIFS($A$5:A58,A58))</f>
        <v/>
      </c>
      <c r="H58" s="27" t="str">
        <f aca="false">IF(A58="","",IF(E58=_xlfn.MAXIFS($E$5:$E$304,$A$5:$A$304,A58),1,0))</f>
        <v/>
      </c>
      <c r="I58" s="27" t="str">
        <f aca="false">IF(A58="","",A58&amp;"-"&amp;H58)</f>
        <v/>
      </c>
    </row>
    <row r="59" customFormat="false" ht="15" hidden="false" customHeight="false" outlineLevel="0" collapsed="false">
      <c r="A59" s="27" t="str">
        <f aca="false">IF('Registro de Comisión'!A59="","",'Registro de Comisión'!A59)</f>
        <v/>
      </c>
      <c r="B59" s="27" t="str">
        <f aca="false">IF(A59="","",TRIM(SUBSTITUTE(SUBSTITUTE(SUBSTITUTE(SUBSTITUTE(SUBSTITUTE(SUBSTITUTE(UPPER('Registro de Comisión'!B59),"Á","A"),"É","E"),"Í","I"),"Ó","O"),"Ú","U"),"Ü","U")))</f>
        <v/>
      </c>
      <c r="C59" s="27" t="str">
        <f aca="false">IF(A59="","",TRIM(SUBSTITUTE(SUBSTITUTE(SUBSTITUTE(SUBSTITUTE(SUBSTITUTE(SUBSTITUTE(UPPER('Registro de Comisión'!I59),"Á","A"),"É","E"),"Í","I"),"Ó","O"),"Ú","U"),"Ü","U")))</f>
        <v/>
      </c>
      <c r="D59" s="28" t="str">
        <f aca="false">IF(A59="","",'Registro de Comisión'!J59)</f>
        <v/>
      </c>
      <c r="E59" s="28" t="str">
        <f aca="false">IF(A59="","",'Registro de Comisión'!K59)</f>
        <v/>
      </c>
      <c r="F59" s="29" t="str">
        <f aca="false">IF(A59="","",E59-D59+1)</f>
        <v/>
      </c>
      <c r="G59" s="27" t="str">
        <f aca="false">IF(A59="","",COUNTIFS($A$5:A59,A59))</f>
        <v/>
      </c>
      <c r="H59" s="27" t="str">
        <f aca="false">IF(A59="","",IF(E59=_xlfn.MAXIFS($E$5:$E$304,$A$5:$A$304,A59),1,0))</f>
        <v/>
      </c>
      <c r="I59" s="27" t="str">
        <f aca="false">IF(A59="","",A59&amp;"-"&amp;H59)</f>
        <v/>
      </c>
    </row>
    <row r="60" customFormat="false" ht="15" hidden="false" customHeight="false" outlineLevel="0" collapsed="false">
      <c r="A60" s="27" t="str">
        <f aca="false">IF('Registro de Comisión'!A60="","",'Registro de Comisión'!A60)</f>
        <v/>
      </c>
      <c r="B60" s="27" t="str">
        <f aca="false">IF(A60="","",TRIM(SUBSTITUTE(SUBSTITUTE(SUBSTITUTE(SUBSTITUTE(SUBSTITUTE(SUBSTITUTE(UPPER('Registro de Comisión'!B60),"Á","A"),"É","E"),"Í","I"),"Ó","O"),"Ú","U"),"Ü","U")))</f>
        <v/>
      </c>
      <c r="C60" s="27" t="str">
        <f aca="false">IF(A60="","",TRIM(SUBSTITUTE(SUBSTITUTE(SUBSTITUTE(SUBSTITUTE(SUBSTITUTE(SUBSTITUTE(UPPER('Registro de Comisión'!I60),"Á","A"),"É","E"),"Í","I"),"Ó","O"),"Ú","U"),"Ü","U")))</f>
        <v/>
      </c>
      <c r="D60" s="28" t="str">
        <f aca="false">IF(A60="","",'Registro de Comisión'!J60)</f>
        <v/>
      </c>
      <c r="E60" s="28" t="str">
        <f aca="false">IF(A60="","",'Registro de Comisión'!K60)</f>
        <v/>
      </c>
      <c r="F60" s="29" t="str">
        <f aca="false">IF(A60="","",E60-D60+1)</f>
        <v/>
      </c>
      <c r="G60" s="27" t="str">
        <f aca="false">IF(A60="","",COUNTIFS($A$5:A60,A60))</f>
        <v/>
      </c>
      <c r="H60" s="27" t="str">
        <f aca="false">IF(A60="","",IF(E60=_xlfn.MAXIFS($E$5:$E$304,$A$5:$A$304,A60),1,0))</f>
        <v/>
      </c>
      <c r="I60" s="27" t="str">
        <f aca="false">IF(A60="","",A60&amp;"-"&amp;H60)</f>
        <v/>
      </c>
    </row>
    <row r="61" customFormat="false" ht="15" hidden="false" customHeight="false" outlineLevel="0" collapsed="false">
      <c r="A61" s="27" t="str">
        <f aca="false">IF('Registro de Comisión'!A61="","",'Registro de Comisión'!A61)</f>
        <v/>
      </c>
      <c r="B61" s="27" t="str">
        <f aca="false">IF(A61="","",TRIM(SUBSTITUTE(SUBSTITUTE(SUBSTITUTE(SUBSTITUTE(SUBSTITUTE(SUBSTITUTE(UPPER('Registro de Comisión'!B61),"Á","A"),"É","E"),"Í","I"),"Ó","O"),"Ú","U"),"Ü","U")))</f>
        <v/>
      </c>
      <c r="C61" s="27" t="str">
        <f aca="false">IF(A61="","",TRIM(SUBSTITUTE(SUBSTITUTE(SUBSTITUTE(SUBSTITUTE(SUBSTITUTE(SUBSTITUTE(UPPER('Registro de Comisión'!I61),"Á","A"),"É","E"),"Í","I"),"Ó","O"),"Ú","U"),"Ü","U")))</f>
        <v/>
      </c>
      <c r="D61" s="28" t="str">
        <f aca="false">IF(A61="","",'Registro de Comisión'!J61)</f>
        <v/>
      </c>
      <c r="E61" s="28" t="str">
        <f aca="false">IF(A61="","",'Registro de Comisión'!K61)</f>
        <v/>
      </c>
      <c r="F61" s="29" t="str">
        <f aca="false">IF(A61="","",E61-D61+1)</f>
        <v/>
      </c>
      <c r="G61" s="27" t="str">
        <f aca="false">IF(A61="","",COUNTIFS($A$5:A61,A61))</f>
        <v/>
      </c>
      <c r="H61" s="27" t="str">
        <f aca="false">IF(A61="","",IF(E61=_xlfn.MAXIFS($E$5:$E$304,$A$5:$A$304,A61),1,0))</f>
        <v/>
      </c>
      <c r="I61" s="27" t="str">
        <f aca="false">IF(A61="","",A61&amp;"-"&amp;H61)</f>
        <v/>
      </c>
    </row>
    <row r="62" customFormat="false" ht="15" hidden="false" customHeight="false" outlineLevel="0" collapsed="false">
      <c r="A62" s="27" t="str">
        <f aca="false">IF('Registro de Comisión'!A62="","",'Registro de Comisión'!A62)</f>
        <v/>
      </c>
      <c r="B62" s="27" t="str">
        <f aca="false">IF(A62="","",TRIM(SUBSTITUTE(SUBSTITUTE(SUBSTITUTE(SUBSTITUTE(SUBSTITUTE(SUBSTITUTE(UPPER('Registro de Comisión'!B62),"Á","A"),"É","E"),"Í","I"),"Ó","O"),"Ú","U"),"Ü","U")))</f>
        <v/>
      </c>
      <c r="C62" s="27" t="str">
        <f aca="false">IF(A62="","",TRIM(SUBSTITUTE(SUBSTITUTE(SUBSTITUTE(SUBSTITUTE(SUBSTITUTE(SUBSTITUTE(UPPER('Registro de Comisión'!I62),"Á","A"),"É","E"),"Í","I"),"Ó","O"),"Ú","U"),"Ü","U")))</f>
        <v/>
      </c>
      <c r="D62" s="28" t="str">
        <f aca="false">IF(A62="","",'Registro de Comisión'!J62)</f>
        <v/>
      </c>
      <c r="E62" s="28" t="str">
        <f aca="false">IF(A62="","",'Registro de Comisión'!K62)</f>
        <v/>
      </c>
      <c r="F62" s="29" t="str">
        <f aca="false">IF(A62="","",E62-D62+1)</f>
        <v/>
      </c>
      <c r="G62" s="27" t="str">
        <f aca="false">IF(A62="","",COUNTIFS($A$5:A62,A62))</f>
        <v/>
      </c>
      <c r="H62" s="27" t="str">
        <f aca="false">IF(A62="","",IF(E62=_xlfn.MAXIFS($E$5:$E$304,$A$5:$A$304,A62),1,0))</f>
        <v/>
      </c>
      <c r="I62" s="27" t="str">
        <f aca="false">IF(A62="","",A62&amp;"-"&amp;H62)</f>
        <v/>
      </c>
    </row>
    <row r="63" customFormat="false" ht="15" hidden="false" customHeight="false" outlineLevel="0" collapsed="false">
      <c r="A63" s="27" t="str">
        <f aca="false">IF('Registro de Comisión'!A63="","",'Registro de Comisión'!A63)</f>
        <v/>
      </c>
      <c r="B63" s="27" t="str">
        <f aca="false">IF(A63="","",TRIM(SUBSTITUTE(SUBSTITUTE(SUBSTITUTE(SUBSTITUTE(SUBSTITUTE(SUBSTITUTE(UPPER('Registro de Comisión'!B63),"Á","A"),"É","E"),"Í","I"),"Ó","O"),"Ú","U"),"Ü","U")))</f>
        <v/>
      </c>
      <c r="C63" s="27" t="str">
        <f aca="false">IF(A63="","",TRIM(SUBSTITUTE(SUBSTITUTE(SUBSTITUTE(SUBSTITUTE(SUBSTITUTE(SUBSTITUTE(UPPER('Registro de Comisión'!I63),"Á","A"),"É","E"),"Í","I"),"Ó","O"),"Ú","U"),"Ü","U")))</f>
        <v/>
      </c>
      <c r="D63" s="28" t="str">
        <f aca="false">IF(A63="","",'Registro de Comisión'!J63)</f>
        <v/>
      </c>
      <c r="E63" s="28" t="str">
        <f aca="false">IF(A63="","",'Registro de Comisión'!K63)</f>
        <v/>
      </c>
      <c r="F63" s="29" t="str">
        <f aca="false">IF(A63="","",E63-D63+1)</f>
        <v/>
      </c>
      <c r="G63" s="27" t="str">
        <f aca="false">IF(A63="","",COUNTIFS($A$5:A63,A63))</f>
        <v/>
      </c>
      <c r="H63" s="27" t="str">
        <f aca="false">IF(A63="","",IF(E63=_xlfn.MAXIFS($E$5:$E$304,$A$5:$A$304,A63),1,0))</f>
        <v/>
      </c>
      <c r="I63" s="27" t="str">
        <f aca="false">IF(A63="","",A63&amp;"-"&amp;H63)</f>
        <v/>
      </c>
    </row>
    <row r="64" customFormat="false" ht="15" hidden="false" customHeight="false" outlineLevel="0" collapsed="false">
      <c r="A64" s="27" t="str">
        <f aca="false">IF('Registro de Comisión'!A64="","",'Registro de Comisión'!A64)</f>
        <v/>
      </c>
      <c r="B64" s="27" t="str">
        <f aca="false">IF(A64="","",TRIM(SUBSTITUTE(SUBSTITUTE(SUBSTITUTE(SUBSTITUTE(SUBSTITUTE(SUBSTITUTE(UPPER('Registro de Comisión'!B64),"Á","A"),"É","E"),"Í","I"),"Ó","O"),"Ú","U"),"Ü","U")))</f>
        <v/>
      </c>
      <c r="C64" s="27" t="str">
        <f aca="false">IF(A64="","",TRIM(SUBSTITUTE(SUBSTITUTE(SUBSTITUTE(SUBSTITUTE(SUBSTITUTE(SUBSTITUTE(UPPER('Registro de Comisión'!I64),"Á","A"),"É","E"),"Í","I"),"Ó","O"),"Ú","U"),"Ü","U")))</f>
        <v/>
      </c>
      <c r="D64" s="28" t="str">
        <f aca="false">IF(A64="","",'Registro de Comisión'!J64)</f>
        <v/>
      </c>
      <c r="E64" s="28" t="str">
        <f aca="false">IF(A64="","",'Registro de Comisión'!K64)</f>
        <v/>
      </c>
      <c r="F64" s="29" t="str">
        <f aca="false">IF(A64="","",E64-D64+1)</f>
        <v/>
      </c>
      <c r="G64" s="27" t="str">
        <f aca="false">IF(A64="","",COUNTIFS($A$5:A64,A64))</f>
        <v/>
      </c>
      <c r="H64" s="27" t="str">
        <f aca="false">IF(A64="","",IF(E64=_xlfn.MAXIFS($E$5:$E$304,$A$5:$A$304,A64),1,0))</f>
        <v/>
      </c>
      <c r="I64" s="27" t="str">
        <f aca="false">IF(A64="","",A64&amp;"-"&amp;H64)</f>
        <v/>
      </c>
    </row>
    <row r="65" customFormat="false" ht="15" hidden="false" customHeight="false" outlineLevel="0" collapsed="false">
      <c r="A65" s="27" t="str">
        <f aca="false">IF('Registro de Comisión'!A65="","",'Registro de Comisión'!A65)</f>
        <v/>
      </c>
      <c r="B65" s="27" t="str">
        <f aca="false">IF(A65="","",TRIM(SUBSTITUTE(SUBSTITUTE(SUBSTITUTE(SUBSTITUTE(SUBSTITUTE(SUBSTITUTE(UPPER('Registro de Comisión'!B65),"Á","A"),"É","E"),"Í","I"),"Ó","O"),"Ú","U"),"Ü","U")))</f>
        <v/>
      </c>
      <c r="C65" s="27" t="str">
        <f aca="false">IF(A65="","",TRIM(SUBSTITUTE(SUBSTITUTE(SUBSTITUTE(SUBSTITUTE(SUBSTITUTE(SUBSTITUTE(UPPER('Registro de Comisión'!I65),"Á","A"),"É","E"),"Í","I"),"Ó","O"),"Ú","U"),"Ü","U")))</f>
        <v/>
      </c>
      <c r="D65" s="28" t="str">
        <f aca="false">IF(A65="","",'Registro de Comisión'!J65)</f>
        <v/>
      </c>
      <c r="E65" s="28" t="str">
        <f aca="false">IF(A65="","",'Registro de Comisión'!K65)</f>
        <v/>
      </c>
      <c r="F65" s="29" t="str">
        <f aca="false">IF(A65="","",E65-D65+1)</f>
        <v/>
      </c>
      <c r="G65" s="27" t="str">
        <f aca="false">IF(A65="","",COUNTIFS($A$5:A65,A65))</f>
        <v/>
      </c>
      <c r="H65" s="27" t="str">
        <f aca="false">IF(A65="","",IF(E65=_xlfn.MAXIFS($E$5:$E$304,$A$5:$A$304,A65),1,0))</f>
        <v/>
      </c>
      <c r="I65" s="27" t="str">
        <f aca="false">IF(A65="","",A65&amp;"-"&amp;H65)</f>
        <v/>
      </c>
    </row>
    <row r="66" customFormat="false" ht="15" hidden="false" customHeight="false" outlineLevel="0" collapsed="false">
      <c r="A66" s="27" t="str">
        <f aca="false">IF('Registro de Comisión'!A66="","",'Registro de Comisión'!A66)</f>
        <v/>
      </c>
      <c r="B66" s="27" t="str">
        <f aca="false">IF(A66="","",TRIM(SUBSTITUTE(SUBSTITUTE(SUBSTITUTE(SUBSTITUTE(SUBSTITUTE(SUBSTITUTE(UPPER('Registro de Comisión'!B66),"Á","A"),"É","E"),"Í","I"),"Ó","O"),"Ú","U"),"Ü","U")))</f>
        <v/>
      </c>
      <c r="C66" s="27" t="str">
        <f aca="false">IF(A66="","",TRIM(SUBSTITUTE(SUBSTITUTE(SUBSTITUTE(SUBSTITUTE(SUBSTITUTE(SUBSTITUTE(UPPER('Registro de Comisión'!I66),"Á","A"),"É","E"),"Í","I"),"Ó","O"),"Ú","U"),"Ü","U")))</f>
        <v/>
      </c>
      <c r="D66" s="28" t="str">
        <f aca="false">IF(A66="","",'Registro de Comisión'!J66)</f>
        <v/>
      </c>
      <c r="E66" s="28" t="str">
        <f aca="false">IF(A66="","",'Registro de Comisión'!K66)</f>
        <v/>
      </c>
      <c r="F66" s="29" t="str">
        <f aca="false">IF(A66="","",E66-D66+1)</f>
        <v/>
      </c>
      <c r="G66" s="27" t="str">
        <f aca="false">IF(A66="","",COUNTIFS($A$5:A66,A66))</f>
        <v/>
      </c>
      <c r="H66" s="27" t="str">
        <f aca="false">IF(A66="","",IF(E66=_xlfn.MAXIFS($E$5:$E$304,$A$5:$A$304,A66),1,0))</f>
        <v/>
      </c>
      <c r="I66" s="27" t="str">
        <f aca="false">IF(A66="","",A66&amp;"-"&amp;H66)</f>
        <v/>
      </c>
    </row>
    <row r="67" customFormat="false" ht="15" hidden="false" customHeight="false" outlineLevel="0" collapsed="false">
      <c r="A67" s="27" t="str">
        <f aca="false">IF('Registro de Comisión'!A67="","",'Registro de Comisión'!A67)</f>
        <v/>
      </c>
      <c r="B67" s="27" t="str">
        <f aca="false">IF(A67="","",TRIM(SUBSTITUTE(SUBSTITUTE(SUBSTITUTE(SUBSTITUTE(SUBSTITUTE(SUBSTITUTE(UPPER('Registro de Comisión'!B67),"Á","A"),"É","E"),"Í","I"),"Ó","O"),"Ú","U"),"Ü","U")))</f>
        <v/>
      </c>
      <c r="C67" s="27" t="str">
        <f aca="false">IF(A67="","",TRIM(SUBSTITUTE(SUBSTITUTE(SUBSTITUTE(SUBSTITUTE(SUBSTITUTE(SUBSTITUTE(UPPER('Registro de Comisión'!I67),"Á","A"),"É","E"),"Í","I"),"Ó","O"),"Ú","U"),"Ü","U")))</f>
        <v/>
      </c>
      <c r="D67" s="28" t="str">
        <f aca="false">IF(A67="","",'Registro de Comisión'!J67)</f>
        <v/>
      </c>
      <c r="E67" s="28" t="str">
        <f aca="false">IF(A67="","",'Registro de Comisión'!K67)</f>
        <v/>
      </c>
      <c r="F67" s="29" t="str">
        <f aca="false">IF(A67="","",E67-D67+1)</f>
        <v/>
      </c>
      <c r="G67" s="27" t="str">
        <f aca="false">IF(A67="","",COUNTIFS($A$5:A67,A67))</f>
        <v/>
      </c>
      <c r="H67" s="27" t="str">
        <f aca="false">IF(A67="","",IF(E67=_xlfn.MAXIFS($E$5:$E$304,$A$5:$A$304,A67),1,0))</f>
        <v/>
      </c>
      <c r="I67" s="27" t="str">
        <f aca="false">IF(A67="","",A67&amp;"-"&amp;H67)</f>
        <v/>
      </c>
    </row>
    <row r="68" customFormat="false" ht="15" hidden="false" customHeight="false" outlineLevel="0" collapsed="false">
      <c r="A68" s="27" t="str">
        <f aca="false">IF('Registro de Comisión'!A68="","",'Registro de Comisión'!A68)</f>
        <v/>
      </c>
      <c r="B68" s="27" t="str">
        <f aca="false">IF(A68="","",TRIM(SUBSTITUTE(SUBSTITUTE(SUBSTITUTE(SUBSTITUTE(SUBSTITUTE(SUBSTITUTE(UPPER('Registro de Comisión'!B68),"Á","A"),"É","E"),"Í","I"),"Ó","O"),"Ú","U"),"Ü","U")))</f>
        <v/>
      </c>
      <c r="C68" s="27" t="str">
        <f aca="false">IF(A68="","",TRIM(SUBSTITUTE(SUBSTITUTE(SUBSTITUTE(SUBSTITUTE(SUBSTITUTE(SUBSTITUTE(UPPER('Registro de Comisión'!I68),"Á","A"),"É","E"),"Í","I"),"Ó","O"),"Ú","U"),"Ü","U")))</f>
        <v/>
      </c>
      <c r="D68" s="28" t="str">
        <f aca="false">IF(A68="","",'Registro de Comisión'!J68)</f>
        <v/>
      </c>
      <c r="E68" s="28" t="str">
        <f aca="false">IF(A68="","",'Registro de Comisión'!K68)</f>
        <v/>
      </c>
      <c r="F68" s="29" t="str">
        <f aca="false">IF(A68="","",E68-D68+1)</f>
        <v/>
      </c>
      <c r="G68" s="27" t="str">
        <f aca="false">IF(A68="","",COUNTIFS($A$5:A68,A68))</f>
        <v/>
      </c>
      <c r="H68" s="27" t="str">
        <f aca="false">IF(A68="","",IF(E68=_xlfn.MAXIFS($E$5:$E$304,$A$5:$A$304,A68),1,0))</f>
        <v/>
      </c>
      <c r="I68" s="27" t="str">
        <f aca="false">IF(A68="","",A68&amp;"-"&amp;H68)</f>
        <v/>
      </c>
    </row>
    <row r="69" customFormat="false" ht="15" hidden="false" customHeight="false" outlineLevel="0" collapsed="false">
      <c r="A69" s="27" t="str">
        <f aca="false">IF('Registro de Comisión'!A69="","",'Registro de Comisión'!A69)</f>
        <v/>
      </c>
      <c r="B69" s="27" t="str">
        <f aca="false">IF(A69="","",TRIM(SUBSTITUTE(SUBSTITUTE(SUBSTITUTE(SUBSTITUTE(SUBSTITUTE(SUBSTITUTE(UPPER('Registro de Comisión'!B69),"Á","A"),"É","E"),"Í","I"),"Ó","O"),"Ú","U"),"Ü","U")))</f>
        <v/>
      </c>
      <c r="C69" s="27" t="str">
        <f aca="false">IF(A69="","",TRIM(SUBSTITUTE(SUBSTITUTE(SUBSTITUTE(SUBSTITUTE(SUBSTITUTE(SUBSTITUTE(UPPER('Registro de Comisión'!I69),"Á","A"),"É","E"),"Í","I"),"Ó","O"),"Ú","U"),"Ü","U")))</f>
        <v/>
      </c>
      <c r="D69" s="28" t="str">
        <f aca="false">IF(A69="","",'Registro de Comisión'!J69)</f>
        <v/>
      </c>
      <c r="E69" s="28" t="str">
        <f aca="false">IF(A69="","",'Registro de Comisión'!K69)</f>
        <v/>
      </c>
      <c r="F69" s="29" t="str">
        <f aca="false">IF(A69="","",E69-D69+1)</f>
        <v/>
      </c>
      <c r="G69" s="27" t="str">
        <f aca="false">IF(A69="","",COUNTIFS($A$5:A69,A69))</f>
        <v/>
      </c>
      <c r="H69" s="27" t="str">
        <f aca="false">IF(A69="","",IF(E69=_xlfn.MAXIFS($E$5:$E$304,$A$5:$A$304,A69),1,0))</f>
        <v/>
      </c>
      <c r="I69" s="27" t="str">
        <f aca="false">IF(A69="","",A69&amp;"-"&amp;H69)</f>
        <v/>
      </c>
    </row>
    <row r="70" customFormat="false" ht="15" hidden="false" customHeight="false" outlineLevel="0" collapsed="false">
      <c r="A70" s="27" t="str">
        <f aca="false">IF('Registro de Comisión'!A70="","",'Registro de Comisión'!A70)</f>
        <v/>
      </c>
      <c r="B70" s="27" t="str">
        <f aca="false">IF(A70="","",TRIM(SUBSTITUTE(SUBSTITUTE(SUBSTITUTE(SUBSTITUTE(SUBSTITUTE(SUBSTITUTE(UPPER('Registro de Comisión'!B70),"Á","A"),"É","E"),"Í","I"),"Ó","O"),"Ú","U"),"Ü","U")))</f>
        <v/>
      </c>
      <c r="C70" s="27" t="str">
        <f aca="false">IF(A70="","",TRIM(SUBSTITUTE(SUBSTITUTE(SUBSTITUTE(SUBSTITUTE(SUBSTITUTE(SUBSTITUTE(UPPER('Registro de Comisión'!I70),"Á","A"),"É","E"),"Í","I"),"Ó","O"),"Ú","U"),"Ü","U")))</f>
        <v/>
      </c>
      <c r="D70" s="28" t="str">
        <f aca="false">IF(A70="","",'Registro de Comisión'!J70)</f>
        <v/>
      </c>
      <c r="E70" s="28" t="str">
        <f aca="false">IF(A70="","",'Registro de Comisión'!K70)</f>
        <v/>
      </c>
      <c r="F70" s="29" t="str">
        <f aca="false">IF(A70="","",E70-D70+1)</f>
        <v/>
      </c>
      <c r="G70" s="27" t="str">
        <f aca="false">IF(A70="","",COUNTIFS($A$5:A70,A70))</f>
        <v/>
      </c>
      <c r="H70" s="27" t="str">
        <f aca="false">IF(A70="","",IF(E70=_xlfn.MAXIFS($E$5:$E$304,$A$5:$A$304,A70),1,0))</f>
        <v/>
      </c>
      <c r="I70" s="27" t="str">
        <f aca="false">IF(A70="","",A70&amp;"-"&amp;H70)</f>
        <v/>
      </c>
    </row>
    <row r="71" customFormat="false" ht="15" hidden="false" customHeight="false" outlineLevel="0" collapsed="false">
      <c r="A71" s="27" t="str">
        <f aca="false">IF('Registro de Comisión'!A71="","",'Registro de Comisión'!A71)</f>
        <v/>
      </c>
      <c r="B71" s="27" t="str">
        <f aca="false">IF(A71="","",TRIM(SUBSTITUTE(SUBSTITUTE(SUBSTITUTE(SUBSTITUTE(SUBSTITUTE(SUBSTITUTE(UPPER('Registro de Comisión'!B71),"Á","A"),"É","E"),"Í","I"),"Ó","O"),"Ú","U"),"Ü","U")))</f>
        <v/>
      </c>
      <c r="C71" s="27" t="str">
        <f aca="false">IF(A71="","",TRIM(SUBSTITUTE(SUBSTITUTE(SUBSTITUTE(SUBSTITUTE(SUBSTITUTE(SUBSTITUTE(UPPER('Registro de Comisión'!I71),"Á","A"),"É","E"),"Í","I"),"Ó","O"),"Ú","U"),"Ü","U")))</f>
        <v/>
      </c>
      <c r="D71" s="28" t="str">
        <f aca="false">IF(A71="","",'Registro de Comisión'!J71)</f>
        <v/>
      </c>
      <c r="E71" s="28" t="str">
        <f aca="false">IF(A71="","",'Registro de Comisión'!K71)</f>
        <v/>
      </c>
      <c r="F71" s="29" t="str">
        <f aca="false">IF(A71="","",E71-D71+1)</f>
        <v/>
      </c>
      <c r="G71" s="27" t="str">
        <f aca="false">IF(A71="","",COUNTIFS($A$5:A71,A71))</f>
        <v/>
      </c>
      <c r="H71" s="27" t="str">
        <f aca="false">IF(A71="","",IF(E71=_xlfn.MAXIFS($E$5:$E$304,$A$5:$A$304,A71),1,0))</f>
        <v/>
      </c>
      <c r="I71" s="27" t="str">
        <f aca="false">IF(A71="","",A71&amp;"-"&amp;H71)</f>
        <v/>
      </c>
    </row>
    <row r="72" customFormat="false" ht="15" hidden="false" customHeight="false" outlineLevel="0" collapsed="false">
      <c r="A72" s="27" t="str">
        <f aca="false">IF('Registro de Comisión'!A72="","",'Registro de Comisión'!A72)</f>
        <v/>
      </c>
      <c r="B72" s="27" t="str">
        <f aca="false">IF(A72="","",TRIM(SUBSTITUTE(SUBSTITUTE(SUBSTITUTE(SUBSTITUTE(SUBSTITUTE(SUBSTITUTE(UPPER('Registro de Comisión'!B72),"Á","A"),"É","E"),"Í","I"),"Ó","O"),"Ú","U"),"Ü","U")))</f>
        <v/>
      </c>
      <c r="C72" s="27" t="str">
        <f aca="false">IF(A72="","",TRIM(SUBSTITUTE(SUBSTITUTE(SUBSTITUTE(SUBSTITUTE(SUBSTITUTE(SUBSTITUTE(UPPER('Registro de Comisión'!I72),"Á","A"),"É","E"),"Í","I"),"Ó","O"),"Ú","U"),"Ü","U")))</f>
        <v/>
      </c>
      <c r="D72" s="28" t="str">
        <f aca="false">IF(A72="","",'Registro de Comisión'!J72)</f>
        <v/>
      </c>
      <c r="E72" s="28" t="str">
        <f aca="false">IF(A72="","",'Registro de Comisión'!K72)</f>
        <v/>
      </c>
      <c r="F72" s="29" t="str">
        <f aca="false">IF(A72="","",E72-D72+1)</f>
        <v/>
      </c>
      <c r="G72" s="27" t="str">
        <f aca="false">IF(A72="","",COUNTIFS($A$5:A72,A72))</f>
        <v/>
      </c>
      <c r="H72" s="27" t="str">
        <f aca="false">IF(A72="","",IF(E72=_xlfn.MAXIFS($E$5:$E$304,$A$5:$A$304,A72),1,0))</f>
        <v/>
      </c>
      <c r="I72" s="27" t="str">
        <f aca="false">IF(A72="","",A72&amp;"-"&amp;H72)</f>
        <v/>
      </c>
    </row>
    <row r="73" customFormat="false" ht="15" hidden="false" customHeight="false" outlineLevel="0" collapsed="false">
      <c r="A73" s="27" t="str">
        <f aca="false">IF('Registro de Comisión'!A73="","",'Registro de Comisión'!A73)</f>
        <v/>
      </c>
      <c r="B73" s="27" t="str">
        <f aca="false">IF(A73="","",TRIM(SUBSTITUTE(SUBSTITUTE(SUBSTITUTE(SUBSTITUTE(SUBSTITUTE(SUBSTITUTE(UPPER('Registro de Comisión'!B73),"Á","A"),"É","E"),"Í","I"),"Ó","O"),"Ú","U"),"Ü","U")))</f>
        <v/>
      </c>
      <c r="C73" s="27" t="str">
        <f aca="false">IF(A73="","",TRIM(SUBSTITUTE(SUBSTITUTE(SUBSTITUTE(SUBSTITUTE(SUBSTITUTE(SUBSTITUTE(UPPER('Registro de Comisión'!I73),"Á","A"),"É","E"),"Í","I"),"Ó","O"),"Ú","U"),"Ü","U")))</f>
        <v/>
      </c>
      <c r="D73" s="28" t="str">
        <f aca="false">IF(A73="","",'Registro de Comisión'!J73)</f>
        <v/>
      </c>
      <c r="E73" s="28" t="str">
        <f aca="false">IF(A73="","",'Registro de Comisión'!K73)</f>
        <v/>
      </c>
      <c r="F73" s="29" t="str">
        <f aca="false">IF(A73="","",E73-D73+1)</f>
        <v/>
      </c>
      <c r="G73" s="27" t="str">
        <f aca="false">IF(A73="","",COUNTIFS($A$5:A73,A73))</f>
        <v/>
      </c>
      <c r="H73" s="27" t="str">
        <f aca="false">IF(A73="","",IF(E73=_xlfn.MAXIFS($E$5:$E$304,$A$5:$A$304,A73),1,0))</f>
        <v/>
      </c>
      <c r="I73" s="27" t="str">
        <f aca="false">IF(A73="","",A73&amp;"-"&amp;H73)</f>
        <v/>
      </c>
    </row>
    <row r="74" customFormat="false" ht="15" hidden="false" customHeight="false" outlineLevel="0" collapsed="false">
      <c r="A74" s="27" t="str">
        <f aca="false">IF('Registro de Comisión'!A74="","",'Registro de Comisión'!A74)</f>
        <v/>
      </c>
      <c r="B74" s="27" t="str">
        <f aca="false">IF(A74="","",TRIM(SUBSTITUTE(SUBSTITUTE(SUBSTITUTE(SUBSTITUTE(SUBSTITUTE(SUBSTITUTE(UPPER('Registro de Comisión'!B74),"Á","A"),"É","E"),"Í","I"),"Ó","O"),"Ú","U"),"Ü","U")))</f>
        <v/>
      </c>
      <c r="C74" s="27" t="str">
        <f aca="false">IF(A74="","",TRIM(SUBSTITUTE(SUBSTITUTE(SUBSTITUTE(SUBSTITUTE(SUBSTITUTE(SUBSTITUTE(UPPER('Registro de Comisión'!I74),"Á","A"),"É","E"),"Í","I"),"Ó","O"),"Ú","U"),"Ü","U")))</f>
        <v/>
      </c>
      <c r="D74" s="28" t="str">
        <f aca="false">IF(A74="","",'Registro de Comisión'!J74)</f>
        <v/>
      </c>
      <c r="E74" s="28" t="str">
        <f aca="false">IF(A74="","",'Registro de Comisión'!K74)</f>
        <v/>
      </c>
      <c r="F74" s="29" t="str">
        <f aca="false">IF(A74="","",E74-D74+1)</f>
        <v/>
      </c>
      <c r="G74" s="27" t="str">
        <f aca="false">IF(A74="","",COUNTIFS($A$5:A74,A74))</f>
        <v/>
      </c>
      <c r="H74" s="27" t="str">
        <f aca="false">IF(A74="","",IF(E74=_xlfn.MAXIFS($E$5:$E$304,$A$5:$A$304,A74),1,0))</f>
        <v/>
      </c>
      <c r="I74" s="27" t="str">
        <f aca="false">IF(A74="","",A74&amp;"-"&amp;H74)</f>
        <v/>
      </c>
    </row>
    <row r="75" customFormat="false" ht="15" hidden="false" customHeight="false" outlineLevel="0" collapsed="false">
      <c r="A75" s="27" t="str">
        <f aca="false">IF('Registro de Comisión'!A75="","",'Registro de Comisión'!A75)</f>
        <v/>
      </c>
      <c r="B75" s="27" t="str">
        <f aca="false">IF(A75="","",TRIM(SUBSTITUTE(SUBSTITUTE(SUBSTITUTE(SUBSTITUTE(SUBSTITUTE(SUBSTITUTE(UPPER('Registro de Comisión'!B75),"Á","A"),"É","E"),"Í","I"),"Ó","O"),"Ú","U"),"Ü","U")))</f>
        <v/>
      </c>
      <c r="C75" s="27" t="str">
        <f aca="false">IF(A75="","",TRIM(SUBSTITUTE(SUBSTITUTE(SUBSTITUTE(SUBSTITUTE(SUBSTITUTE(SUBSTITUTE(UPPER('Registro de Comisión'!I75),"Á","A"),"É","E"),"Í","I"),"Ó","O"),"Ú","U"),"Ü","U")))</f>
        <v/>
      </c>
      <c r="D75" s="28" t="str">
        <f aca="false">IF(A75="","",'Registro de Comisión'!J75)</f>
        <v/>
      </c>
      <c r="E75" s="28" t="str">
        <f aca="false">IF(A75="","",'Registro de Comisión'!K75)</f>
        <v/>
      </c>
      <c r="F75" s="29" t="str">
        <f aca="false">IF(A75="","",E75-D75+1)</f>
        <v/>
      </c>
      <c r="G75" s="27" t="str">
        <f aca="false">IF(A75="","",COUNTIFS($A$5:A75,A75))</f>
        <v/>
      </c>
      <c r="H75" s="27" t="str">
        <f aca="false">IF(A75="","",IF(E75=_xlfn.MAXIFS($E$5:$E$304,$A$5:$A$304,A75),1,0))</f>
        <v/>
      </c>
      <c r="I75" s="27" t="str">
        <f aca="false">IF(A75="","",A75&amp;"-"&amp;H75)</f>
        <v/>
      </c>
    </row>
    <row r="76" customFormat="false" ht="15" hidden="false" customHeight="false" outlineLevel="0" collapsed="false">
      <c r="A76" s="27" t="str">
        <f aca="false">IF('Registro de Comisión'!A76="","",'Registro de Comisión'!A76)</f>
        <v/>
      </c>
      <c r="B76" s="27" t="str">
        <f aca="false">IF(A76="","",TRIM(SUBSTITUTE(SUBSTITUTE(SUBSTITUTE(SUBSTITUTE(SUBSTITUTE(SUBSTITUTE(UPPER('Registro de Comisión'!B76),"Á","A"),"É","E"),"Í","I"),"Ó","O"),"Ú","U"),"Ü","U")))</f>
        <v/>
      </c>
      <c r="C76" s="27" t="str">
        <f aca="false">IF(A76="","",TRIM(SUBSTITUTE(SUBSTITUTE(SUBSTITUTE(SUBSTITUTE(SUBSTITUTE(SUBSTITUTE(UPPER('Registro de Comisión'!I76),"Á","A"),"É","E"),"Í","I"),"Ó","O"),"Ú","U"),"Ü","U")))</f>
        <v/>
      </c>
      <c r="D76" s="28" t="str">
        <f aca="false">IF(A76="","",'Registro de Comisión'!J76)</f>
        <v/>
      </c>
      <c r="E76" s="28" t="str">
        <f aca="false">IF(A76="","",'Registro de Comisión'!K76)</f>
        <v/>
      </c>
      <c r="F76" s="29" t="str">
        <f aca="false">IF(A76="","",E76-D76+1)</f>
        <v/>
      </c>
      <c r="G76" s="27" t="str">
        <f aca="false">IF(A76="","",COUNTIFS($A$5:A76,A76))</f>
        <v/>
      </c>
      <c r="H76" s="27" t="str">
        <f aca="false">IF(A76="","",IF(E76=_xlfn.MAXIFS($E$5:$E$304,$A$5:$A$304,A76),1,0))</f>
        <v/>
      </c>
      <c r="I76" s="27" t="str">
        <f aca="false">IF(A76="","",A76&amp;"-"&amp;H76)</f>
        <v/>
      </c>
    </row>
    <row r="77" customFormat="false" ht="15" hidden="false" customHeight="false" outlineLevel="0" collapsed="false">
      <c r="A77" s="27" t="str">
        <f aca="false">IF('Registro de Comisión'!A77="","",'Registro de Comisión'!A77)</f>
        <v/>
      </c>
      <c r="B77" s="27" t="str">
        <f aca="false">IF(A77="","",TRIM(SUBSTITUTE(SUBSTITUTE(SUBSTITUTE(SUBSTITUTE(SUBSTITUTE(SUBSTITUTE(UPPER('Registro de Comisión'!B77),"Á","A"),"É","E"),"Í","I"),"Ó","O"),"Ú","U"),"Ü","U")))</f>
        <v/>
      </c>
      <c r="C77" s="27" t="str">
        <f aca="false">IF(A77="","",TRIM(SUBSTITUTE(SUBSTITUTE(SUBSTITUTE(SUBSTITUTE(SUBSTITUTE(SUBSTITUTE(UPPER('Registro de Comisión'!I77),"Á","A"),"É","E"),"Í","I"),"Ó","O"),"Ú","U"),"Ü","U")))</f>
        <v/>
      </c>
      <c r="D77" s="28" t="str">
        <f aca="false">IF(A77="","",'Registro de Comisión'!J77)</f>
        <v/>
      </c>
      <c r="E77" s="28" t="str">
        <f aca="false">IF(A77="","",'Registro de Comisión'!K77)</f>
        <v/>
      </c>
      <c r="F77" s="29" t="str">
        <f aca="false">IF(A77="","",E77-D77+1)</f>
        <v/>
      </c>
      <c r="G77" s="27" t="str">
        <f aca="false">IF(A77="","",COUNTIFS($A$5:A77,A77))</f>
        <v/>
      </c>
      <c r="H77" s="27" t="str">
        <f aca="false">IF(A77="","",IF(E77=_xlfn.MAXIFS($E$5:$E$304,$A$5:$A$304,A77),1,0))</f>
        <v/>
      </c>
      <c r="I77" s="27" t="str">
        <f aca="false">IF(A77="","",A77&amp;"-"&amp;H77)</f>
        <v/>
      </c>
    </row>
    <row r="78" customFormat="false" ht="15" hidden="false" customHeight="false" outlineLevel="0" collapsed="false">
      <c r="A78" s="27" t="str">
        <f aca="false">IF('Registro de Comisión'!A78="","",'Registro de Comisión'!A78)</f>
        <v/>
      </c>
      <c r="B78" s="27" t="str">
        <f aca="false">IF(A78="","",TRIM(SUBSTITUTE(SUBSTITUTE(SUBSTITUTE(SUBSTITUTE(SUBSTITUTE(SUBSTITUTE(UPPER('Registro de Comisión'!B78),"Á","A"),"É","E"),"Í","I"),"Ó","O"),"Ú","U"),"Ü","U")))</f>
        <v/>
      </c>
      <c r="C78" s="27" t="str">
        <f aca="false">IF(A78="","",TRIM(SUBSTITUTE(SUBSTITUTE(SUBSTITUTE(SUBSTITUTE(SUBSTITUTE(SUBSTITUTE(UPPER('Registro de Comisión'!I78),"Á","A"),"É","E"),"Í","I"),"Ó","O"),"Ú","U"),"Ü","U")))</f>
        <v/>
      </c>
      <c r="D78" s="28" t="str">
        <f aca="false">IF(A78="","",'Registro de Comisión'!J78)</f>
        <v/>
      </c>
      <c r="E78" s="28" t="str">
        <f aca="false">IF(A78="","",'Registro de Comisión'!K78)</f>
        <v/>
      </c>
      <c r="F78" s="29" t="str">
        <f aca="false">IF(A78="","",E78-D78+1)</f>
        <v/>
      </c>
      <c r="G78" s="27" t="str">
        <f aca="false">IF(A78="","",COUNTIFS($A$5:A78,A78))</f>
        <v/>
      </c>
      <c r="H78" s="27" t="str">
        <f aca="false">IF(A78="","",IF(E78=_xlfn.MAXIFS($E$5:$E$304,$A$5:$A$304,A78),1,0))</f>
        <v/>
      </c>
      <c r="I78" s="27" t="str">
        <f aca="false">IF(A78="","",A78&amp;"-"&amp;H78)</f>
        <v/>
      </c>
    </row>
    <row r="79" customFormat="false" ht="15" hidden="false" customHeight="false" outlineLevel="0" collapsed="false">
      <c r="A79" s="27" t="str">
        <f aca="false">IF('Registro de Comisión'!A79="","",'Registro de Comisión'!A79)</f>
        <v/>
      </c>
      <c r="B79" s="27" t="str">
        <f aca="false">IF(A79="","",TRIM(SUBSTITUTE(SUBSTITUTE(SUBSTITUTE(SUBSTITUTE(SUBSTITUTE(SUBSTITUTE(UPPER('Registro de Comisión'!B79),"Á","A"),"É","E"),"Í","I"),"Ó","O"),"Ú","U"),"Ü","U")))</f>
        <v/>
      </c>
      <c r="C79" s="27" t="str">
        <f aca="false">IF(A79="","",TRIM(SUBSTITUTE(SUBSTITUTE(SUBSTITUTE(SUBSTITUTE(SUBSTITUTE(SUBSTITUTE(UPPER('Registro de Comisión'!I79),"Á","A"),"É","E"),"Í","I"),"Ó","O"),"Ú","U"),"Ü","U")))</f>
        <v/>
      </c>
      <c r="D79" s="28" t="str">
        <f aca="false">IF(A79="","",'Registro de Comisión'!J79)</f>
        <v/>
      </c>
      <c r="E79" s="28" t="str">
        <f aca="false">IF(A79="","",'Registro de Comisión'!K79)</f>
        <v/>
      </c>
      <c r="F79" s="29" t="str">
        <f aca="false">IF(A79="","",E79-D79+1)</f>
        <v/>
      </c>
      <c r="G79" s="27" t="str">
        <f aca="false">IF(A79="","",COUNTIFS($A$5:A79,A79))</f>
        <v/>
      </c>
      <c r="H79" s="27" t="str">
        <f aca="false">IF(A79="","",IF(E79=_xlfn.MAXIFS($E$5:$E$304,$A$5:$A$304,A79),1,0))</f>
        <v/>
      </c>
      <c r="I79" s="27" t="str">
        <f aca="false">IF(A79="","",A79&amp;"-"&amp;H79)</f>
        <v/>
      </c>
    </row>
    <row r="80" customFormat="false" ht="15" hidden="false" customHeight="false" outlineLevel="0" collapsed="false">
      <c r="A80" s="27" t="str">
        <f aca="false">IF('Registro de Comisión'!A80="","",'Registro de Comisión'!A80)</f>
        <v/>
      </c>
      <c r="B80" s="27" t="str">
        <f aca="false">IF(A80="","",TRIM(SUBSTITUTE(SUBSTITUTE(SUBSTITUTE(SUBSTITUTE(SUBSTITUTE(SUBSTITUTE(UPPER('Registro de Comisión'!B80),"Á","A"),"É","E"),"Í","I"),"Ó","O"),"Ú","U"),"Ü","U")))</f>
        <v/>
      </c>
      <c r="C80" s="27" t="str">
        <f aca="false">IF(A80="","",TRIM(SUBSTITUTE(SUBSTITUTE(SUBSTITUTE(SUBSTITUTE(SUBSTITUTE(SUBSTITUTE(UPPER('Registro de Comisión'!I80),"Á","A"),"É","E"),"Í","I"),"Ó","O"),"Ú","U"),"Ü","U")))</f>
        <v/>
      </c>
      <c r="D80" s="28" t="str">
        <f aca="false">IF(A80="","",'Registro de Comisión'!J80)</f>
        <v/>
      </c>
      <c r="E80" s="28" t="str">
        <f aca="false">IF(A80="","",'Registro de Comisión'!K80)</f>
        <v/>
      </c>
      <c r="F80" s="29" t="str">
        <f aca="false">IF(A80="","",E80-D80+1)</f>
        <v/>
      </c>
      <c r="G80" s="27" t="str">
        <f aca="false">IF(A80="","",COUNTIFS($A$5:A80,A80))</f>
        <v/>
      </c>
      <c r="H80" s="27" t="str">
        <f aca="false">IF(A80="","",IF(E80=_xlfn.MAXIFS($E$5:$E$304,$A$5:$A$304,A80),1,0))</f>
        <v/>
      </c>
      <c r="I80" s="27" t="str">
        <f aca="false">IF(A80="","",A80&amp;"-"&amp;H80)</f>
        <v/>
      </c>
    </row>
    <row r="81" customFormat="false" ht="15" hidden="false" customHeight="false" outlineLevel="0" collapsed="false">
      <c r="A81" s="27" t="str">
        <f aca="false">IF('Registro de Comisión'!A81="","",'Registro de Comisión'!A81)</f>
        <v/>
      </c>
      <c r="B81" s="27" t="str">
        <f aca="false">IF(A81="","",TRIM(SUBSTITUTE(SUBSTITUTE(SUBSTITUTE(SUBSTITUTE(SUBSTITUTE(SUBSTITUTE(UPPER('Registro de Comisión'!B81),"Á","A"),"É","E"),"Í","I"),"Ó","O"),"Ú","U"),"Ü","U")))</f>
        <v/>
      </c>
      <c r="C81" s="27" t="str">
        <f aca="false">IF(A81="","",TRIM(SUBSTITUTE(SUBSTITUTE(SUBSTITUTE(SUBSTITUTE(SUBSTITUTE(SUBSTITUTE(UPPER('Registro de Comisión'!I81),"Á","A"),"É","E"),"Í","I"),"Ó","O"),"Ú","U"),"Ü","U")))</f>
        <v/>
      </c>
      <c r="D81" s="28" t="str">
        <f aca="false">IF(A81="","",'Registro de Comisión'!J81)</f>
        <v/>
      </c>
      <c r="E81" s="28" t="str">
        <f aca="false">IF(A81="","",'Registro de Comisión'!K81)</f>
        <v/>
      </c>
      <c r="F81" s="29" t="str">
        <f aca="false">IF(A81="","",E81-D81+1)</f>
        <v/>
      </c>
      <c r="G81" s="27" t="str">
        <f aca="false">IF(A81="","",COUNTIFS($A$5:A81,A81))</f>
        <v/>
      </c>
      <c r="H81" s="27" t="str">
        <f aca="false">IF(A81="","",IF(E81=_xlfn.MAXIFS($E$5:$E$304,$A$5:$A$304,A81),1,0))</f>
        <v/>
      </c>
      <c r="I81" s="27" t="str">
        <f aca="false">IF(A81="","",A81&amp;"-"&amp;H81)</f>
        <v/>
      </c>
    </row>
    <row r="82" customFormat="false" ht="15" hidden="false" customHeight="false" outlineLevel="0" collapsed="false">
      <c r="A82" s="27" t="str">
        <f aca="false">IF('Registro de Comisión'!A82="","",'Registro de Comisión'!A82)</f>
        <v/>
      </c>
      <c r="B82" s="27" t="str">
        <f aca="false">IF(A82="","",TRIM(SUBSTITUTE(SUBSTITUTE(SUBSTITUTE(SUBSTITUTE(SUBSTITUTE(SUBSTITUTE(UPPER('Registro de Comisión'!B82),"Á","A"),"É","E"),"Í","I"),"Ó","O"),"Ú","U"),"Ü","U")))</f>
        <v/>
      </c>
      <c r="C82" s="27" t="str">
        <f aca="false">IF(A82="","",TRIM(SUBSTITUTE(SUBSTITUTE(SUBSTITUTE(SUBSTITUTE(SUBSTITUTE(SUBSTITUTE(UPPER('Registro de Comisión'!I82),"Á","A"),"É","E"),"Í","I"),"Ó","O"),"Ú","U"),"Ü","U")))</f>
        <v/>
      </c>
      <c r="D82" s="28" t="str">
        <f aca="false">IF(A82="","",'Registro de Comisión'!J82)</f>
        <v/>
      </c>
      <c r="E82" s="28" t="str">
        <f aca="false">IF(A82="","",'Registro de Comisión'!K82)</f>
        <v/>
      </c>
      <c r="F82" s="29" t="str">
        <f aca="false">IF(A82="","",E82-D82+1)</f>
        <v/>
      </c>
      <c r="G82" s="27" t="str">
        <f aca="false">IF(A82="","",COUNTIFS($A$5:A82,A82))</f>
        <v/>
      </c>
      <c r="H82" s="27" t="str">
        <f aca="false">IF(A82="","",IF(E82=_xlfn.MAXIFS($E$5:$E$304,$A$5:$A$304,A82),1,0))</f>
        <v/>
      </c>
      <c r="I82" s="27" t="str">
        <f aca="false">IF(A82="","",A82&amp;"-"&amp;H82)</f>
        <v/>
      </c>
    </row>
    <row r="83" customFormat="false" ht="15" hidden="false" customHeight="false" outlineLevel="0" collapsed="false">
      <c r="A83" s="27" t="str">
        <f aca="false">IF('Registro de Comisión'!A83="","",'Registro de Comisión'!A83)</f>
        <v/>
      </c>
      <c r="B83" s="27" t="str">
        <f aca="false">IF(A83="","",TRIM(SUBSTITUTE(SUBSTITUTE(SUBSTITUTE(SUBSTITUTE(SUBSTITUTE(SUBSTITUTE(UPPER('Registro de Comisión'!B83),"Á","A"),"É","E"),"Í","I"),"Ó","O"),"Ú","U"),"Ü","U")))</f>
        <v/>
      </c>
      <c r="C83" s="27" t="str">
        <f aca="false">IF(A83="","",TRIM(SUBSTITUTE(SUBSTITUTE(SUBSTITUTE(SUBSTITUTE(SUBSTITUTE(SUBSTITUTE(UPPER('Registro de Comisión'!I83),"Á","A"),"É","E"),"Í","I"),"Ó","O"),"Ú","U"),"Ü","U")))</f>
        <v/>
      </c>
      <c r="D83" s="28" t="str">
        <f aca="false">IF(A83="","",'Registro de Comisión'!J83)</f>
        <v/>
      </c>
      <c r="E83" s="28" t="str">
        <f aca="false">IF(A83="","",'Registro de Comisión'!K83)</f>
        <v/>
      </c>
      <c r="F83" s="29" t="str">
        <f aca="false">IF(A83="","",E83-D83+1)</f>
        <v/>
      </c>
      <c r="G83" s="27" t="str">
        <f aca="false">IF(A83="","",COUNTIFS($A$5:A83,A83))</f>
        <v/>
      </c>
      <c r="H83" s="27" t="str">
        <f aca="false">IF(A83="","",IF(E83=_xlfn.MAXIFS($E$5:$E$304,$A$5:$A$304,A83),1,0))</f>
        <v/>
      </c>
      <c r="I83" s="27" t="str">
        <f aca="false">IF(A83="","",A83&amp;"-"&amp;H83)</f>
        <v/>
      </c>
    </row>
    <row r="84" customFormat="false" ht="15" hidden="false" customHeight="false" outlineLevel="0" collapsed="false">
      <c r="A84" s="27" t="str">
        <f aca="false">IF('Registro de Comisión'!A84="","",'Registro de Comisión'!A84)</f>
        <v/>
      </c>
      <c r="B84" s="27" t="str">
        <f aca="false">IF(A84="","",TRIM(SUBSTITUTE(SUBSTITUTE(SUBSTITUTE(SUBSTITUTE(SUBSTITUTE(SUBSTITUTE(UPPER('Registro de Comisión'!B84),"Á","A"),"É","E"),"Í","I"),"Ó","O"),"Ú","U"),"Ü","U")))</f>
        <v/>
      </c>
      <c r="C84" s="27" t="str">
        <f aca="false">IF(A84="","",TRIM(SUBSTITUTE(SUBSTITUTE(SUBSTITUTE(SUBSTITUTE(SUBSTITUTE(SUBSTITUTE(UPPER('Registro de Comisión'!I84),"Á","A"),"É","E"),"Í","I"),"Ó","O"),"Ú","U"),"Ü","U")))</f>
        <v/>
      </c>
      <c r="D84" s="28" t="str">
        <f aca="false">IF(A84="","",'Registro de Comisión'!J84)</f>
        <v/>
      </c>
      <c r="E84" s="28" t="str">
        <f aca="false">IF(A84="","",'Registro de Comisión'!K84)</f>
        <v/>
      </c>
      <c r="F84" s="29" t="str">
        <f aca="false">IF(A84="","",E84-D84+1)</f>
        <v/>
      </c>
      <c r="G84" s="27" t="str">
        <f aca="false">IF(A84="","",COUNTIFS($A$5:A84,A84))</f>
        <v/>
      </c>
      <c r="H84" s="27" t="str">
        <f aca="false">IF(A84="","",IF(E84=_xlfn.MAXIFS($E$5:$E$304,$A$5:$A$304,A84),1,0))</f>
        <v/>
      </c>
      <c r="I84" s="27" t="str">
        <f aca="false">IF(A84="","",A84&amp;"-"&amp;H84)</f>
        <v/>
      </c>
    </row>
    <row r="85" customFormat="false" ht="15" hidden="false" customHeight="false" outlineLevel="0" collapsed="false">
      <c r="A85" s="27" t="str">
        <f aca="false">IF('Registro de Comisión'!A85="","",'Registro de Comisión'!A85)</f>
        <v/>
      </c>
      <c r="B85" s="27" t="str">
        <f aca="false">IF(A85="","",TRIM(SUBSTITUTE(SUBSTITUTE(SUBSTITUTE(SUBSTITUTE(SUBSTITUTE(SUBSTITUTE(UPPER('Registro de Comisión'!B85),"Á","A"),"É","E"),"Í","I"),"Ó","O"),"Ú","U"),"Ü","U")))</f>
        <v/>
      </c>
      <c r="C85" s="27" t="str">
        <f aca="false">IF(A85="","",TRIM(SUBSTITUTE(SUBSTITUTE(SUBSTITUTE(SUBSTITUTE(SUBSTITUTE(SUBSTITUTE(UPPER('Registro de Comisión'!I85),"Á","A"),"É","E"),"Í","I"),"Ó","O"),"Ú","U"),"Ü","U")))</f>
        <v/>
      </c>
      <c r="D85" s="28" t="str">
        <f aca="false">IF(A85="","",'Registro de Comisión'!J85)</f>
        <v/>
      </c>
      <c r="E85" s="28" t="str">
        <f aca="false">IF(A85="","",'Registro de Comisión'!K85)</f>
        <v/>
      </c>
      <c r="F85" s="29" t="str">
        <f aca="false">IF(A85="","",E85-D85+1)</f>
        <v/>
      </c>
      <c r="G85" s="27" t="str">
        <f aca="false">IF(A85="","",COUNTIFS($A$5:A85,A85))</f>
        <v/>
      </c>
      <c r="H85" s="27" t="str">
        <f aca="false">IF(A85="","",IF(E85=_xlfn.MAXIFS($E$5:$E$304,$A$5:$A$304,A85),1,0))</f>
        <v/>
      </c>
      <c r="I85" s="27" t="str">
        <f aca="false">IF(A85="","",A85&amp;"-"&amp;H85)</f>
        <v/>
      </c>
    </row>
    <row r="86" customFormat="false" ht="15" hidden="false" customHeight="false" outlineLevel="0" collapsed="false">
      <c r="A86" s="27" t="str">
        <f aca="false">IF('Registro de Comisión'!A86="","",'Registro de Comisión'!A86)</f>
        <v/>
      </c>
      <c r="B86" s="27" t="str">
        <f aca="false">IF(A86="","",TRIM(SUBSTITUTE(SUBSTITUTE(SUBSTITUTE(SUBSTITUTE(SUBSTITUTE(SUBSTITUTE(UPPER('Registro de Comisión'!B86),"Á","A"),"É","E"),"Í","I"),"Ó","O"),"Ú","U"),"Ü","U")))</f>
        <v/>
      </c>
      <c r="C86" s="27" t="str">
        <f aca="false">IF(A86="","",TRIM(SUBSTITUTE(SUBSTITUTE(SUBSTITUTE(SUBSTITUTE(SUBSTITUTE(SUBSTITUTE(UPPER('Registro de Comisión'!I86),"Á","A"),"É","E"),"Í","I"),"Ó","O"),"Ú","U"),"Ü","U")))</f>
        <v/>
      </c>
      <c r="D86" s="28" t="str">
        <f aca="false">IF(A86="","",'Registro de Comisión'!J86)</f>
        <v/>
      </c>
      <c r="E86" s="28" t="str">
        <f aca="false">IF(A86="","",'Registro de Comisión'!K86)</f>
        <v/>
      </c>
      <c r="F86" s="29" t="str">
        <f aca="false">IF(A86="","",E86-D86+1)</f>
        <v/>
      </c>
      <c r="G86" s="27" t="str">
        <f aca="false">IF(A86="","",COUNTIFS($A$5:A86,A86))</f>
        <v/>
      </c>
      <c r="H86" s="27" t="str">
        <f aca="false">IF(A86="","",IF(E86=_xlfn.MAXIFS($E$5:$E$304,$A$5:$A$304,A86),1,0))</f>
        <v/>
      </c>
      <c r="I86" s="27" t="str">
        <f aca="false">IF(A86="","",A86&amp;"-"&amp;H86)</f>
        <v/>
      </c>
    </row>
    <row r="87" customFormat="false" ht="15" hidden="false" customHeight="false" outlineLevel="0" collapsed="false">
      <c r="A87" s="27" t="str">
        <f aca="false">IF('Registro de Comisión'!A87="","",'Registro de Comisión'!A87)</f>
        <v/>
      </c>
      <c r="B87" s="27" t="str">
        <f aca="false">IF(A87="","",TRIM(SUBSTITUTE(SUBSTITUTE(SUBSTITUTE(SUBSTITUTE(SUBSTITUTE(SUBSTITUTE(UPPER('Registro de Comisión'!B87),"Á","A"),"É","E"),"Í","I"),"Ó","O"),"Ú","U"),"Ü","U")))</f>
        <v/>
      </c>
      <c r="C87" s="27" t="str">
        <f aca="false">IF(A87="","",TRIM(SUBSTITUTE(SUBSTITUTE(SUBSTITUTE(SUBSTITUTE(SUBSTITUTE(SUBSTITUTE(UPPER('Registro de Comisión'!I87),"Á","A"),"É","E"),"Í","I"),"Ó","O"),"Ú","U"),"Ü","U")))</f>
        <v/>
      </c>
      <c r="D87" s="28" t="str">
        <f aca="false">IF(A87="","",'Registro de Comisión'!J87)</f>
        <v/>
      </c>
      <c r="E87" s="28" t="str">
        <f aca="false">IF(A87="","",'Registro de Comisión'!K87)</f>
        <v/>
      </c>
      <c r="F87" s="29" t="str">
        <f aca="false">IF(A87="","",E87-D87+1)</f>
        <v/>
      </c>
      <c r="G87" s="27" t="str">
        <f aca="false">IF(A87="","",COUNTIFS($A$5:A87,A87))</f>
        <v/>
      </c>
      <c r="H87" s="27" t="str">
        <f aca="false">IF(A87="","",IF(E87=_xlfn.MAXIFS($E$5:$E$304,$A$5:$A$304,A87),1,0))</f>
        <v/>
      </c>
      <c r="I87" s="27" t="str">
        <f aca="false">IF(A87="","",A87&amp;"-"&amp;H87)</f>
        <v/>
      </c>
    </row>
    <row r="88" customFormat="false" ht="15" hidden="false" customHeight="false" outlineLevel="0" collapsed="false">
      <c r="A88" s="27" t="str">
        <f aca="false">IF('Registro de Comisión'!A88="","",'Registro de Comisión'!A88)</f>
        <v/>
      </c>
      <c r="B88" s="27" t="str">
        <f aca="false">IF(A88="","",TRIM(SUBSTITUTE(SUBSTITUTE(SUBSTITUTE(SUBSTITUTE(SUBSTITUTE(SUBSTITUTE(UPPER('Registro de Comisión'!B88),"Á","A"),"É","E"),"Í","I"),"Ó","O"),"Ú","U"),"Ü","U")))</f>
        <v/>
      </c>
      <c r="C88" s="27" t="str">
        <f aca="false">IF(A88="","",TRIM(SUBSTITUTE(SUBSTITUTE(SUBSTITUTE(SUBSTITUTE(SUBSTITUTE(SUBSTITUTE(UPPER('Registro de Comisión'!I88),"Á","A"),"É","E"),"Í","I"),"Ó","O"),"Ú","U"),"Ü","U")))</f>
        <v/>
      </c>
      <c r="D88" s="28" t="str">
        <f aca="false">IF(A88="","",'Registro de Comisión'!J88)</f>
        <v/>
      </c>
      <c r="E88" s="28" t="str">
        <f aca="false">IF(A88="","",'Registro de Comisión'!K88)</f>
        <v/>
      </c>
      <c r="F88" s="29" t="str">
        <f aca="false">IF(A88="","",E88-D88+1)</f>
        <v/>
      </c>
      <c r="G88" s="27" t="str">
        <f aca="false">IF(A88="","",COUNTIFS($A$5:A88,A88))</f>
        <v/>
      </c>
      <c r="H88" s="27" t="str">
        <f aca="false">IF(A88="","",IF(E88=_xlfn.MAXIFS($E$5:$E$304,$A$5:$A$304,A88),1,0))</f>
        <v/>
      </c>
      <c r="I88" s="27" t="str">
        <f aca="false">IF(A88="","",A88&amp;"-"&amp;H88)</f>
        <v/>
      </c>
    </row>
    <row r="89" customFormat="false" ht="15" hidden="false" customHeight="false" outlineLevel="0" collapsed="false">
      <c r="A89" s="27" t="str">
        <f aca="false">IF('Registro de Comisión'!A89="","",'Registro de Comisión'!A89)</f>
        <v/>
      </c>
      <c r="B89" s="27" t="str">
        <f aca="false">IF(A89="","",TRIM(SUBSTITUTE(SUBSTITUTE(SUBSTITUTE(SUBSTITUTE(SUBSTITUTE(SUBSTITUTE(UPPER('Registro de Comisión'!B89),"Á","A"),"É","E"),"Í","I"),"Ó","O"),"Ú","U"),"Ü","U")))</f>
        <v/>
      </c>
      <c r="C89" s="27" t="str">
        <f aca="false">IF(A89="","",TRIM(SUBSTITUTE(SUBSTITUTE(SUBSTITUTE(SUBSTITUTE(SUBSTITUTE(SUBSTITUTE(UPPER('Registro de Comisión'!I89),"Á","A"),"É","E"),"Í","I"),"Ó","O"),"Ú","U"),"Ü","U")))</f>
        <v/>
      </c>
      <c r="D89" s="28" t="str">
        <f aca="false">IF(A89="","",'Registro de Comisión'!J89)</f>
        <v/>
      </c>
      <c r="E89" s="28" t="str">
        <f aca="false">IF(A89="","",'Registro de Comisión'!K89)</f>
        <v/>
      </c>
      <c r="F89" s="29" t="str">
        <f aca="false">IF(A89="","",E89-D89+1)</f>
        <v/>
      </c>
      <c r="G89" s="27" t="str">
        <f aca="false">IF(A89="","",COUNTIFS($A$5:A89,A89))</f>
        <v/>
      </c>
      <c r="H89" s="27" t="str">
        <f aca="false">IF(A89="","",IF(E89=_xlfn.MAXIFS($E$5:$E$304,$A$5:$A$304,A89),1,0))</f>
        <v/>
      </c>
      <c r="I89" s="27" t="str">
        <f aca="false">IF(A89="","",A89&amp;"-"&amp;H89)</f>
        <v/>
      </c>
    </row>
    <row r="90" customFormat="false" ht="15" hidden="false" customHeight="false" outlineLevel="0" collapsed="false">
      <c r="A90" s="27" t="str">
        <f aca="false">IF('Registro de Comisión'!A90="","",'Registro de Comisión'!A90)</f>
        <v/>
      </c>
      <c r="B90" s="27" t="str">
        <f aca="false">IF(A90="","",TRIM(SUBSTITUTE(SUBSTITUTE(SUBSTITUTE(SUBSTITUTE(SUBSTITUTE(SUBSTITUTE(UPPER('Registro de Comisión'!B90),"Á","A"),"É","E"),"Í","I"),"Ó","O"),"Ú","U"),"Ü","U")))</f>
        <v/>
      </c>
      <c r="C90" s="27" t="str">
        <f aca="false">IF(A90="","",TRIM(SUBSTITUTE(SUBSTITUTE(SUBSTITUTE(SUBSTITUTE(SUBSTITUTE(SUBSTITUTE(UPPER('Registro de Comisión'!I90),"Á","A"),"É","E"),"Í","I"),"Ó","O"),"Ú","U"),"Ü","U")))</f>
        <v/>
      </c>
      <c r="D90" s="28" t="str">
        <f aca="false">IF(A90="","",'Registro de Comisión'!J90)</f>
        <v/>
      </c>
      <c r="E90" s="28" t="str">
        <f aca="false">IF(A90="","",'Registro de Comisión'!K90)</f>
        <v/>
      </c>
      <c r="F90" s="29" t="str">
        <f aca="false">IF(A90="","",E90-D90+1)</f>
        <v/>
      </c>
      <c r="G90" s="27" t="str">
        <f aca="false">IF(A90="","",COUNTIFS($A$5:A90,A90))</f>
        <v/>
      </c>
      <c r="H90" s="27" t="str">
        <f aca="false">IF(A90="","",IF(E90=_xlfn.MAXIFS($E$5:$E$304,$A$5:$A$304,A90),1,0))</f>
        <v/>
      </c>
      <c r="I90" s="27" t="str">
        <f aca="false">IF(A90="","",A90&amp;"-"&amp;H90)</f>
        <v/>
      </c>
    </row>
    <row r="91" customFormat="false" ht="15" hidden="false" customHeight="false" outlineLevel="0" collapsed="false">
      <c r="A91" s="27" t="str">
        <f aca="false">IF('Registro de Comisión'!A91="","",'Registro de Comisión'!A91)</f>
        <v/>
      </c>
      <c r="B91" s="27" t="str">
        <f aca="false">IF(A91="","",TRIM(SUBSTITUTE(SUBSTITUTE(SUBSTITUTE(SUBSTITUTE(SUBSTITUTE(SUBSTITUTE(UPPER('Registro de Comisión'!B91),"Á","A"),"É","E"),"Í","I"),"Ó","O"),"Ú","U"),"Ü","U")))</f>
        <v/>
      </c>
      <c r="C91" s="27" t="str">
        <f aca="false">IF(A91="","",TRIM(SUBSTITUTE(SUBSTITUTE(SUBSTITUTE(SUBSTITUTE(SUBSTITUTE(SUBSTITUTE(UPPER('Registro de Comisión'!I91),"Á","A"),"É","E"),"Í","I"),"Ó","O"),"Ú","U"),"Ü","U")))</f>
        <v/>
      </c>
      <c r="D91" s="28" t="str">
        <f aca="false">IF(A91="","",'Registro de Comisión'!J91)</f>
        <v/>
      </c>
      <c r="E91" s="28" t="str">
        <f aca="false">IF(A91="","",'Registro de Comisión'!K91)</f>
        <v/>
      </c>
      <c r="F91" s="29" t="str">
        <f aca="false">IF(A91="","",E91-D91+1)</f>
        <v/>
      </c>
      <c r="G91" s="27" t="str">
        <f aca="false">IF(A91="","",COUNTIFS($A$5:A91,A91))</f>
        <v/>
      </c>
      <c r="H91" s="27" t="str">
        <f aca="false">IF(A91="","",IF(E91=_xlfn.MAXIFS($E$5:$E$304,$A$5:$A$304,A91),1,0))</f>
        <v/>
      </c>
      <c r="I91" s="27" t="str">
        <f aca="false">IF(A91="","",A91&amp;"-"&amp;H91)</f>
        <v/>
      </c>
    </row>
    <row r="92" customFormat="false" ht="15" hidden="false" customHeight="false" outlineLevel="0" collapsed="false">
      <c r="A92" s="27" t="str">
        <f aca="false">IF('Registro de Comisión'!A92="","",'Registro de Comisión'!A92)</f>
        <v/>
      </c>
      <c r="B92" s="27" t="str">
        <f aca="false">IF(A92="","",TRIM(SUBSTITUTE(SUBSTITUTE(SUBSTITUTE(SUBSTITUTE(SUBSTITUTE(SUBSTITUTE(UPPER('Registro de Comisión'!B92),"Á","A"),"É","E"),"Í","I"),"Ó","O"),"Ú","U"),"Ü","U")))</f>
        <v/>
      </c>
      <c r="C92" s="27" t="str">
        <f aca="false">IF(A92="","",TRIM(SUBSTITUTE(SUBSTITUTE(SUBSTITUTE(SUBSTITUTE(SUBSTITUTE(SUBSTITUTE(UPPER('Registro de Comisión'!I92),"Á","A"),"É","E"),"Í","I"),"Ó","O"),"Ú","U"),"Ü","U")))</f>
        <v/>
      </c>
      <c r="D92" s="28" t="str">
        <f aca="false">IF(A92="","",'Registro de Comisión'!J92)</f>
        <v/>
      </c>
      <c r="E92" s="28" t="str">
        <f aca="false">IF(A92="","",'Registro de Comisión'!K92)</f>
        <v/>
      </c>
      <c r="F92" s="29" t="str">
        <f aca="false">IF(A92="","",E92-D92+1)</f>
        <v/>
      </c>
      <c r="G92" s="27" t="str">
        <f aca="false">IF(A92="","",COUNTIFS($A$5:A92,A92))</f>
        <v/>
      </c>
      <c r="H92" s="27" t="str">
        <f aca="false">IF(A92="","",IF(E92=_xlfn.MAXIFS($E$5:$E$304,$A$5:$A$304,A92),1,0))</f>
        <v/>
      </c>
      <c r="I92" s="27" t="str">
        <f aca="false">IF(A92="","",A92&amp;"-"&amp;H92)</f>
        <v/>
      </c>
    </row>
    <row r="93" customFormat="false" ht="15" hidden="false" customHeight="false" outlineLevel="0" collapsed="false">
      <c r="A93" s="27" t="str">
        <f aca="false">IF('Registro de Comisión'!A93="","",'Registro de Comisión'!A93)</f>
        <v/>
      </c>
      <c r="B93" s="27" t="str">
        <f aca="false">IF(A93="","",TRIM(SUBSTITUTE(SUBSTITUTE(SUBSTITUTE(SUBSTITUTE(SUBSTITUTE(SUBSTITUTE(UPPER('Registro de Comisión'!B93),"Á","A"),"É","E"),"Í","I"),"Ó","O"),"Ú","U"),"Ü","U")))</f>
        <v/>
      </c>
      <c r="C93" s="27" t="str">
        <f aca="false">IF(A93="","",TRIM(SUBSTITUTE(SUBSTITUTE(SUBSTITUTE(SUBSTITUTE(SUBSTITUTE(SUBSTITUTE(UPPER('Registro de Comisión'!I93),"Á","A"),"É","E"),"Í","I"),"Ó","O"),"Ú","U"),"Ü","U")))</f>
        <v/>
      </c>
      <c r="D93" s="28" t="str">
        <f aca="false">IF(A93="","",'Registro de Comisión'!J93)</f>
        <v/>
      </c>
      <c r="E93" s="28" t="str">
        <f aca="false">IF(A93="","",'Registro de Comisión'!K93)</f>
        <v/>
      </c>
      <c r="F93" s="29" t="str">
        <f aca="false">IF(A93="","",E93-D93+1)</f>
        <v/>
      </c>
      <c r="G93" s="27" t="str">
        <f aca="false">IF(A93="","",COUNTIFS($A$5:A93,A93))</f>
        <v/>
      </c>
      <c r="H93" s="27" t="str">
        <f aca="false">IF(A93="","",IF(E93=_xlfn.MAXIFS($E$5:$E$304,$A$5:$A$304,A93),1,0))</f>
        <v/>
      </c>
      <c r="I93" s="27" t="str">
        <f aca="false">IF(A93="","",A93&amp;"-"&amp;H93)</f>
        <v/>
      </c>
    </row>
    <row r="94" customFormat="false" ht="15" hidden="false" customHeight="false" outlineLevel="0" collapsed="false">
      <c r="A94" s="27" t="str">
        <f aca="false">IF('Registro de Comisión'!A94="","",'Registro de Comisión'!A94)</f>
        <v/>
      </c>
      <c r="B94" s="27" t="str">
        <f aca="false">IF(A94="","",TRIM(SUBSTITUTE(SUBSTITUTE(SUBSTITUTE(SUBSTITUTE(SUBSTITUTE(SUBSTITUTE(UPPER('Registro de Comisión'!B94),"Á","A"),"É","E"),"Í","I"),"Ó","O"),"Ú","U"),"Ü","U")))</f>
        <v/>
      </c>
      <c r="C94" s="27" t="str">
        <f aca="false">IF(A94="","",TRIM(SUBSTITUTE(SUBSTITUTE(SUBSTITUTE(SUBSTITUTE(SUBSTITUTE(SUBSTITUTE(UPPER('Registro de Comisión'!I94),"Á","A"),"É","E"),"Í","I"),"Ó","O"),"Ú","U"),"Ü","U")))</f>
        <v/>
      </c>
      <c r="D94" s="28" t="str">
        <f aca="false">IF(A94="","",'Registro de Comisión'!J94)</f>
        <v/>
      </c>
      <c r="E94" s="28" t="str">
        <f aca="false">IF(A94="","",'Registro de Comisión'!K94)</f>
        <v/>
      </c>
      <c r="F94" s="29" t="str">
        <f aca="false">IF(A94="","",E94-D94+1)</f>
        <v/>
      </c>
      <c r="G94" s="27" t="str">
        <f aca="false">IF(A94="","",COUNTIFS($A$5:A94,A94))</f>
        <v/>
      </c>
      <c r="H94" s="27" t="str">
        <f aca="false">IF(A94="","",IF(E94=_xlfn.MAXIFS($E$5:$E$304,$A$5:$A$304,A94),1,0))</f>
        <v/>
      </c>
      <c r="I94" s="27" t="str">
        <f aca="false">IF(A94="","",A94&amp;"-"&amp;H94)</f>
        <v/>
      </c>
    </row>
    <row r="95" customFormat="false" ht="15" hidden="false" customHeight="false" outlineLevel="0" collapsed="false">
      <c r="A95" s="27" t="str">
        <f aca="false">IF('Registro de Comisión'!A95="","",'Registro de Comisión'!A95)</f>
        <v/>
      </c>
      <c r="B95" s="27" t="str">
        <f aca="false">IF(A95="","",TRIM(SUBSTITUTE(SUBSTITUTE(SUBSTITUTE(SUBSTITUTE(SUBSTITUTE(SUBSTITUTE(UPPER('Registro de Comisión'!B95),"Á","A"),"É","E"),"Í","I"),"Ó","O"),"Ú","U"),"Ü","U")))</f>
        <v/>
      </c>
      <c r="C95" s="27" t="str">
        <f aca="false">IF(A95="","",TRIM(SUBSTITUTE(SUBSTITUTE(SUBSTITUTE(SUBSTITUTE(SUBSTITUTE(SUBSTITUTE(UPPER('Registro de Comisión'!I95),"Á","A"),"É","E"),"Í","I"),"Ó","O"),"Ú","U"),"Ü","U")))</f>
        <v/>
      </c>
      <c r="D95" s="28" t="str">
        <f aca="false">IF(A95="","",'Registro de Comisión'!J95)</f>
        <v/>
      </c>
      <c r="E95" s="28" t="str">
        <f aca="false">IF(A95="","",'Registro de Comisión'!K95)</f>
        <v/>
      </c>
      <c r="F95" s="29" t="str">
        <f aca="false">IF(A95="","",E95-D95+1)</f>
        <v/>
      </c>
      <c r="G95" s="27" t="str">
        <f aca="false">IF(A95="","",COUNTIFS($A$5:A95,A95))</f>
        <v/>
      </c>
      <c r="H95" s="27" t="str">
        <f aca="false">IF(A95="","",IF(E95=_xlfn.MAXIFS($E$5:$E$304,$A$5:$A$304,A95),1,0))</f>
        <v/>
      </c>
      <c r="I95" s="27" t="str">
        <f aca="false">IF(A95="","",A95&amp;"-"&amp;H95)</f>
        <v/>
      </c>
    </row>
    <row r="96" customFormat="false" ht="15" hidden="false" customHeight="false" outlineLevel="0" collapsed="false">
      <c r="A96" s="27" t="str">
        <f aca="false">IF('Registro de Comisión'!A96="","",'Registro de Comisión'!A96)</f>
        <v/>
      </c>
      <c r="B96" s="27" t="str">
        <f aca="false">IF(A96="","",TRIM(SUBSTITUTE(SUBSTITUTE(SUBSTITUTE(SUBSTITUTE(SUBSTITUTE(SUBSTITUTE(UPPER('Registro de Comisión'!B96),"Á","A"),"É","E"),"Í","I"),"Ó","O"),"Ú","U"),"Ü","U")))</f>
        <v/>
      </c>
      <c r="C96" s="27" t="str">
        <f aca="false">IF(A96="","",TRIM(SUBSTITUTE(SUBSTITUTE(SUBSTITUTE(SUBSTITUTE(SUBSTITUTE(SUBSTITUTE(UPPER('Registro de Comisión'!I96),"Á","A"),"É","E"),"Í","I"),"Ó","O"),"Ú","U"),"Ü","U")))</f>
        <v/>
      </c>
      <c r="D96" s="28" t="str">
        <f aca="false">IF(A96="","",'Registro de Comisión'!J96)</f>
        <v/>
      </c>
      <c r="E96" s="28" t="str">
        <f aca="false">IF(A96="","",'Registro de Comisión'!K96)</f>
        <v/>
      </c>
      <c r="F96" s="29" t="str">
        <f aca="false">IF(A96="","",E96-D96+1)</f>
        <v/>
      </c>
      <c r="G96" s="27" t="str">
        <f aca="false">IF(A96="","",COUNTIFS($A$5:A96,A96))</f>
        <v/>
      </c>
      <c r="H96" s="27" t="str">
        <f aca="false">IF(A96="","",IF(E96=_xlfn.MAXIFS($E$5:$E$304,$A$5:$A$304,A96),1,0))</f>
        <v/>
      </c>
      <c r="I96" s="27" t="str">
        <f aca="false">IF(A96="","",A96&amp;"-"&amp;H96)</f>
        <v/>
      </c>
    </row>
    <row r="97" customFormat="false" ht="15" hidden="false" customHeight="false" outlineLevel="0" collapsed="false">
      <c r="A97" s="27" t="str">
        <f aca="false">IF('Registro de Comisión'!A97="","",'Registro de Comisión'!A97)</f>
        <v/>
      </c>
      <c r="B97" s="27" t="str">
        <f aca="false">IF(A97="","",TRIM(SUBSTITUTE(SUBSTITUTE(SUBSTITUTE(SUBSTITUTE(SUBSTITUTE(SUBSTITUTE(UPPER('Registro de Comisión'!B97),"Á","A"),"É","E"),"Í","I"),"Ó","O"),"Ú","U"),"Ü","U")))</f>
        <v/>
      </c>
      <c r="C97" s="27" t="str">
        <f aca="false">IF(A97="","",TRIM(SUBSTITUTE(SUBSTITUTE(SUBSTITUTE(SUBSTITUTE(SUBSTITUTE(SUBSTITUTE(UPPER('Registro de Comisión'!I97),"Á","A"),"É","E"),"Í","I"),"Ó","O"),"Ú","U"),"Ü","U")))</f>
        <v/>
      </c>
      <c r="D97" s="28" t="str">
        <f aca="false">IF(A97="","",'Registro de Comisión'!J97)</f>
        <v/>
      </c>
      <c r="E97" s="28" t="str">
        <f aca="false">IF(A97="","",'Registro de Comisión'!K97)</f>
        <v/>
      </c>
      <c r="F97" s="29" t="str">
        <f aca="false">IF(A97="","",E97-D97+1)</f>
        <v/>
      </c>
      <c r="G97" s="27" t="str">
        <f aca="false">IF(A97="","",COUNTIFS($A$5:A97,A97))</f>
        <v/>
      </c>
      <c r="H97" s="27" t="str">
        <f aca="false">IF(A97="","",IF(E97=_xlfn.MAXIFS($E$5:$E$304,$A$5:$A$304,A97),1,0))</f>
        <v/>
      </c>
      <c r="I97" s="27" t="str">
        <f aca="false">IF(A97="","",A97&amp;"-"&amp;H97)</f>
        <v/>
      </c>
    </row>
    <row r="98" customFormat="false" ht="15" hidden="false" customHeight="false" outlineLevel="0" collapsed="false">
      <c r="A98" s="27" t="str">
        <f aca="false">IF('Registro de Comisión'!A98="","",'Registro de Comisión'!A98)</f>
        <v/>
      </c>
      <c r="B98" s="27" t="str">
        <f aca="false">IF(A98="","",TRIM(SUBSTITUTE(SUBSTITUTE(SUBSTITUTE(SUBSTITUTE(SUBSTITUTE(SUBSTITUTE(UPPER('Registro de Comisión'!B98),"Á","A"),"É","E"),"Í","I"),"Ó","O"),"Ú","U"),"Ü","U")))</f>
        <v/>
      </c>
      <c r="C98" s="27" t="str">
        <f aca="false">IF(A98="","",TRIM(SUBSTITUTE(SUBSTITUTE(SUBSTITUTE(SUBSTITUTE(SUBSTITUTE(SUBSTITUTE(UPPER('Registro de Comisión'!I98),"Á","A"),"É","E"),"Í","I"),"Ó","O"),"Ú","U"),"Ü","U")))</f>
        <v/>
      </c>
      <c r="D98" s="28" t="str">
        <f aca="false">IF(A98="","",'Registro de Comisión'!J98)</f>
        <v/>
      </c>
      <c r="E98" s="28" t="str">
        <f aca="false">IF(A98="","",'Registro de Comisión'!K98)</f>
        <v/>
      </c>
      <c r="F98" s="29" t="str">
        <f aca="false">IF(A98="","",E98-D98+1)</f>
        <v/>
      </c>
      <c r="G98" s="27" t="str">
        <f aca="false">IF(A98="","",COUNTIFS($A$5:A98,A98))</f>
        <v/>
      </c>
      <c r="H98" s="27" t="str">
        <f aca="false">IF(A98="","",IF(E98=_xlfn.MAXIFS($E$5:$E$304,$A$5:$A$304,A98),1,0))</f>
        <v/>
      </c>
      <c r="I98" s="27" t="str">
        <f aca="false">IF(A98="","",A98&amp;"-"&amp;H98)</f>
        <v/>
      </c>
    </row>
    <row r="99" customFormat="false" ht="15" hidden="false" customHeight="false" outlineLevel="0" collapsed="false">
      <c r="A99" s="27" t="str">
        <f aca="false">IF('Registro de Comisión'!A99="","",'Registro de Comisión'!A99)</f>
        <v/>
      </c>
      <c r="B99" s="27" t="str">
        <f aca="false">IF(A99="","",TRIM(SUBSTITUTE(SUBSTITUTE(SUBSTITUTE(SUBSTITUTE(SUBSTITUTE(SUBSTITUTE(UPPER('Registro de Comisión'!B99),"Á","A"),"É","E"),"Í","I"),"Ó","O"),"Ú","U"),"Ü","U")))</f>
        <v/>
      </c>
      <c r="C99" s="27" t="str">
        <f aca="false">IF(A99="","",TRIM(SUBSTITUTE(SUBSTITUTE(SUBSTITUTE(SUBSTITUTE(SUBSTITUTE(SUBSTITUTE(UPPER('Registro de Comisión'!I99),"Á","A"),"É","E"),"Í","I"),"Ó","O"),"Ú","U"),"Ü","U")))</f>
        <v/>
      </c>
      <c r="D99" s="28" t="str">
        <f aca="false">IF(A99="","",'Registro de Comisión'!J99)</f>
        <v/>
      </c>
      <c r="E99" s="28" t="str">
        <f aca="false">IF(A99="","",'Registro de Comisión'!K99)</f>
        <v/>
      </c>
      <c r="F99" s="29" t="str">
        <f aca="false">IF(A99="","",E99-D99+1)</f>
        <v/>
      </c>
      <c r="G99" s="27" t="str">
        <f aca="false">IF(A99="","",COUNTIFS($A$5:A99,A99))</f>
        <v/>
      </c>
      <c r="H99" s="27" t="str">
        <f aca="false">IF(A99="","",IF(E99=_xlfn.MAXIFS($E$5:$E$304,$A$5:$A$304,A99),1,0))</f>
        <v/>
      </c>
      <c r="I99" s="27" t="str">
        <f aca="false">IF(A99="","",A99&amp;"-"&amp;H99)</f>
        <v/>
      </c>
    </row>
    <row r="100" customFormat="false" ht="15" hidden="false" customHeight="false" outlineLevel="0" collapsed="false">
      <c r="A100" s="27" t="str">
        <f aca="false">IF('Registro de Comisión'!A100="","",'Registro de Comisión'!A100)</f>
        <v/>
      </c>
      <c r="B100" s="27" t="str">
        <f aca="false">IF(A100="","",TRIM(SUBSTITUTE(SUBSTITUTE(SUBSTITUTE(SUBSTITUTE(SUBSTITUTE(SUBSTITUTE(UPPER('Registro de Comisión'!B100),"Á","A"),"É","E"),"Í","I"),"Ó","O"),"Ú","U"),"Ü","U")))</f>
        <v/>
      </c>
      <c r="C100" s="27" t="str">
        <f aca="false">IF(A100="","",TRIM(SUBSTITUTE(SUBSTITUTE(SUBSTITUTE(SUBSTITUTE(SUBSTITUTE(SUBSTITUTE(UPPER('Registro de Comisión'!I100),"Á","A"),"É","E"),"Í","I"),"Ó","O"),"Ú","U"),"Ü","U")))</f>
        <v/>
      </c>
      <c r="D100" s="28" t="str">
        <f aca="false">IF(A100="","",'Registro de Comisión'!J100)</f>
        <v/>
      </c>
      <c r="E100" s="28" t="str">
        <f aca="false">IF(A100="","",'Registro de Comisión'!K100)</f>
        <v/>
      </c>
      <c r="F100" s="29" t="str">
        <f aca="false">IF(A100="","",E100-D100+1)</f>
        <v/>
      </c>
      <c r="G100" s="27" t="str">
        <f aca="false">IF(A100="","",COUNTIFS($A$5:A100,A100))</f>
        <v/>
      </c>
      <c r="H100" s="27" t="str">
        <f aca="false">IF(A100="","",IF(E100=_xlfn.MAXIFS($E$5:$E$304,$A$5:$A$304,A100),1,0))</f>
        <v/>
      </c>
      <c r="I100" s="27" t="str">
        <f aca="false">IF(A100="","",A100&amp;"-"&amp;H100)</f>
        <v/>
      </c>
    </row>
    <row r="101" customFormat="false" ht="15" hidden="false" customHeight="false" outlineLevel="0" collapsed="false">
      <c r="A101" s="27" t="str">
        <f aca="false">IF('Registro de Comisión'!A101="","",'Registro de Comisión'!A101)</f>
        <v/>
      </c>
      <c r="B101" s="27" t="str">
        <f aca="false">IF(A101="","",TRIM(SUBSTITUTE(SUBSTITUTE(SUBSTITUTE(SUBSTITUTE(SUBSTITUTE(SUBSTITUTE(UPPER('Registro de Comisión'!B101),"Á","A"),"É","E"),"Í","I"),"Ó","O"),"Ú","U"),"Ü","U")))</f>
        <v/>
      </c>
      <c r="C101" s="27" t="str">
        <f aca="false">IF(A101="","",TRIM(SUBSTITUTE(SUBSTITUTE(SUBSTITUTE(SUBSTITUTE(SUBSTITUTE(SUBSTITUTE(UPPER('Registro de Comisión'!I101),"Á","A"),"É","E"),"Í","I"),"Ó","O"),"Ú","U"),"Ü","U")))</f>
        <v/>
      </c>
      <c r="D101" s="28" t="str">
        <f aca="false">IF(A101="","",'Registro de Comisión'!J101)</f>
        <v/>
      </c>
      <c r="E101" s="28" t="str">
        <f aca="false">IF(A101="","",'Registro de Comisión'!K101)</f>
        <v/>
      </c>
      <c r="F101" s="29" t="str">
        <f aca="false">IF(A101="","",E101-D101+1)</f>
        <v/>
      </c>
      <c r="G101" s="27" t="str">
        <f aca="false">IF(A101="","",COUNTIFS($A$5:A101,A101))</f>
        <v/>
      </c>
      <c r="H101" s="27" t="str">
        <f aca="false">IF(A101="","",IF(E101=_xlfn.MAXIFS($E$5:$E$304,$A$5:$A$304,A101),1,0))</f>
        <v/>
      </c>
      <c r="I101" s="27" t="str">
        <f aca="false">IF(A101="","",A101&amp;"-"&amp;H101)</f>
        <v/>
      </c>
    </row>
    <row r="102" customFormat="false" ht="15" hidden="false" customHeight="false" outlineLevel="0" collapsed="false">
      <c r="A102" s="27" t="str">
        <f aca="false">IF('Registro de Comisión'!A102="","",'Registro de Comisión'!A102)</f>
        <v/>
      </c>
      <c r="B102" s="27" t="str">
        <f aca="false">IF(A102="","",TRIM(SUBSTITUTE(SUBSTITUTE(SUBSTITUTE(SUBSTITUTE(SUBSTITUTE(SUBSTITUTE(UPPER('Registro de Comisión'!B102),"Á","A"),"É","E"),"Í","I"),"Ó","O"),"Ú","U"),"Ü","U")))</f>
        <v/>
      </c>
      <c r="C102" s="27" t="str">
        <f aca="false">IF(A102="","",TRIM(SUBSTITUTE(SUBSTITUTE(SUBSTITUTE(SUBSTITUTE(SUBSTITUTE(SUBSTITUTE(UPPER('Registro de Comisión'!I102),"Á","A"),"É","E"),"Í","I"),"Ó","O"),"Ú","U"),"Ü","U")))</f>
        <v/>
      </c>
      <c r="D102" s="28" t="str">
        <f aca="false">IF(A102="","",'Registro de Comisión'!J102)</f>
        <v/>
      </c>
      <c r="E102" s="28" t="str">
        <f aca="false">IF(A102="","",'Registro de Comisión'!K102)</f>
        <v/>
      </c>
      <c r="F102" s="29" t="str">
        <f aca="false">IF(A102="","",E102-D102+1)</f>
        <v/>
      </c>
      <c r="G102" s="27" t="str">
        <f aca="false">IF(A102="","",COUNTIFS($A$5:A102,A102))</f>
        <v/>
      </c>
      <c r="H102" s="27" t="str">
        <f aca="false">IF(A102="","",IF(E102=_xlfn.MAXIFS($E$5:$E$304,$A$5:$A$304,A102),1,0))</f>
        <v/>
      </c>
      <c r="I102" s="27" t="str">
        <f aca="false">IF(A102="","",A102&amp;"-"&amp;H102)</f>
        <v/>
      </c>
    </row>
    <row r="103" customFormat="false" ht="15" hidden="false" customHeight="false" outlineLevel="0" collapsed="false">
      <c r="A103" s="27" t="str">
        <f aca="false">IF('Registro de Comisión'!A103="","",'Registro de Comisión'!A103)</f>
        <v/>
      </c>
      <c r="B103" s="27" t="str">
        <f aca="false">IF(A103="","",TRIM(SUBSTITUTE(SUBSTITUTE(SUBSTITUTE(SUBSTITUTE(SUBSTITUTE(SUBSTITUTE(UPPER('Registro de Comisión'!B103),"Á","A"),"É","E"),"Í","I"),"Ó","O"),"Ú","U"),"Ü","U")))</f>
        <v/>
      </c>
      <c r="C103" s="27" t="str">
        <f aca="false">IF(A103="","",TRIM(SUBSTITUTE(SUBSTITUTE(SUBSTITUTE(SUBSTITUTE(SUBSTITUTE(SUBSTITUTE(UPPER('Registro de Comisión'!I103),"Á","A"),"É","E"),"Í","I"),"Ó","O"),"Ú","U"),"Ü","U")))</f>
        <v/>
      </c>
      <c r="D103" s="28" t="str">
        <f aca="false">IF(A103="","",'Registro de Comisión'!J103)</f>
        <v/>
      </c>
      <c r="E103" s="28" t="str">
        <f aca="false">IF(A103="","",'Registro de Comisión'!K103)</f>
        <v/>
      </c>
      <c r="F103" s="29" t="str">
        <f aca="false">IF(A103="","",E103-D103+1)</f>
        <v/>
      </c>
      <c r="G103" s="27" t="str">
        <f aca="false">IF(A103="","",COUNTIFS($A$5:A103,A103))</f>
        <v/>
      </c>
      <c r="H103" s="27" t="str">
        <f aca="false">IF(A103="","",IF(E103=_xlfn.MAXIFS($E$5:$E$304,$A$5:$A$304,A103),1,0))</f>
        <v/>
      </c>
      <c r="I103" s="27" t="str">
        <f aca="false">IF(A103="","",A103&amp;"-"&amp;H103)</f>
        <v/>
      </c>
    </row>
    <row r="104" customFormat="false" ht="15" hidden="false" customHeight="false" outlineLevel="0" collapsed="false">
      <c r="A104" s="27" t="str">
        <f aca="false">IF('Registro de Comisión'!A104="","",'Registro de Comisión'!A104)</f>
        <v/>
      </c>
      <c r="B104" s="27" t="str">
        <f aca="false">IF(A104="","",TRIM(SUBSTITUTE(SUBSTITUTE(SUBSTITUTE(SUBSTITUTE(SUBSTITUTE(SUBSTITUTE(UPPER('Registro de Comisión'!B104),"Á","A"),"É","E"),"Í","I"),"Ó","O"),"Ú","U"),"Ü","U")))</f>
        <v/>
      </c>
      <c r="C104" s="27" t="str">
        <f aca="false">IF(A104="","",TRIM(SUBSTITUTE(SUBSTITUTE(SUBSTITUTE(SUBSTITUTE(SUBSTITUTE(SUBSTITUTE(UPPER('Registro de Comisión'!I104),"Á","A"),"É","E"),"Í","I"),"Ó","O"),"Ú","U"),"Ü","U")))</f>
        <v/>
      </c>
      <c r="D104" s="28" t="str">
        <f aca="false">IF(A104="","",'Registro de Comisión'!J104)</f>
        <v/>
      </c>
      <c r="E104" s="28" t="str">
        <f aca="false">IF(A104="","",'Registro de Comisión'!K104)</f>
        <v/>
      </c>
      <c r="F104" s="29" t="str">
        <f aca="false">IF(A104="","",E104-D104+1)</f>
        <v/>
      </c>
      <c r="G104" s="27" t="str">
        <f aca="false">IF(A104="","",COUNTIFS($A$5:A104,A104))</f>
        <v/>
      </c>
      <c r="H104" s="27" t="str">
        <f aca="false">IF(A104="","",IF(E104=_xlfn.MAXIFS($E$5:$E$304,$A$5:$A$304,A104),1,0))</f>
        <v/>
      </c>
      <c r="I104" s="27" t="str">
        <f aca="false">IF(A104="","",A104&amp;"-"&amp;H104)</f>
        <v/>
      </c>
    </row>
    <row r="105" customFormat="false" ht="15" hidden="false" customHeight="false" outlineLevel="0" collapsed="false">
      <c r="A105" s="27" t="str">
        <f aca="false">IF('Registro de Comisión'!A105="","",'Registro de Comisión'!A105)</f>
        <v/>
      </c>
      <c r="B105" s="27" t="str">
        <f aca="false">IF(A105="","",TRIM(SUBSTITUTE(SUBSTITUTE(SUBSTITUTE(SUBSTITUTE(SUBSTITUTE(SUBSTITUTE(UPPER('Registro de Comisión'!B105),"Á","A"),"É","E"),"Í","I"),"Ó","O"),"Ú","U"),"Ü","U")))</f>
        <v/>
      </c>
      <c r="C105" s="27" t="str">
        <f aca="false">IF(A105="","",TRIM(SUBSTITUTE(SUBSTITUTE(SUBSTITUTE(SUBSTITUTE(SUBSTITUTE(SUBSTITUTE(UPPER('Registro de Comisión'!I105),"Á","A"),"É","E"),"Í","I"),"Ó","O"),"Ú","U"),"Ü","U")))</f>
        <v/>
      </c>
      <c r="D105" s="28" t="str">
        <f aca="false">IF(A105="","",'Registro de Comisión'!J105)</f>
        <v/>
      </c>
      <c r="E105" s="28" t="str">
        <f aca="false">IF(A105="","",'Registro de Comisión'!K105)</f>
        <v/>
      </c>
      <c r="F105" s="29" t="str">
        <f aca="false">IF(A105="","",E105-D105+1)</f>
        <v/>
      </c>
      <c r="G105" s="27" t="str">
        <f aca="false">IF(A105="","",COUNTIFS($A$5:A105,A105))</f>
        <v/>
      </c>
      <c r="H105" s="27" t="str">
        <f aca="false">IF(A105="","",IF(E105=_xlfn.MAXIFS($E$5:$E$304,$A$5:$A$304,A105),1,0))</f>
        <v/>
      </c>
      <c r="I105" s="27" t="str">
        <f aca="false">IF(A105="","",A105&amp;"-"&amp;H105)</f>
        <v/>
      </c>
    </row>
    <row r="106" customFormat="false" ht="15" hidden="false" customHeight="false" outlineLevel="0" collapsed="false">
      <c r="A106" s="27" t="str">
        <f aca="false">IF('Registro de Comisión'!A106="","",'Registro de Comisión'!A106)</f>
        <v/>
      </c>
      <c r="B106" s="27" t="str">
        <f aca="false">IF(A106="","",TRIM(SUBSTITUTE(SUBSTITUTE(SUBSTITUTE(SUBSTITUTE(SUBSTITUTE(SUBSTITUTE(UPPER('Registro de Comisión'!B106),"Á","A"),"É","E"),"Í","I"),"Ó","O"),"Ú","U"),"Ü","U")))</f>
        <v/>
      </c>
      <c r="C106" s="27" t="str">
        <f aca="false">IF(A106="","",TRIM(SUBSTITUTE(SUBSTITUTE(SUBSTITUTE(SUBSTITUTE(SUBSTITUTE(SUBSTITUTE(UPPER('Registro de Comisión'!I106),"Á","A"),"É","E"),"Í","I"),"Ó","O"),"Ú","U"),"Ü","U")))</f>
        <v/>
      </c>
      <c r="D106" s="28" t="str">
        <f aca="false">IF(A106="","",'Registro de Comisión'!J106)</f>
        <v/>
      </c>
      <c r="E106" s="28" t="str">
        <f aca="false">IF(A106="","",'Registro de Comisión'!K106)</f>
        <v/>
      </c>
      <c r="F106" s="29" t="str">
        <f aca="false">IF(A106="","",E106-D106+1)</f>
        <v/>
      </c>
      <c r="G106" s="27" t="str">
        <f aca="false">IF(A106="","",COUNTIFS($A$5:A106,A106))</f>
        <v/>
      </c>
      <c r="H106" s="27" t="str">
        <f aca="false">IF(A106="","",IF(E106=_xlfn.MAXIFS($E$5:$E$304,$A$5:$A$304,A106),1,0))</f>
        <v/>
      </c>
      <c r="I106" s="27" t="str">
        <f aca="false">IF(A106="","",A106&amp;"-"&amp;H106)</f>
        <v/>
      </c>
    </row>
    <row r="107" customFormat="false" ht="15" hidden="false" customHeight="false" outlineLevel="0" collapsed="false">
      <c r="A107" s="27" t="str">
        <f aca="false">IF('Registro de Comisión'!A107="","",'Registro de Comisión'!A107)</f>
        <v/>
      </c>
      <c r="B107" s="27" t="str">
        <f aca="false">IF(A107="","",TRIM(SUBSTITUTE(SUBSTITUTE(SUBSTITUTE(SUBSTITUTE(SUBSTITUTE(SUBSTITUTE(UPPER('Registro de Comisión'!B107),"Á","A"),"É","E"),"Í","I"),"Ó","O"),"Ú","U"),"Ü","U")))</f>
        <v/>
      </c>
      <c r="C107" s="27" t="str">
        <f aca="false">IF(A107="","",TRIM(SUBSTITUTE(SUBSTITUTE(SUBSTITUTE(SUBSTITUTE(SUBSTITUTE(SUBSTITUTE(UPPER('Registro de Comisión'!I107),"Á","A"),"É","E"),"Í","I"),"Ó","O"),"Ú","U"),"Ü","U")))</f>
        <v/>
      </c>
      <c r="D107" s="28" t="str">
        <f aca="false">IF(A107="","",'Registro de Comisión'!J107)</f>
        <v/>
      </c>
      <c r="E107" s="28" t="str">
        <f aca="false">IF(A107="","",'Registro de Comisión'!K107)</f>
        <v/>
      </c>
      <c r="F107" s="29" t="str">
        <f aca="false">IF(A107="","",E107-D107+1)</f>
        <v/>
      </c>
      <c r="G107" s="27" t="str">
        <f aca="false">IF(A107="","",COUNTIFS($A$5:A107,A107))</f>
        <v/>
      </c>
      <c r="H107" s="27" t="str">
        <f aca="false">IF(A107="","",IF(E107=_xlfn.MAXIFS($E$5:$E$304,$A$5:$A$304,A107),1,0))</f>
        <v/>
      </c>
      <c r="I107" s="27" t="str">
        <f aca="false">IF(A107="","",A107&amp;"-"&amp;H107)</f>
        <v/>
      </c>
    </row>
    <row r="108" customFormat="false" ht="15" hidden="false" customHeight="false" outlineLevel="0" collapsed="false">
      <c r="A108" s="27" t="str">
        <f aca="false">IF('Registro de Comisión'!A108="","",'Registro de Comisión'!A108)</f>
        <v/>
      </c>
      <c r="B108" s="27" t="str">
        <f aca="false">IF(A108="","",TRIM(SUBSTITUTE(SUBSTITUTE(SUBSTITUTE(SUBSTITUTE(SUBSTITUTE(SUBSTITUTE(UPPER('Registro de Comisión'!B108),"Á","A"),"É","E"),"Í","I"),"Ó","O"),"Ú","U"),"Ü","U")))</f>
        <v/>
      </c>
      <c r="C108" s="27" t="str">
        <f aca="false">IF(A108="","",TRIM(SUBSTITUTE(SUBSTITUTE(SUBSTITUTE(SUBSTITUTE(SUBSTITUTE(SUBSTITUTE(UPPER('Registro de Comisión'!I108),"Á","A"),"É","E"),"Í","I"),"Ó","O"),"Ú","U"),"Ü","U")))</f>
        <v/>
      </c>
      <c r="D108" s="28" t="str">
        <f aca="false">IF(A108="","",'Registro de Comisión'!J108)</f>
        <v/>
      </c>
      <c r="E108" s="28" t="str">
        <f aca="false">IF(A108="","",'Registro de Comisión'!K108)</f>
        <v/>
      </c>
      <c r="F108" s="29" t="str">
        <f aca="false">IF(A108="","",E108-D108+1)</f>
        <v/>
      </c>
      <c r="G108" s="27" t="str">
        <f aca="false">IF(A108="","",COUNTIFS($A$5:A108,A108))</f>
        <v/>
      </c>
      <c r="H108" s="27" t="str">
        <f aca="false">IF(A108="","",IF(E108=_xlfn.MAXIFS($E$5:$E$304,$A$5:$A$304,A108),1,0))</f>
        <v/>
      </c>
      <c r="I108" s="27" t="str">
        <f aca="false">IF(A108="","",A108&amp;"-"&amp;H108)</f>
        <v/>
      </c>
    </row>
    <row r="109" customFormat="false" ht="15" hidden="false" customHeight="false" outlineLevel="0" collapsed="false">
      <c r="A109" s="27" t="str">
        <f aca="false">IF('Registro de Comisión'!A109="","",'Registro de Comisión'!A109)</f>
        <v/>
      </c>
      <c r="B109" s="27" t="str">
        <f aca="false">IF(A109="","",TRIM(SUBSTITUTE(SUBSTITUTE(SUBSTITUTE(SUBSTITUTE(SUBSTITUTE(SUBSTITUTE(UPPER('Registro de Comisión'!B109),"Á","A"),"É","E"),"Í","I"),"Ó","O"),"Ú","U"),"Ü","U")))</f>
        <v/>
      </c>
      <c r="C109" s="27" t="str">
        <f aca="false">IF(A109="","",TRIM(SUBSTITUTE(SUBSTITUTE(SUBSTITUTE(SUBSTITUTE(SUBSTITUTE(SUBSTITUTE(UPPER('Registro de Comisión'!I109),"Á","A"),"É","E"),"Í","I"),"Ó","O"),"Ú","U"),"Ü","U")))</f>
        <v/>
      </c>
      <c r="D109" s="28" t="str">
        <f aca="false">IF(A109="","",'Registro de Comisión'!J109)</f>
        <v/>
      </c>
      <c r="E109" s="28" t="str">
        <f aca="false">IF(A109="","",'Registro de Comisión'!K109)</f>
        <v/>
      </c>
      <c r="F109" s="29" t="str">
        <f aca="false">IF(A109="","",E109-D109+1)</f>
        <v/>
      </c>
      <c r="G109" s="27" t="str">
        <f aca="false">IF(A109="","",COUNTIFS($A$5:A109,A109))</f>
        <v/>
      </c>
      <c r="H109" s="27" t="str">
        <f aca="false">IF(A109="","",IF(E109=_xlfn.MAXIFS($E$5:$E$304,$A$5:$A$304,A109),1,0))</f>
        <v/>
      </c>
      <c r="I109" s="27" t="str">
        <f aca="false">IF(A109="","",A109&amp;"-"&amp;H109)</f>
        <v/>
      </c>
    </row>
    <row r="110" customFormat="false" ht="15" hidden="false" customHeight="false" outlineLevel="0" collapsed="false">
      <c r="A110" s="27" t="str">
        <f aca="false">IF('Registro de Comisión'!A110="","",'Registro de Comisión'!A110)</f>
        <v/>
      </c>
      <c r="B110" s="27" t="str">
        <f aca="false">IF(A110="","",TRIM(SUBSTITUTE(SUBSTITUTE(SUBSTITUTE(SUBSTITUTE(SUBSTITUTE(SUBSTITUTE(UPPER('Registro de Comisión'!B110),"Á","A"),"É","E"),"Í","I"),"Ó","O"),"Ú","U"),"Ü","U")))</f>
        <v/>
      </c>
      <c r="C110" s="27" t="str">
        <f aca="false">IF(A110="","",TRIM(SUBSTITUTE(SUBSTITUTE(SUBSTITUTE(SUBSTITUTE(SUBSTITUTE(SUBSTITUTE(UPPER('Registro de Comisión'!I110),"Á","A"),"É","E"),"Í","I"),"Ó","O"),"Ú","U"),"Ü","U")))</f>
        <v/>
      </c>
      <c r="D110" s="28" t="str">
        <f aca="false">IF(A110="","",'Registro de Comisión'!J110)</f>
        <v/>
      </c>
      <c r="E110" s="28" t="str">
        <f aca="false">IF(A110="","",'Registro de Comisión'!K110)</f>
        <v/>
      </c>
      <c r="F110" s="29" t="str">
        <f aca="false">IF(A110="","",E110-D110+1)</f>
        <v/>
      </c>
      <c r="G110" s="27" t="str">
        <f aca="false">IF(A110="","",COUNTIFS($A$5:A110,A110))</f>
        <v/>
      </c>
      <c r="H110" s="27" t="str">
        <f aca="false">IF(A110="","",IF(E110=_xlfn.MAXIFS($E$5:$E$304,$A$5:$A$304,A110),1,0))</f>
        <v/>
      </c>
      <c r="I110" s="27" t="str">
        <f aca="false">IF(A110="","",A110&amp;"-"&amp;H110)</f>
        <v/>
      </c>
    </row>
    <row r="111" customFormat="false" ht="15" hidden="false" customHeight="false" outlineLevel="0" collapsed="false">
      <c r="A111" s="27" t="str">
        <f aca="false">IF('Registro de Comisión'!A111="","",'Registro de Comisión'!A111)</f>
        <v/>
      </c>
      <c r="B111" s="27" t="str">
        <f aca="false">IF(A111="","",TRIM(SUBSTITUTE(SUBSTITUTE(SUBSTITUTE(SUBSTITUTE(SUBSTITUTE(SUBSTITUTE(UPPER('Registro de Comisión'!B111),"Á","A"),"É","E"),"Í","I"),"Ó","O"),"Ú","U"),"Ü","U")))</f>
        <v/>
      </c>
      <c r="C111" s="27" t="str">
        <f aca="false">IF(A111="","",TRIM(SUBSTITUTE(SUBSTITUTE(SUBSTITUTE(SUBSTITUTE(SUBSTITUTE(SUBSTITUTE(UPPER('Registro de Comisión'!I111),"Á","A"),"É","E"),"Í","I"),"Ó","O"),"Ú","U"),"Ü","U")))</f>
        <v/>
      </c>
      <c r="D111" s="28" t="str">
        <f aca="false">IF(A111="","",'Registro de Comisión'!J111)</f>
        <v/>
      </c>
      <c r="E111" s="28" t="str">
        <f aca="false">IF(A111="","",'Registro de Comisión'!K111)</f>
        <v/>
      </c>
      <c r="F111" s="29" t="str">
        <f aca="false">IF(A111="","",E111-D111+1)</f>
        <v/>
      </c>
      <c r="G111" s="27" t="str">
        <f aca="false">IF(A111="","",COUNTIFS($A$5:A111,A111))</f>
        <v/>
      </c>
      <c r="H111" s="27" t="str">
        <f aca="false">IF(A111="","",IF(E111=_xlfn.MAXIFS($E$5:$E$304,$A$5:$A$304,A111),1,0))</f>
        <v/>
      </c>
      <c r="I111" s="27" t="str">
        <f aca="false">IF(A111="","",A111&amp;"-"&amp;H111)</f>
        <v/>
      </c>
    </row>
    <row r="112" customFormat="false" ht="15" hidden="false" customHeight="false" outlineLevel="0" collapsed="false">
      <c r="A112" s="27" t="str">
        <f aca="false">IF('Registro de Comisión'!A112="","",'Registro de Comisión'!A112)</f>
        <v/>
      </c>
      <c r="B112" s="27" t="str">
        <f aca="false">IF(A112="","",TRIM(SUBSTITUTE(SUBSTITUTE(SUBSTITUTE(SUBSTITUTE(SUBSTITUTE(SUBSTITUTE(UPPER('Registro de Comisión'!B112),"Á","A"),"É","E"),"Í","I"),"Ó","O"),"Ú","U"),"Ü","U")))</f>
        <v/>
      </c>
      <c r="C112" s="27" t="str">
        <f aca="false">IF(A112="","",TRIM(SUBSTITUTE(SUBSTITUTE(SUBSTITUTE(SUBSTITUTE(SUBSTITUTE(SUBSTITUTE(UPPER('Registro de Comisión'!I112),"Á","A"),"É","E"),"Í","I"),"Ó","O"),"Ú","U"),"Ü","U")))</f>
        <v/>
      </c>
      <c r="D112" s="28" t="str">
        <f aca="false">IF(A112="","",'Registro de Comisión'!J112)</f>
        <v/>
      </c>
      <c r="E112" s="28" t="str">
        <f aca="false">IF(A112="","",'Registro de Comisión'!K112)</f>
        <v/>
      </c>
      <c r="F112" s="29" t="str">
        <f aca="false">IF(A112="","",E112-D112+1)</f>
        <v/>
      </c>
      <c r="G112" s="27" t="str">
        <f aca="false">IF(A112="","",COUNTIFS($A$5:A112,A112))</f>
        <v/>
      </c>
      <c r="H112" s="27" t="str">
        <f aca="false">IF(A112="","",IF(E112=_xlfn.MAXIFS($E$5:$E$304,$A$5:$A$304,A112),1,0))</f>
        <v/>
      </c>
      <c r="I112" s="27" t="str">
        <f aca="false">IF(A112="","",A112&amp;"-"&amp;H112)</f>
        <v/>
      </c>
    </row>
    <row r="113" customFormat="false" ht="15" hidden="false" customHeight="false" outlineLevel="0" collapsed="false">
      <c r="A113" s="27" t="str">
        <f aca="false">IF('Registro de Comisión'!A113="","",'Registro de Comisión'!A113)</f>
        <v/>
      </c>
      <c r="B113" s="27" t="str">
        <f aca="false">IF(A113="","",TRIM(SUBSTITUTE(SUBSTITUTE(SUBSTITUTE(SUBSTITUTE(SUBSTITUTE(SUBSTITUTE(UPPER('Registro de Comisión'!B113),"Á","A"),"É","E"),"Í","I"),"Ó","O"),"Ú","U"),"Ü","U")))</f>
        <v/>
      </c>
      <c r="C113" s="27" t="str">
        <f aca="false">IF(A113="","",TRIM(SUBSTITUTE(SUBSTITUTE(SUBSTITUTE(SUBSTITUTE(SUBSTITUTE(SUBSTITUTE(UPPER('Registro de Comisión'!I113),"Á","A"),"É","E"),"Í","I"),"Ó","O"),"Ú","U"),"Ü","U")))</f>
        <v/>
      </c>
      <c r="D113" s="28" t="str">
        <f aca="false">IF(A113="","",'Registro de Comisión'!J113)</f>
        <v/>
      </c>
      <c r="E113" s="28" t="str">
        <f aca="false">IF(A113="","",'Registro de Comisión'!K113)</f>
        <v/>
      </c>
      <c r="F113" s="29" t="str">
        <f aca="false">IF(A113="","",E113-D113+1)</f>
        <v/>
      </c>
      <c r="G113" s="27" t="str">
        <f aca="false">IF(A113="","",COUNTIFS($A$5:A113,A113))</f>
        <v/>
      </c>
      <c r="H113" s="27" t="str">
        <f aca="false">IF(A113="","",IF(E113=_xlfn.MAXIFS($E$5:$E$304,$A$5:$A$304,A113),1,0))</f>
        <v/>
      </c>
      <c r="I113" s="27" t="str">
        <f aca="false">IF(A113="","",A113&amp;"-"&amp;H113)</f>
        <v/>
      </c>
    </row>
    <row r="114" customFormat="false" ht="15" hidden="false" customHeight="false" outlineLevel="0" collapsed="false">
      <c r="A114" s="27" t="str">
        <f aca="false">IF('Registro de Comisión'!A114="","",'Registro de Comisión'!A114)</f>
        <v/>
      </c>
      <c r="B114" s="27" t="str">
        <f aca="false">IF(A114="","",TRIM(SUBSTITUTE(SUBSTITUTE(SUBSTITUTE(SUBSTITUTE(SUBSTITUTE(SUBSTITUTE(UPPER('Registro de Comisión'!B114),"Á","A"),"É","E"),"Í","I"),"Ó","O"),"Ú","U"),"Ü","U")))</f>
        <v/>
      </c>
      <c r="C114" s="27" t="str">
        <f aca="false">IF(A114="","",TRIM(SUBSTITUTE(SUBSTITUTE(SUBSTITUTE(SUBSTITUTE(SUBSTITUTE(SUBSTITUTE(UPPER('Registro de Comisión'!I114),"Á","A"),"É","E"),"Í","I"),"Ó","O"),"Ú","U"),"Ü","U")))</f>
        <v/>
      </c>
      <c r="D114" s="28" t="str">
        <f aca="false">IF(A114="","",'Registro de Comisión'!J114)</f>
        <v/>
      </c>
      <c r="E114" s="28" t="str">
        <f aca="false">IF(A114="","",'Registro de Comisión'!K114)</f>
        <v/>
      </c>
      <c r="F114" s="29" t="str">
        <f aca="false">IF(A114="","",E114-D114+1)</f>
        <v/>
      </c>
      <c r="G114" s="27" t="str">
        <f aca="false">IF(A114="","",COUNTIFS($A$5:A114,A114))</f>
        <v/>
      </c>
      <c r="H114" s="27" t="str">
        <f aca="false">IF(A114="","",IF(E114=_xlfn.MAXIFS($E$5:$E$304,$A$5:$A$304,A114),1,0))</f>
        <v/>
      </c>
      <c r="I114" s="27" t="str">
        <f aca="false">IF(A114="","",A114&amp;"-"&amp;H114)</f>
        <v/>
      </c>
    </row>
    <row r="115" customFormat="false" ht="15" hidden="false" customHeight="false" outlineLevel="0" collapsed="false">
      <c r="A115" s="27" t="str">
        <f aca="false">IF('Registro de Comisión'!A115="","",'Registro de Comisión'!A115)</f>
        <v/>
      </c>
      <c r="B115" s="27" t="str">
        <f aca="false">IF(A115="","",TRIM(SUBSTITUTE(SUBSTITUTE(SUBSTITUTE(SUBSTITUTE(SUBSTITUTE(SUBSTITUTE(UPPER('Registro de Comisión'!B115),"Á","A"),"É","E"),"Í","I"),"Ó","O"),"Ú","U"),"Ü","U")))</f>
        <v/>
      </c>
      <c r="C115" s="27" t="str">
        <f aca="false">IF(A115="","",TRIM(SUBSTITUTE(SUBSTITUTE(SUBSTITUTE(SUBSTITUTE(SUBSTITUTE(SUBSTITUTE(UPPER('Registro de Comisión'!I115),"Á","A"),"É","E"),"Í","I"),"Ó","O"),"Ú","U"),"Ü","U")))</f>
        <v/>
      </c>
      <c r="D115" s="28" t="str">
        <f aca="false">IF(A115="","",'Registro de Comisión'!J115)</f>
        <v/>
      </c>
      <c r="E115" s="28" t="str">
        <f aca="false">IF(A115="","",'Registro de Comisión'!K115)</f>
        <v/>
      </c>
      <c r="F115" s="29" t="str">
        <f aca="false">IF(A115="","",E115-D115+1)</f>
        <v/>
      </c>
      <c r="G115" s="27" t="str">
        <f aca="false">IF(A115="","",COUNTIFS($A$5:A115,A115))</f>
        <v/>
      </c>
      <c r="H115" s="27" t="str">
        <f aca="false">IF(A115="","",IF(E115=_xlfn.MAXIFS($E$5:$E$304,$A$5:$A$304,A115),1,0))</f>
        <v/>
      </c>
      <c r="I115" s="27" t="str">
        <f aca="false">IF(A115="","",A115&amp;"-"&amp;H115)</f>
        <v/>
      </c>
    </row>
    <row r="116" customFormat="false" ht="15" hidden="false" customHeight="false" outlineLevel="0" collapsed="false">
      <c r="A116" s="27" t="str">
        <f aca="false">IF('Registro de Comisión'!A116="","",'Registro de Comisión'!A116)</f>
        <v/>
      </c>
      <c r="B116" s="27" t="str">
        <f aca="false">IF(A116="","",TRIM(SUBSTITUTE(SUBSTITUTE(SUBSTITUTE(SUBSTITUTE(SUBSTITUTE(SUBSTITUTE(UPPER('Registro de Comisión'!B116),"Á","A"),"É","E"),"Í","I"),"Ó","O"),"Ú","U"),"Ü","U")))</f>
        <v/>
      </c>
      <c r="C116" s="27" t="str">
        <f aca="false">IF(A116="","",TRIM(SUBSTITUTE(SUBSTITUTE(SUBSTITUTE(SUBSTITUTE(SUBSTITUTE(SUBSTITUTE(UPPER('Registro de Comisión'!I116),"Á","A"),"É","E"),"Í","I"),"Ó","O"),"Ú","U"),"Ü","U")))</f>
        <v/>
      </c>
      <c r="D116" s="28" t="str">
        <f aca="false">IF(A116="","",'Registro de Comisión'!J116)</f>
        <v/>
      </c>
      <c r="E116" s="28" t="str">
        <f aca="false">IF(A116="","",'Registro de Comisión'!K116)</f>
        <v/>
      </c>
      <c r="F116" s="29" t="str">
        <f aca="false">IF(A116="","",E116-D116+1)</f>
        <v/>
      </c>
      <c r="G116" s="27" t="str">
        <f aca="false">IF(A116="","",COUNTIFS($A$5:A116,A116))</f>
        <v/>
      </c>
      <c r="H116" s="27" t="str">
        <f aca="false">IF(A116="","",IF(E116=_xlfn.MAXIFS($E$5:$E$304,$A$5:$A$304,A116),1,0))</f>
        <v/>
      </c>
      <c r="I116" s="27" t="str">
        <f aca="false">IF(A116="","",A116&amp;"-"&amp;H116)</f>
        <v/>
      </c>
    </row>
    <row r="117" customFormat="false" ht="15" hidden="false" customHeight="false" outlineLevel="0" collapsed="false">
      <c r="A117" s="27" t="str">
        <f aca="false">IF('Registro de Comisión'!A117="","",'Registro de Comisión'!A117)</f>
        <v/>
      </c>
      <c r="B117" s="27" t="str">
        <f aca="false">IF(A117="","",TRIM(SUBSTITUTE(SUBSTITUTE(SUBSTITUTE(SUBSTITUTE(SUBSTITUTE(SUBSTITUTE(UPPER('Registro de Comisión'!B117),"Á","A"),"É","E"),"Í","I"),"Ó","O"),"Ú","U"),"Ü","U")))</f>
        <v/>
      </c>
      <c r="C117" s="27" t="str">
        <f aca="false">IF(A117="","",TRIM(SUBSTITUTE(SUBSTITUTE(SUBSTITUTE(SUBSTITUTE(SUBSTITUTE(SUBSTITUTE(UPPER('Registro de Comisión'!I117),"Á","A"),"É","E"),"Í","I"),"Ó","O"),"Ú","U"),"Ü","U")))</f>
        <v/>
      </c>
      <c r="D117" s="28" t="str">
        <f aca="false">IF(A117="","",'Registro de Comisión'!J117)</f>
        <v/>
      </c>
      <c r="E117" s="28" t="str">
        <f aca="false">IF(A117="","",'Registro de Comisión'!K117)</f>
        <v/>
      </c>
      <c r="F117" s="29" t="str">
        <f aca="false">IF(A117="","",E117-D117+1)</f>
        <v/>
      </c>
      <c r="G117" s="27" t="str">
        <f aca="false">IF(A117="","",COUNTIFS($A$5:A117,A117))</f>
        <v/>
      </c>
      <c r="H117" s="27" t="str">
        <f aca="false">IF(A117="","",IF(E117=_xlfn.MAXIFS($E$5:$E$304,$A$5:$A$304,A117),1,0))</f>
        <v/>
      </c>
      <c r="I117" s="27" t="str">
        <f aca="false">IF(A117="","",A117&amp;"-"&amp;H117)</f>
        <v/>
      </c>
    </row>
    <row r="118" customFormat="false" ht="15" hidden="false" customHeight="false" outlineLevel="0" collapsed="false">
      <c r="A118" s="27" t="str">
        <f aca="false">IF('Registro de Comisión'!A118="","",'Registro de Comisión'!A118)</f>
        <v/>
      </c>
      <c r="B118" s="27" t="str">
        <f aca="false">IF(A118="","",TRIM(SUBSTITUTE(SUBSTITUTE(SUBSTITUTE(SUBSTITUTE(SUBSTITUTE(SUBSTITUTE(UPPER('Registro de Comisión'!B118),"Á","A"),"É","E"),"Í","I"),"Ó","O"),"Ú","U"),"Ü","U")))</f>
        <v/>
      </c>
      <c r="C118" s="27" t="str">
        <f aca="false">IF(A118="","",TRIM(SUBSTITUTE(SUBSTITUTE(SUBSTITUTE(SUBSTITUTE(SUBSTITUTE(SUBSTITUTE(UPPER('Registro de Comisión'!I118),"Á","A"),"É","E"),"Í","I"),"Ó","O"),"Ú","U"),"Ü","U")))</f>
        <v/>
      </c>
      <c r="D118" s="28" t="str">
        <f aca="false">IF(A118="","",'Registro de Comisión'!J118)</f>
        <v/>
      </c>
      <c r="E118" s="28" t="str">
        <f aca="false">IF(A118="","",'Registro de Comisión'!K118)</f>
        <v/>
      </c>
      <c r="F118" s="29" t="str">
        <f aca="false">IF(A118="","",E118-D118+1)</f>
        <v/>
      </c>
      <c r="G118" s="27" t="str">
        <f aca="false">IF(A118="","",COUNTIFS($A$5:A118,A118))</f>
        <v/>
      </c>
      <c r="H118" s="27" t="str">
        <f aca="false">IF(A118="","",IF(E118=_xlfn.MAXIFS($E$5:$E$304,$A$5:$A$304,A118),1,0))</f>
        <v/>
      </c>
      <c r="I118" s="27" t="str">
        <f aca="false">IF(A118="","",A118&amp;"-"&amp;H118)</f>
        <v/>
      </c>
    </row>
    <row r="119" customFormat="false" ht="15" hidden="false" customHeight="false" outlineLevel="0" collapsed="false">
      <c r="A119" s="27" t="str">
        <f aca="false">IF('Registro de Comisión'!A119="","",'Registro de Comisión'!A119)</f>
        <v/>
      </c>
      <c r="B119" s="27" t="str">
        <f aca="false">IF(A119="","",TRIM(SUBSTITUTE(SUBSTITUTE(SUBSTITUTE(SUBSTITUTE(SUBSTITUTE(SUBSTITUTE(UPPER('Registro de Comisión'!B119),"Á","A"),"É","E"),"Í","I"),"Ó","O"),"Ú","U"),"Ü","U")))</f>
        <v/>
      </c>
      <c r="C119" s="27" t="str">
        <f aca="false">IF(A119="","",TRIM(SUBSTITUTE(SUBSTITUTE(SUBSTITUTE(SUBSTITUTE(SUBSTITUTE(SUBSTITUTE(UPPER('Registro de Comisión'!I119),"Á","A"),"É","E"),"Í","I"),"Ó","O"),"Ú","U"),"Ü","U")))</f>
        <v/>
      </c>
      <c r="D119" s="28" t="str">
        <f aca="false">IF(A119="","",'Registro de Comisión'!J119)</f>
        <v/>
      </c>
      <c r="E119" s="28" t="str">
        <f aca="false">IF(A119="","",'Registro de Comisión'!K119)</f>
        <v/>
      </c>
      <c r="F119" s="29" t="str">
        <f aca="false">IF(A119="","",E119-D119+1)</f>
        <v/>
      </c>
      <c r="G119" s="27" t="str">
        <f aca="false">IF(A119="","",COUNTIFS($A$5:A119,A119))</f>
        <v/>
      </c>
      <c r="H119" s="27" t="str">
        <f aca="false">IF(A119="","",IF(E119=_xlfn.MAXIFS($E$5:$E$304,$A$5:$A$304,A119),1,0))</f>
        <v/>
      </c>
      <c r="I119" s="27" t="str">
        <f aca="false">IF(A119="","",A119&amp;"-"&amp;H119)</f>
        <v/>
      </c>
    </row>
    <row r="120" customFormat="false" ht="15" hidden="false" customHeight="false" outlineLevel="0" collapsed="false">
      <c r="A120" s="27" t="str">
        <f aca="false">IF('Registro de Comisión'!A120="","",'Registro de Comisión'!A120)</f>
        <v/>
      </c>
      <c r="B120" s="27" t="str">
        <f aca="false">IF(A120="","",TRIM(SUBSTITUTE(SUBSTITUTE(SUBSTITUTE(SUBSTITUTE(SUBSTITUTE(SUBSTITUTE(UPPER('Registro de Comisión'!B120),"Á","A"),"É","E"),"Í","I"),"Ó","O"),"Ú","U"),"Ü","U")))</f>
        <v/>
      </c>
      <c r="C120" s="27" t="str">
        <f aca="false">IF(A120="","",TRIM(SUBSTITUTE(SUBSTITUTE(SUBSTITUTE(SUBSTITUTE(SUBSTITUTE(SUBSTITUTE(UPPER('Registro de Comisión'!I120),"Á","A"),"É","E"),"Í","I"),"Ó","O"),"Ú","U"),"Ü","U")))</f>
        <v/>
      </c>
      <c r="D120" s="28" t="str">
        <f aca="false">IF(A120="","",'Registro de Comisión'!J120)</f>
        <v/>
      </c>
      <c r="E120" s="28" t="str">
        <f aca="false">IF(A120="","",'Registro de Comisión'!K120)</f>
        <v/>
      </c>
      <c r="F120" s="29" t="str">
        <f aca="false">IF(A120="","",E120-D120+1)</f>
        <v/>
      </c>
      <c r="G120" s="27" t="str">
        <f aca="false">IF(A120="","",COUNTIFS($A$5:A120,A120))</f>
        <v/>
      </c>
      <c r="H120" s="27" t="str">
        <f aca="false">IF(A120="","",IF(E120=_xlfn.MAXIFS($E$5:$E$304,$A$5:$A$304,A120),1,0))</f>
        <v/>
      </c>
      <c r="I120" s="27" t="str">
        <f aca="false">IF(A120="","",A120&amp;"-"&amp;H120)</f>
        <v/>
      </c>
    </row>
    <row r="121" customFormat="false" ht="15" hidden="false" customHeight="false" outlineLevel="0" collapsed="false">
      <c r="A121" s="27" t="str">
        <f aca="false">IF('Registro de Comisión'!A121="","",'Registro de Comisión'!A121)</f>
        <v/>
      </c>
      <c r="B121" s="27" t="str">
        <f aca="false">IF(A121="","",TRIM(SUBSTITUTE(SUBSTITUTE(SUBSTITUTE(SUBSTITUTE(SUBSTITUTE(SUBSTITUTE(UPPER('Registro de Comisión'!B121),"Á","A"),"É","E"),"Í","I"),"Ó","O"),"Ú","U"),"Ü","U")))</f>
        <v/>
      </c>
      <c r="C121" s="27" t="str">
        <f aca="false">IF(A121="","",TRIM(SUBSTITUTE(SUBSTITUTE(SUBSTITUTE(SUBSTITUTE(SUBSTITUTE(SUBSTITUTE(UPPER('Registro de Comisión'!I121),"Á","A"),"É","E"),"Í","I"),"Ó","O"),"Ú","U"),"Ü","U")))</f>
        <v/>
      </c>
      <c r="D121" s="28" t="str">
        <f aca="false">IF(A121="","",'Registro de Comisión'!J121)</f>
        <v/>
      </c>
      <c r="E121" s="28" t="str">
        <f aca="false">IF(A121="","",'Registro de Comisión'!K121)</f>
        <v/>
      </c>
      <c r="F121" s="29" t="str">
        <f aca="false">IF(A121="","",E121-D121+1)</f>
        <v/>
      </c>
      <c r="G121" s="27" t="str">
        <f aca="false">IF(A121="","",COUNTIFS($A$5:A121,A121))</f>
        <v/>
      </c>
      <c r="H121" s="27" t="str">
        <f aca="false">IF(A121="","",IF(E121=_xlfn.MAXIFS($E$5:$E$304,$A$5:$A$304,A121),1,0))</f>
        <v/>
      </c>
      <c r="I121" s="27" t="str">
        <f aca="false">IF(A121="","",A121&amp;"-"&amp;H121)</f>
        <v/>
      </c>
    </row>
    <row r="122" customFormat="false" ht="15" hidden="false" customHeight="false" outlineLevel="0" collapsed="false">
      <c r="A122" s="27" t="str">
        <f aca="false">IF('Registro de Comisión'!A122="","",'Registro de Comisión'!A122)</f>
        <v/>
      </c>
      <c r="B122" s="27" t="str">
        <f aca="false">IF(A122="","",TRIM(SUBSTITUTE(SUBSTITUTE(SUBSTITUTE(SUBSTITUTE(SUBSTITUTE(SUBSTITUTE(UPPER('Registro de Comisión'!B122),"Á","A"),"É","E"),"Í","I"),"Ó","O"),"Ú","U"),"Ü","U")))</f>
        <v/>
      </c>
      <c r="C122" s="27" t="str">
        <f aca="false">IF(A122="","",TRIM(SUBSTITUTE(SUBSTITUTE(SUBSTITUTE(SUBSTITUTE(SUBSTITUTE(SUBSTITUTE(UPPER('Registro de Comisión'!I122),"Á","A"),"É","E"),"Í","I"),"Ó","O"),"Ú","U"),"Ü","U")))</f>
        <v/>
      </c>
      <c r="D122" s="28" t="str">
        <f aca="false">IF(A122="","",'Registro de Comisión'!J122)</f>
        <v/>
      </c>
      <c r="E122" s="28" t="str">
        <f aca="false">IF(A122="","",'Registro de Comisión'!K122)</f>
        <v/>
      </c>
      <c r="F122" s="29" t="str">
        <f aca="false">IF(A122="","",E122-D122+1)</f>
        <v/>
      </c>
      <c r="G122" s="27" t="str">
        <f aca="false">IF(A122="","",COUNTIFS($A$5:A122,A122))</f>
        <v/>
      </c>
      <c r="H122" s="27" t="str">
        <f aca="false">IF(A122="","",IF(E122=_xlfn.MAXIFS($E$5:$E$304,$A$5:$A$304,A122),1,0))</f>
        <v/>
      </c>
      <c r="I122" s="27" t="str">
        <f aca="false">IF(A122="","",A122&amp;"-"&amp;H122)</f>
        <v/>
      </c>
    </row>
    <row r="123" customFormat="false" ht="15" hidden="false" customHeight="false" outlineLevel="0" collapsed="false">
      <c r="A123" s="27" t="str">
        <f aca="false">IF('Registro de Comisión'!A123="","",'Registro de Comisión'!A123)</f>
        <v/>
      </c>
      <c r="B123" s="27" t="str">
        <f aca="false">IF(A123="","",TRIM(SUBSTITUTE(SUBSTITUTE(SUBSTITUTE(SUBSTITUTE(SUBSTITUTE(SUBSTITUTE(UPPER('Registro de Comisión'!B123),"Á","A"),"É","E"),"Í","I"),"Ó","O"),"Ú","U"),"Ü","U")))</f>
        <v/>
      </c>
      <c r="C123" s="27" t="str">
        <f aca="false">IF(A123="","",TRIM(SUBSTITUTE(SUBSTITUTE(SUBSTITUTE(SUBSTITUTE(SUBSTITUTE(SUBSTITUTE(UPPER('Registro de Comisión'!I123),"Á","A"),"É","E"),"Í","I"),"Ó","O"),"Ú","U"),"Ü","U")))</f>
        <v/>
      </c>
      <c r="D123" s="28" t="str">
        <f aca="false">IF(A123="","",'Registro de Comisión'!J123)</f>
        <v/>
      </c>
      <c r="E123" s="28" t="str">
        <f aca="false">IF(A123="","",'Registro de Comisión'!K123)</f>
        <v/>
      </c>
      <c r="F123" s="29" t="str">
        <f aca="false">IF(A123="","",E123-D123+1)</f>
        <v/>
      </c>
      <c r="G123" s="27" t="str">
        <f aca="false">IF(A123="","",COUNTIFS($A$5:A123,A123))</f>
        <v/>
      </c>
      <c r="H123" s="27" t="str">
        <f aca="false">IF(A123="","",IF(E123=_xlfn.MAXIFS($E$5:$E$304,$A$5:$A$304,A123),1,0))</f>
        <v/>
      </c>
      <c r="I123" s="27" t="str">
        <f aca="false">IF(A123="","",A123&amp;"-"&amp;H123)</f>
        <v/>
      </c>
    </row>
    <row r="124" customFormat="false" ht="15" hidden="false" customHeight="false" outlineLevel="0" collapsed="false">
      <c r="A124" s="27" t="str">
        <f aca="false">IF('Registro de Comisión'!A124="","",'Registro de Comisión'!A124)</f>
        <v/>
      </c>
      <c r="B124" s="27" t="str">
        <f aca="false">IF(A124="","",TRIM(SUBSTITUTE(SUBSTITUTE(SUBSTITUTE(SUBSTITUTE(SUBSTITUTE(SUBSTITUTE(UPPER('Registro de Comisión'!B124),"Á","A"),"É","E"),"Í","I"),"Ó","O"),"Ú","U"),"Ü","U")))</f>
        <v/>
      </c>
      <c r="C124" s="27" t="str">
        <f aca="false">IF(A124="","",TRIM(SUBSTITUTE(SUBSTITUTE(SUBSTITUTE(SUBSTITUTE(SUBSTITUTE(SUBSTITUTE(UPPER('Registro de Comisión'!I124),"Á","A"),"É","E"),"Í","I"),"Ó","O"),"Ú","U"),"Ü","U")))</f>
        <v/>
      </c>
      <c r="D124" s="28" t="str">
        <f aca="false">IF(A124="","",'Registro de Comisión'!J124)</f>
        <v/>
      </c>
      <c r="E124" s="28" t="str">
        <f aca="false">IF(A124="","",'Registro de Comisión'!K124)</f>
        <v/>
      </c>
      <c r="F124" s="29" t="str">
        <f aca="false">IF(A124="","",E124-D124+1)</f>
        <v/>
      </c>
      <c r="G124" s="27" t="str">
        <f aca="false">IF(A124="","",COUNTIFS($A$5:A124,A124))</f>
        <v/>
      </c>
      <c r="H124" s="27" t="str">
        <f aca="false">IF(A124="","",IF(E124=_xlfn.MAXIFS($E$5:$E$304,$A$5:$A$304,A124),1,0))</f>
        <v/>
      </c>
      <c r="I124" s="27" t="str">
        <f aca="false">IF(A124="","",A124&amp;"-"&amp;H124)</f>
        <v/>
      </c>
    </row>
    <row r="125" customFormat="false" ht="15" hidden="false" customHeight="false" outlineLevel="0" collapsed="false">
      <c r="A125" s="27" t="str">
        <f aca="false">IF('Registro de Comisión'!A125="","",'Registro de Comisión'!A125)</f>
        <v/>
      </c>
      <c r="B125" s="27" t="str">
        <f aca="false">IF(A125="","",TRIM(SUBSTITUTE(SUBSTITUTE(SUBSTITUTE(SUBSTITUTE(SUBSTITUTE(SUBSTITUTE(UPPER('Registro de Comisión'!B125),"Á","A"),"É","E"),"Í","I"),"Ó","O"),"Ú","U"),"Ü","U")))</f>
        <v/>
      </c>
      <c r="C125" s="27" t="str">
        <f aca="false">IF(A125="","",TRIM(SUBSTITUTE(SUBSTITUTE(SUBSTITUTE(SUBSTITUTE(SUBSTITUTE(SUBSTITUTE(UPPER('Registro de Comisión'!I125),"Á","A"),"É","E"),"Í","I"),"Ó","O"),"Ú","U"),"Ü","U")))</f>
        <v/>
      </c>
      <c r="D125" s="28" t="str">
        <f aca="false">IF(A125="","",'Registro de Comisión'!J125)</f>
        <v/>
      </c>
      <c r="E125" s="28" t="str">
        <f aca="false">IF(A125="","",'Registro de Comisión'!K125)</f>
        <v/>
      </c>
      <c r="F125" s="29" t="str">
        <f aca="false">IF(A125="","",E125-D125+1)</f>
        <v/>
      </c>
      <c r="G125" s="27" t="str">
        <f aca="false">IF(A125="","",COUNTIFS($A$5:A125,A125))</f>
        <v/>
      </c>
      <c r="H125" s="27" t="str">
        <f aca="false">IF(A125="","",IF(E125=_xlfn.MAXIFS($E$5:$E$304,$A$5:$A$304,A125),1,0))</f>
        <v/>
      </c>
      <c r="I125" s="27" t="str">
        <f aca="false">IF(A125="","",A125&amp;"-"&amp;H125)</f>
        <v/>
      </c>
    </row>
    <row r="126" customFormat="false" ht="15" hidden="false" customHeight="false" outlineLevel="0" collapsed="false">
      <c r="A126" s="27" t="str">
        <f aca="false">IF('Registro de Comisión'!A126="","",'Registro de Comisión'!A126)</f>
        <v/>
      </c>
      <c r="B126" s="27" t="str">
        <f aca="false">IF(A126="","",TRIM(SUBSTITUTE(SUBSTITUTE(SUBSTITUTE(SUBSTITUTE(SUBSTITUTE(SUBSTITUTE(UPPER('Registro de Comisión'!B126),"Á","A"),"É","E"),"Í","I"),"Ó","O"),"Ú","U"),"Ü","U")))</f>
        <v/>
      </c>
      <c r="C126" s="27" t="str">
        <f aca="false">IF(A126="","",TRIM(SUBSTITUTE(SUBSTITUTE(SUBSTITUTE(SUBSTITUTE(SUBSTITUTE(SUBSTITUTE(UPPER('Registro de Comisión'!I126),"Á","A"),"É","E"),"Í","I"),"Ó","O"),"Ú","U"),"Ü","U")))</f>
        <v/>
      </c>
      <c r="D126" s="28" t="str">
        <f aca="false">IF(A126="","",'Registro de Comisión'!J126)</f>
        <v/>
      </c>
      <c r="E126" s="28" t="str">
        <f aca="false">IF(A126="","",'Registro de Comisión'!K126)</f>
        <v/>
      </c>
      <c r="F126" s="29" t="str">
        <f aca="false">IF(A126="","",E126-D126+1)</f>
        <v/>
      </c>
      <c r="G126" s="27" t="str">
        <f aca="false">IF(A126="","",COUNTIFS($A$5:A126,A126))</f>
        <v/>
      </c>
      <c r="H126" s="27" t="str">
        <f aca="false">IF(A126="","",IF(E126=_xlfn.MAXIFS($E$5:$E$304,$A$5:$A$304,A126),1,0))</f>
        <v/>
      </c>
      <c r="I126" s="27" t="str">
        <f aca="false">IF(A126="","",A126&amp;"-"&amp;H126)</f>
        <v/>
      </c>
    </row>
    <row r="127" customFormat="false" ht="15" hidden="false" customHeight="false" outlineLevel="0" collapsed="false">
      <c r="A127" s="27" t="str">
        <f aca="false">IF('Registro de Comisión'!A127="","",'Registro de Comisión'!A127)</f>
        <v/>
      </c>
      <c r="B127" s="27" t="str">
        <f aca="false">IF(A127="","",TRIM(SUBSTITUTE(SUBSTITUTE(SUBSTITUTE(SUBSTITUTE(SUBSTITUTE(SUBSTITUTE(UPPER('Registro de Comisión'!B127),"Á","A"),"É","E"),"Í","I"),"Ó","O"),"Ú","U"),"Ü","U")))</f>
        <v/>
      </c>
      <c r="C127" s="27" t="str">
        <f aca="false">IF(A127="","",TRIM(SUBSTITUTE(SUBSTITUTE(SUBSTITUTE(SUBSTITUTE(SUBSTITUTE(SUBSTITUTE(UPPER('Registro de Comisión'!I127),"Á","A"),"É","E"),"Í","I"),"Ó","O"),"Ú","U"),"Ü","U")))</f>
        <v/>
      </c>
      <c r="D127" s="28" t="str">
        <f aca="false">IF(A127="","",'Registro de Comisión'!J127)</f>
        <v/>
      </c>
      <c r="E127" s="28" t="str">
        <f aca="false">IF(A127="","",'Registro de Comisión'!K127)</f>
        <v/>
      </c>
      <c r="F127" s="29" t="str">
        <f aca="false">IF(A127="","",E127-D127+1)</f>
        <v/>
      </c>
      <c r="G127" s="27" t="str">
        <f aca="false">IF(A127="","",COUNTIFS($A$5:A127,A127))</f>
        <v/>
      </c>
      <c r="H127" s="27" t="str">
        <f aca="false">IF(A127="","",IF(E127=_xlfn.MAXIFS($E$5:$E$304,$A$5:$A$304,A127),1,0))</f>
        <v/>
      </c>
      <c r="I127" s="27" t="str">
        <f aca="false">IF(A127="","",A127&amp;"-"&amp;H127)</f>
        <v/>
      </c>
    </row>
    <row r="128" customFormat="false" ht="15" hidden="false" customHeight="false" outlineLevel="0" collapsed="false">
      <c r="A128" s="27" t="str">
        <f aca="false">IF('Registro de Comisión'!A128="","",'Registro de Comisión'!A128)</f>
        <v/>
      </c>
      <c r="B128" s="27" t="str">
        <f aca="false">IF(A128="","",TRIM(SUBSTITUTE(SUBSTITUTE(SUBSTITUTE(SUBSTITUTE(SUBSTITUTE(SUBSTITUTE(UPPER('Registro de Comisión'!B128),"Á","A"),"É","E"),"Í","I"),"Ó","O"),"Ú","U"),"Ü","U")))</f>
        <v/>
      </c>
      <c r="C128" s="27" t="str">
        <f aca="false">IF(A128="","",TRIM(SUBSTITUTE(SUBSTITUTE(SUBSTITUTE(SUBSTITUTE(SUBSTITUTE(SUBSTITUTE(UPPER('Registro de Comisión'!I128),"Á","A"),"É","E"),"Í","I"),"Ó","O"),"Ú","U"),"Ü","U")))</f>
        <v/>
      </c>
      <c r="D128" s="28" t="str">
        <f aca="false">IF(A128="","",'Registro de Comisión'!J128)</f>
        <v/>
      </c>
      <c r="E128" s="28" t="str">
        <f aca="false">IF(A128="","",'Registro de Comisión'!K128)</f>
        <v/>
      </c>
      <c r="F128" s="29" t="str">
        <f aca="false">IF(A128="","",E128-D128+1)</f>
        <v/>
      </c>
      <c r="G128" s="27" t="str">
        <f aca="false">IF(A128="","",COUNTIFS($A$5:A128,A128))</f>
        <v/>
      </c>
      <c r="H128" s="27" t="str">
        <f aca="false">IF(A128="","",IF(E128=_xlfn.MAXIFS($E$5:$E$304,$A$5:$A$304,A128),1,0))</f>
        <v/>
      </c>
      <c r="I128" s="27" t="str">
        <f aca="false">IF(A128="","",A128&amp;"-"&amp;H128)</f>
        <v/>
      </c>
    </row>
    <row r="129" customFormat="false" ht="15" hidden="false" customHeight="false" outlineLevel="0" collapsed="false">
      <c r="A129" s="27" t="str">
        <f aca="false">IF('Registro de Comisión'!A129="","",'Registro de Comisión'!A129)</f>
        <v/>
      </c>
      <c r="B129" s="27" t="str">
        <f aca="false">IF(A129="","",TRIM(SUBSTITUTE(SUBSTITUTE(SUBSTITUTE(SUBSTITUTE(SUBSTITUTE(SUBSTITUTE(UPPER('Registro de Comisión'!B129),"Á","A"),"É","E"),"Í","I"),"Ó","O"),"Ú","U"),"Ü","U")))</f>
        <v/>
      </c>
      <c r="C129" s="27" t="str">
        <f aca="false">IF(A129="","",TRIM(SUBSTITUTE(SUBSTITUTE(SUBSTITUTE(SUBSTITUTE(SUBSTITUTE(SUBSTITUTE(UPPER('Registro de Comisión'!I129),"Á","A"),"É","E"),"Í","I"),"Ó","O"),"Ú","U"),"Ü","U")))</f>
        <v/>
      </c>
      <c r="D129" s="28" t="str">
        <f aca="false">IF(A129="","",'Registro de Comisión'!J129)</f>
        <v/>
      </c>
      <c r="E129" s="28" t="str">
        <f aca="false">IF(A129="","",'Registro de Comisión'!K129)</f>
        <v/>
      </c>
      <c r="F129" s="29" t="str">
        <f aca="false">IF(A129="","",E129-D129+1)</f>
        <v/>
      </c>
      <c r="G129" s="27" t="str">
        <f aca="false">IF(A129="","",COUNTIFS($A$5:A129,A129))</f>
        <v/>
      </c>
      <c r="H129" s="27" t="str">
        <f aca="false">IF(A129="","",IF(E129=_xlfn.MAXIFS($E$5:$E$304,$A$5:$A$304,A129),1,0))</f>
        <v/>
      </c>
      <c r="I129" s="27" t="str">
        <f aca="false">IF(A129="","",A129&amp;"-"&amp;H129)</f>
        <v/>
      </c>
    </row>
    <row r="130" customFormat="false" ht="15" hidden="false" customHeight="false" outlineLevel="0" collapsed="false">
      <c r="A130" s="27" t="str">
        <f aca="false">IF('Registro de Comisión'!A130="","",'Registro de Comisión'!A130)</f>
        <v/>
      </c>
      <c r="B130" s="27" t="str">
        <f aca="false">IF(A130="","",TRIM(SUBSTITUTE(SUBSTITUTE(SUBSTITUTE(SUBSTITUTE(SUBSTITUTE(SUBSTITUTE(UPPER('Registro de Comisión'!B130),"Á","A"),"É","E"),"Í","I"),"Ó","O"),"Ú","U"),"Ü","U")))</f>
        <v/>
      </c>
      <c r="C130" s="27" t="str">
        <f aca="false">IF(A130="","",TRIM(SUBSTITUTE(SUBSTITUTE(SUBSTITUTE(SUBSTITUTE(SUBSTITUTE(SUBSTITUTE(UPPER('Registro de Comisión'!I130),"Á","A"),"É","E"),"Í","I"),"Ó","O"),"Ú","U"),"Ü","U")))</f>
        <v/>
      </c>
      <c r="D130" s="28" t="str">
        <f aca="false">IF(A130="","",'Registro de Comisión'!J130)</f>
        <v/>
      </c>
      <c r="E130" s="28" t="str">
        <f aca="false">IF(A130="","",'Registro de Comisión'!K130)</f>
        <v/>
      </c>
      <c r="F130" s="29" t="str">
        <f aca="false">IF(A130="","",E130-D130+1)</f>
        <v/>
      </c>
      <c r="G130" s="27" t="str">
        <f aca="false">IF(A130="","",COUNTIFS($A$5:A130,A130))</f>
        <v/>
      </c>
      <c r="H130" s="27" t="str">
        <f aca="false">IF(A130="","",IF(E130=_xlfn.MAXIFS($E$5:$E$304,$A$5:$A$304,A130),1,0))</f>
        <v/>
      </c>
      <c r="I130" s="27" t="str">
        <f aca="false">IF(A130="","",A130&amp;"-"&amp;H130)</f>
        <v/>
      </c>
    </row>
    <row r="131" customFormat="false" ht="15" hidden="false" customHeight="false" outlineLevel="0" collapsed="false">
      <c r="A131" s="27" t="str">
        <f aca="false">IF('Registro de Comisión'!A131="","",'Registro de Comisión'!A131)</f>
        <v/>
      </c>
      <c r="B131" s="27" t="str">
        <f aca="false">IF(A131="","",TRIM(SUBSTITUTE(SUBSTITUTE(SUBSTITUTE(SUBSTITUTE(SUBSTITUTE(SUBSTITUTE(UPPER('Registro de Comisión'!B131),"Á","A"),"É","E"),"Í","I"),"Ó","O"),"Ú","U"),"Ü","U")))</f>
        <v/>
      </c>
      <c r="C131" s="27" t="str">
        <f aca="false">IF(A131="","",TRIM(SUBSTITUTE(SUBSTITUTE(SUBSTITUTE(SUBSTITUTE(SUBSTITUTE(SUBSTITUTE(UPPER('Registro de Comisión'!I131),"Á","A"),"É","E"),"Í","I"),"Ó","O"),"Ú","U"),"Ü","U")))</f>
        <v/>
      </c>
      <c r="D131" s="28" t="str">
        <f aca="false">IF(A131="","",'Registro de Comisión'!J131)</f>
        <v/>
      </c>
      <c r="E131" s="28" t="str">
        <f aca="false">IF(A131="","",'Registro de Comisión'!K131)</f>
        <v/>
      </c>
      <c r="F131" s="29" t="str">
        <f aca="false">IF(A131="","",E131-D131+1)</f>
        <v/>
      </c>
      <c r="G131" s="27" t="str">
        <f aca="false">IF(A131="","",COUNTIFS($A$5:A131,A131))</f>
        <v/>
      </c>
      <c r="H131" s="27" t="str">
        <f aca="false">IF(A131="","",IF(E131=_xlfn.MAXIFS($E$5:$E$304,$A$5:$A$304,A131),1,0))</f>
        <v/>
      </c>
      <c r="I131" s="27" t="str">
        <f aca="false">IF(A131="","",A131&amp;"-"&amp;H131)</f>
        <v/>
      </c>
    </row>
    <row r="132" customFormat="false" ht="15" hidden="false" customHeight="false" outlineLevel="0" collapsed="false">
      <c r="A132" s="27" t="str">
        <f aca="false">IF('Registro de Comisión'!A132="","",'Registro de Comisión'!A132)</f>
        <v/>
      </c>
      <c r="B132" s="27" t="str">
        <f aca="false">IF(A132="","",TRIM(SUBSTITUTE(SUBSTITUTE(SUBSTITUTE(SUBSTITUTE(SUBSTITUTE(SUBSTITUTE(UPPER('Registro de Comisión'!B132),"Á","A"),"É","E"),"Í","I"),"Ó","O"),"Ú","U"),"Ü","U")))</f>
        <v/>
      </c>
      <c r="C132" s="27" t="str">
        <f aca="false">IF(A132="","",TRIM(SUBSTITUTE(SUBSTITUTE(SUBSTITUTE(SUBSTITUTE(SUBSTITUTE(SUBSTITUTE(UPPER('Registro de Comisión'!I132),"Á","A"),"É","E"),"Í","I"),"Ó","O"),"Ú","U"),"Ü","U")))</f>
        <v/>
      </c>
      <c r="D132" s="28" t="str">
        <f aca="false">IF(A132="","",'Registro de Comisión'!J132)</f>
        <v/>
      </c>
      <c r="E132" s="28" t="str">
        <f aca="false">IF(A132="","",'Registro de Comisión'!K132)</f>
        <v/>
      </c>
      <c r="F132" s="29" t="str">
        <f aca="false">IF(A132="","",E132-D132+1)</f>
        <v/>
      </c>
      <c r="G132" s="27" t="str">
        <f aca="false">IF(A132="","",COUNTIFS($A$5:A132,A132))</f>
        <v/>
      </c>
      <c r="H132" s="27" t="str">
        <f aca="false">IF(A132="","",IF(E132=_xlfn.MAXIFS($E$5:$E$304,$A$5:$A$304,A132),1,0))</f>
        <v/>
      </c>
      <c r="I132" s="27" t="str">
        <f aca="false">IF(A132="","",A132&amp;"-"&amp;H132)</f>
        <v/>
      </c>
    </row>
    <row r="133" customFormat="false" ht="15" hidden="false" customHeight="false" outlineLevel="0" collapsed="false">
      <c r="A133" s="27" t="str">
        <f aca="false">IF('Registro de Comisión'!A133="","",'Registro de Comisión'!A133)</f>
        <v/>
      </c>
      <c r="B133" s="27" t="str">
        <f aca="false">IF(A133="","",TRIM(SUBSTITUTE(SUBSTITUTE(SUBSTITUTE(SUBSTITUTE(SUBSTITUTE(SUBSTITUTE(UPPER('Registro de Comisión'!B133),"Á","A"),"É","E"),"Í","I"),"Ó","O"),"Ú","U"),"Ü","U")))</f>
        <v/>
      </c>
      <c r="C133" s="27" t="str">
        <f aca="false">IF(A133="","",TRIM(SUBSTITUTE(SUBSTITUTE(SUBSTITUTE(SUBSTITUTE(SUBSTITUTE(SUBSTITUTE(UPPER('Registro de Comisión'!I133),"Á","A"),"É","E"),"Í","I"),"Ó","O"),"Ú","U"),"Ü","U")))</f>
        <v/>
      </c>
      <c r="D133" s="28" t="str">
        <f aca="false">IF(A133="","",'Registro de Comisión'!J133)</f>
        <v/>
      </c>
      <c r="E133" s="28" t="str">
        <f aca="false">IF(A133="","",'Registro de Comisión'!K133)</f>
        <v/>
      </c>
      <c r="F133" s="29" t="str">
        <f aca="false">IF(A133="","",E133-D133+1)</f>
        <v/>
      </c>
      <c r="G133" s="27" t="str">
        <f aca="false">IF(A133="","",COUNTIFS($A$5:A133,A133))</f>
        <v/>
      </c>
      <c r="H133" s="27" t="str">
        <f aca="false">IF(A133="","",IF(E133=_xlfn.MAXIFS($E$5:$E$304,$A$5:$A$304,A133),1,0))</f>
        <v/>
      </c>
      <c r="I133" s="27" t="str">
        <f aca="false">IF(A133="","",A133&amp;"-"&amp;H133)</f>
        <v/>
      </c>
    </row>
    <row r="134" customFormat="false" ht="15" hidden="false" customHeight="false" outlineLevel="0" collapsed="false">
      <c r="A134" s="27" t="str">
        <f aca="false">IF('Registro de Comisión'!A134="","",'Registro de Comisión'!A134)</f>
        <v/>
      </c>
      <c r="B134" s="27" t="str">
        <f aca="false">IF(A134="","",TRIM(SUBSTITUTE(SUBSTITUTE(SUBSTITUTE(SUBSTITUTE(SUBSTITUTE(SUBSTITUTE(UPPER('Registro de Comisión'!B134),"Á","A"),"É","E"),"Í","I"),"Ó","O"),"Ú","U"),"Ü","U")))</f>
        <v/>
      </c>
      <c r="C134" s="27" t="str">
        <f aca="false">IF(A134="","",TRIM(SUBSTITUTE(SUBSTITUTE(SUBSTITUTE(SUBSTITUTE(SUBSTITUTE(SUBSTITUTE(UPPER('Registro de Comisión'!I134),"Á","A"),"É","E"),"Í","I"),"Ó","O"),"Ú","U"),"Ü","U")))</f>
        <v/>
      </c>
      <c r="D134" s="28" t="str">
        <f aca="false">IF(A134="","",'Registro de Comisión'!J134)</f>
        <v/>
      </c>
      <c r="E134" s="28" t="str">
        <f aca="false">IF(A134="","",'Registro de Comisión'!K134)</f>
        <v/>
      </c>
      <c r="F134" s="29" t="str">
        <f aca="false">IF(A134="","",E134-D134+1)</f>
        <v/>
      </c>
      <c r="G134" s="27" t="str">
        <f aca="false">IF(A134="","",COUNTIFS($A$5:A134,A134))</f>
        <v/>
      </c>
      <c r="H134" s="27" t="str">
        <f aca="false">IF(A134="","",IF(E134=_xlfn.MAXIFS($E$5:$E$304,$A$5:$A$304,A134),1,0))</f>
        <v/>
      </c>
      <c r="I134" s="27" t="str">
        <f aca="false">IF(A134="","",A134&amp;"-"&amp;H134)</f>
        <v/>
      </c>
    </row>
    <row r="135" customFormat="false" ht="15" hidden="false" customHeight="false" outlineLevel="0" collapsed="false">
      <c r="A135" s="27" t="str">
        <f aca="false">IF('Registro de Comisión'!A135="","",'Registro de Comisión'!A135)</f>
        <v/>
      </c>
      <c r="B135" s="27" t="str">
        <f aca="false">IF(A135="","",TRIM(SUBSTITUTE(SUBSTITUTE(SUBSTITUTE(SUBSTITUTE(SUBSTITUTE(SUBSTITUTE(UPPER('Registro de Comisión'!B135),"Á","A"),"É","E"),"Í","I"),"Ó","O"),"Ú","U"),"Ü","U")))</f>
        <v/>
      </c>
      <c r="C135" s="27" t="str">
        <f aca="false">IF(A135="","",TRIM(SUBSTITUTE(SUBSTITUTE(SUBSTITUTE(SUBSTITUTE(SUBSTITUTE(SUBSTITUTE(UPPER('Registro de Comisión'!I135),"Á","A"),"É","E"),"Í","I"),"Ó","O"),"Ú","U"),"Ü","U")))</f>
        <v/>
      </c>
      <c r="D135" s="28" t="str">
        <f aca="false">IF(A135="","",'Registro de Comisión'!J135)</f>
        <v/>
      </c>
      <c r="E135" s="28" t="str">
        <f aca="false">IF(A135="","",'Registro de Comisión'!K135)</f>
        <v/>
      </c>
      <c r="F135" s="29" t="str">
        <f aca="false">IF(A135="","",E135-D135+1)</f>
        <v/>
      </c>
      <c r="G135" s="27" t="str">
        <f aca="false">IF(A135="","",COUNTIFS($A$5:A135,A135))</f>
        <v/>
      </c>
      <c r="H135" s="27" t="str">
        <f aca="false">IF(A135="","",IF(E135=_xlfn.MAXIFS($E$5:$E$304,$A$5:$A$304,A135),1,0))</f>
        <v/>
      </c>
      <c r="I135" s="27" t="str">
        <f aca="false">IF(A135="","",A135&amp;"-"&amp;H135)</f>
        <v/>
      </c>
    </row>
    <row r="136" customFormat="false" ht="15" hidden="false" customHeight="false" outlineLevel="0" collapsed="false">
      <c r="A136" s="27" t="str">
        <f aca="false">IF('Registro de Comisión'!A136="","",'Registro de Comisión'!A136)</f>
        <v/>
      </c>
      <c r="B136" s="27" t="str">
        <f aca="false">IF(A136="","",TRIM(SUBSTITUTE(SUBSTITUTE(SUBSTITUTE(SUBSTITUTE(SUBSTITUTE(SUBSTITUTE(UPPER('Registro de Comisión'!B136),"Á","A"),"É","E"),"Í","I"),"Ó","O"),"Ú","U"),"Ü","U")))</f>
        <v/>
      </c>
      <c r="C136" s="27" t="str">
        <f aca="false">IF(A136="","",TRIM(SUBSTITUTE(SUBSTITUTE(SUBSTITUTE(SUBSTITUTE(SUBSTITUTE(SUBSTITUTE(UPPER('Registro de Comisión'!I136),"Á","A"),"É","E"),"Í","I"),"Ó","O"),"Ú","U"),"Ü","U")))</f>
        <v/>
      </c>
      <c r="D136" s="28" t="str">
        <f aca="false">IF(A136="","",'Registro de Comisión'!J136)</f>
        <v/>
      </c>
      <c r="E136" s="28" t="str">
        <f aca="false">IF(A136="","",'Registro de Comisión'!K136)</f>
        <v/>
      </c>
      <c r="F136" s="29" t="str">
        <f aca="false">IF(A136="","",E136-D136+1)</f>
        <v/>
      </c>
      <c r="G136" s="27" t="str">
        <f aca="false">IF(A136="","",COUNTIFS($A$5:A136,A136))</f>
        <v/>
      </c>
      <c r="H136" s="27" t="str">
        <f aca="false">IF(A136="","",IF(E136=_xlfn.MAXIFS($E$5:$E$304,$A$5:$A$304,A136),1,0))</f>
        <v/>
      </c>
      <c r="I136" s="27" t="str">
        <f aca="false">IF(A136="","",A136&amp;"-"&amp;H136)</f>
        <v/>
      </c>
    </row>
    <row r="137" customFormat="false" ht="15" hidden="false" customHeight="false" outlineLevel="0" collapsed="false">
      <c r="A137" s="27" t="str">
        <f aca="false">IF('Registro de Comisión'!A137="","",'Registro de Comisión'!A137)</f>
        <v/>
      </c>
      <c r="B137" s="27" t="str">
        <f aca="false">IF(A137="","",TRIM(SUBSTITUTE(SUBSTITUTE(SUBSTITUTE(SUBSTITUTE(SUBSTITUTE(SUBSTITUTE(UPPER('Registro de Comisión'!B137),"Á","A"),"É","E"),"Í","I"),"Ó","O"),"Ú","U"),"Ü","U")))</f>
        <v/>
      </c>
      <c r="C137" s="27" t="str">
        <f aca="false">IF(A137="","",TRIM(SUBSTITUTE(SUBSTITUTE(SUBSTITUTE(SUBSTITUTE(SUBSTITUTE(SUBSTITUTE(UPPER('Registro de Comisión'!I137),"Á","A"),"É","E"),"Í","I"),"Ó","O"),"Ú","U"),"Ü","U")))</f>
        <v/>
      </c>
      <c r="D137" s="28" t="str">
        <f aca="false">IF(A137="","",'Registro de Comisión'!J137)</f>
        <v/>
      </c>
      <c r="E137" s="28" t="str">
        <f aca="false">IF(A137="","",'Registro de Comisión'!K137)</f>
        <v/>
      </c>
      <c r="F137" s="29" t="str">
        <f aca="false">IF(A137="","",E137-D137+1)</f>
        <v/>
      </c>
      <c r="G137" s="27" t="str">
        <f aca="false">IF(A137="","",COUNTIFS($A$5:A137,A137))</f>
        <v/>
      </c>
      <c r="H137" s="27" t="str">
        <f aca="false">IF(A137="","",IF(E137=_xlfn.MAXIFS($E$5:$E$304,$A$5:$A$304,A137),1,0))</f>
        <v/>
      </c>
      <c r="I137" s="27" t="str">
        <f aca="false">IF(A137="","",A137&amp;"-"&amp;H137)</f>
        <v/>
      </c>
    </row>
    <row r="138" customFormat="false" ht="15" hidden="false" customHeight="false" outlineLevel="0" collapsed="false">
      <c r="A138" s="27" t="str">
        <f aca="false">IF('Registro de Comisión'!A138="","",'Registro de Comisión'!A138)</f>
        <v/>
      </c>
      <c r="B138" s="27" t="str">
        <f aca="false">IF(A138="","",TRIM(SUBSTITUTE(SUBSTITUTE(SUBSTITUTE(SUBSTITUTE(SUBSTITUTE(SUBSTITUTE(UPPER('Registro de Comisión'!B138),"Á","A"),"É","E"),"Í","I"),"Ó","O"),"Ú","U"),"Ü","U")))</f>
        <v/>
      </c>
      <c r="C138" s="27" t="str">
        <f aca="false">IF(A138="","",TRIM(SUBSTITUTE(SUBSTITUTE(SUBSTITUTE(SUBSTITUTE(SUBSTITUTE(SUBSTITUTE(UPPER('Registro de Comisión'!I138),"Á","A"),"É","E"),"Í","I"),"Ó","O"),"Ú","U"),"Ü","U")))</f>
        <v/>
      </c>
      <c r="D138" s="28" t="str">
        <f aca="false">IF(A138="","",'Registro de Comisión'!J138)</f>
        <v/>
      </c>
      <c r="E138" s="28" t="str">
        <f aca="false">IF(A138="","",'Registro de Comisión'!K138)</f>
        <v/>
      </c>
      <c r="F138" s="29" t="str">
        <f aca="false">IF(A138="","",E138-D138+1)</f>
        <v/>
      </c>
      <c r="G138" s="27" t="str">
        <f aca="false">IF(A138="","",COUNTIFS($A$5:A138,A138))</f>
        <v/>
      </c>
      <c r="H138" s="27" t="str">
        <f aca="false">IF(A138="","",IF(E138=_xlfn.MAXIFS($E$5:$E$304,$A$5:$A$304,A138),1,0))</f>
        <v/>
      </c>
      <c r="I138" s="27" t="str">
        <f aca="false">IF(A138="","",A138&amp;"-"&amp;H138)</f>
        <v/>
      </c>
    </row>
    <row r="139" customFormat="false" ht="15" hidden="false" customHeight="false" outlineLevel="0" collapsed="false">
      <c r="A139" s="27" t="str">
        <f aca="false">IF('Registro de Comisión'!A139="","",'Registro de Comisión'!A139)</f>
        <v/>
      </c>
      <c r="B139" s="27" t="str">
        <f aca="false">IF(A139="","",TRIM(SUBSTITUTE(SUBSTITUTE(SUBSTITUTE(SUBSTITUTE(SUBSTITUTE(SUBSTITUTE(UPPER('Registro de Comisión'!B139),"Á","A"),"É","E"),"Í","I"),"Ó","O"),"Ú","U"),"Ü","U")))</f>
        <v/>
      </c>
      <c r="C139" s="27" t="str">
        <f aca="false">IF(A139="","",TRIM(SUBSTITUTE(SUBSTITUTE(SUBSTITUTE(SUBSTITUTE(SUBSTITUTE(SUBSTITUTE(UPPER('Registro de Comisión'!I139),"Á","A"),"É","E"),"Í","I"),"Ó","O"),"Ú","U"),"Ü","U")))</f>
        <v/>
      </c>
      <c r="D139" s="28" t="str">
        <f aca="false">IF(A139="","",'Registro de Comisión'!J139)</f>
        <v/>
      </c>
      <c r="E139" s="28" t="str">
        <f aca="false">IF(A139="","",'Registro de Comisión'!K139)</f>
        <v/>
      </c>
      <c r="F139" s="29" t="str">
        <f aca="false">IF(A139="","",E139-D139+1)</f>
        <v/>
      </c>
      <c r="G139" s="27" t="str">
        <f aca="false">IF(A139="","",COUNTIFS($A$5:A139,A139))</f>
        <v/>
      </c>
      <c r="H139" s="27" t="str">
        <f aca="false">IF(A139="","",IF(E139=_xlfn.MAXIFS($E$5:$E$304,$A$5:$A$304,A139),1,0))</f>
        <v/>
      </c>
      <c r="I139" s="27" t="str">
        <f aca="false">IF(A139="","",A139&amp;"-"&amp;H139)</f>
        <v/>
      </c>
    </row>
    <row r="140" customFormat="false" ht="15" hidden="false" customHeight="false" outlineLevel="0" collapsed="false">
      <c r="A140" s="27" t="str">
        <f aca="false">IF('Registro de Comisión'!A140="","",'Registro de Comisión'!A140)</f>
        <v/>
      </c>
      <c r="B140" s="27" t="str">
        <f aca="false">IF(A140="","",TRIM(SUBSTITUTE(SUBSTITUTE(SUBSTITUTE(SUBSTITUTE(SUBSTITUTE(SUBSTITUTE(UPPER('Registro de Comisión'!B140),"Á","A"),"É","E"),"Í","I"),"Ó","O"),"Ú","U"),"Ü","U")))</f>
        <v/>
      </c>
      <c r="C140" s="27" t="str">
        <f aca="false">IF(A140="","",TRIM(SUBSTITUTE(SUBSTITUTE(SUBSTITUTE(SUBSTITUTE(SUBSTITUTE(SUBSTITUTE(UPPER('Registro de Comisión'!I140),"Á","A"),"É","E"),"Í","I"),"Ó","O"),"Ú","U"),"Ü","U")))</f>
        <v/>
      </c>
      <c r="D140" s="28" t="str">
        <f aca="false">IF(A140="","",'Registro de Comisión'!J140)</f>
        <v/>
      </c>
      <c r="E140" s="28" t="str">
        <f aca="false">IF(A140="","",'Registro de Comisión'!K140)</f>
        <v/>
      </c>
      <c r="F140" s="29" t="str">
        <f aca="false">IF(A140="","",E140-D140+1)</f>
        <v/>
      </c>
      <c r="G140" s="27" t="str">
        <f aca="false">IF(A140="","",COUNTIFS($A$5:A140,A140))</f>
        <v/>
      </c>
      <c r="H140" s="27" t="str">
        <f aca="false">IF(A140="","",IF(E140=_xlfn.MAXIFS($E$5:$E$304,$A$5:$A$304,A140),1,0))</f>
        <v/>
      </c>
      <c r="I140" s="27" t="str">
        <f aca="false">IF(A140="","",A140&amp;"-"&amp;H140)</f>
        <v/>
      </c>
    </row>
    <row r="141" customFormat="false" ht="15" hidden="false" customHeight="false" outlineLevel="0" collapsed="false">
      <c r="A141" s="27" t="str">
        <f aca="false">IF('Registro de Comisión'!A141="","",'Registro de Comisión'!A141)</f>
        <v/>
      </c>
      <c r="B141" s="27" t="str">
        <f aca="false">IF(A141="","",TRIM(SUBSTITUTE(SUBSTITUTE(SUBSTITUTE(SUBSTITUTE(SUBSTITUTE(SUBSTITUTE(UPPER('Registro de Comisión'!B141),"Á","A"),"É","E"),"Í","I"),"Ó","O"),"Ú","U"),"Ü","U")))</f>
        <v/>
      </c>
      <c r="C141" s="27" t="str">
        <f aca="false">IF(A141="","",TRIM(SUBSTITUTE(SUBSTITUTE(SUBSTITUTE(SUBSTITUTE(SUBSTITUTE(SUBSTITUTE(UPPER('Registro de Comisión'!I141),"Á","A"),"É","E"),"Í","I"),"Ó","O"),"Ú","U"),"Ü","U")))</f>
        <v/>
      </c>
      <c r="D141" s="28" t="str">
        <f aca="false">IF(A141="","",'Registro de Comisión'!J141)</f>
        <v/>
      </c>
      <c r="E141" s="28" t="str">
        <f aca="false">IF(A141="","",'Registro de Comisión'!K141)</f>
        <v/>
      </c>
      <c r="F141" s="29" t="str">
        <f aca="false">IF(A141="","",E141-D141+1)</f>
        <v/>
      </c>
      <c r="G141" s="27" t="str">
        <f aca="false">IF(A141="","",COUNTIFS($A$5:A141,A141))</f>
        <v/>
      </c>
      <c r="H141" s="27" t="str">
        <f aca="false">IF(A141="","",IF(E141=_xlfn.MAXIFS($E$5:$E$304,$A$5:$A$304,A141),1,0))</f>
        <v/>
      </c>
      <c r="I141" s="27" t="str">
        <f aca="false">IF(A141="","",A141&amp;"-"&amp;H141)</f>
        <v/>
      </c>
    </row>
    <row r="142" customFormat="false" ht="15" hidden="false" customHeight="false" outlineLevel="0" collapsed="false">
      <c r="A142" s="27" t="str">
        <f aca="false">IF('Registro de Comisión'!A142="","",'Registro de Comisión'!A142)</f>
        <v/>
      </c>
      <c r="B142" s="27" t="str">
        <f aca="false">IF(A142="","",TRIM(SUBSTITUTE(SUBSTITUTE(SUBSTITUTE(SUBSTITUTE(SUBSTITUTE(SUBSTITUTE(UPPER('Registro de Comisión'!B142),"Á","A"),"É","E"),"Í","I"),"Ó","O"),"Ú","U"),"Ü","U")))</f>
        <v/>
      </c>
      <c r="C142" s="27" t="str">
        <f aca="false">IF(A142="","",TRIM(SUBSTITUTE(SUBSTITUTE(SUBSTITUTE(SUBSTITUTE(SUBSTITUTE(SUBSTITUTE(UPPER('Registro de Comisión'!I142),"Á","A"),"É","E"),"Í","I"),"Ó","O"),"Ú","U"),"Ü","U")))</f>
        <v/>
      </c>
      <c r="D142" s="28" t="str">
        <f aca="false">IF(A142="","",'Registro de Comisión'!J142)</f>
        <v/>
      </c>
      <c r="E142" s="28" t="str">
        <f aca="false">IF(A142="","",'Registro de Comisión'!K142)</f>
        <v/>
      </c>
      <c r="F142" s="29" t="str">
        <f aca="false">IF(A142="","",E142-D142+1)</f>
        <v/>
      </c>
      <c r="G142" s="27" t="str">
        <f aca="false">IF(A142="","",COUNTIFS($A$5:A142,A142))</f>
        <v/>
      </c>
      <c r="H142" s="27" t="str">
        <f aca="false">IF(A142="","",IF(E142=_xlfn.MAXIFS($E$5:$E$304,$A$5:$A$304,A142),1,0))</f>
        <v/>
      </c>
      <c r="I142" s="27" t="str">
        <f aca="false">IF(A142="","",A142&amp;"-"&amp;H142)</f>
        <v/>
      </c>
    </row>
    <row r="143" customFormat="false" ht="15" hidden="false" customHeight="false" outlineLevel="0" collapsed="false">
      <c r="A143" s="27" t="str">
        <f aca="false">IF('Registro de Comisión'!A143="","",'Registro de Comisión'!A143)</f>
        <v/>
      </c>
      <c r="B143" s="27" t="str">
        <f aca="false">IF(A143="","",TRIM(SUBSTITUTE(SUBSTITUTE(SUBSTITUTE(SUBSTITUTE(SUBSTITUTE(SUBSTITUTE(UPPER('Registro de Comisión'!B143),"Á","A"),"É","E"),"Í","I"),"Ó","O"),"Ú","U"),"Ü","U")))</f>
        <v/>
      </c>
      <c r="C143" s="27" t="str">
        <f aca="false">IF(A143="","",TRIM(SUBSTITUTE(SUBSTITUTE(SUBSTITUTE(SUBSTITUTE(SUBSTITUTE(SUBSTITUTE(UPPER('Registro de Comisión'!I143),"Á","A"),"É","E"),"Í","I"),"Ó","O"),"Ú","U"),"Ü","U")))</f>
        <v/>
      </c>
      <c r="D143" s="28" t="str">
        <f aca="false">IF(A143="","",'Registro de Comisión'!J143)</f>
        <v/>
      </c>
      <c r="E143" s="28" t="str">
        <f aca="false">IF(A143="","",'Registro de Comisión'!K143)</f>
        <v/>
      </c>
      <c r="F143" s="29" t="str">
        <f aca="false">IF(A143="","",E143-D143+1)</f>
        <v/>
      </c>
      <c r="G143" s="27" t="str">
        <f aca="false">IF(A143="","",COUNTIFS($A$5:A143,A143))</f>
        <v/>
      </c>
      <c r="H143" s="27" t="str">
        <f aca="false">IF(A143="","",IF(E143=_xlfn.MAXIFS($E$5:$E$304,$A$5:$A$304,A143),1,0))</f>
        <v/>
      </c>
      <c r="I143" s="27" t="str">
        <f aca="false">IF(A143="","",A143&amp;"-"&amp;H143)</f>
        <v/>
      </c>
    </row>
    <row r="144" customFormat="false" ht="15" hidden="false" customHeight="false" outlineLevel="0" collapsed="false">
      <c r="A144" s="27" t="str">
        <f aca="false">IF('Registro de Comisión'!A144="","",'Registro de Comisión'!A144)</f>
        <v/>
      </c>
      <c r="B144" s="27" t="str">
        <f aca="false">IF(A144="","",TRIM(SUBSTITUTE(SUBSTITUTE(SUBSTITUTE(SUBSTITUTE(SUBSTITUTE(SUBSTITUTE(UPPER('Registro de Comisión'!B144),"Á","A"),"É","E"),"Í","I"),"Ó","O"),"Ú","U"),"Ü","U")))</f>
        <v/>
      </c>
      <c r="C144" s="27" t="str">
        <f aca="false">IF(A144="","",TRIM(SUBSTITUTE(SUBSTITUTE(SUBSTITUTE(SUBSTITUTE(SUBSTITUTE(SUBSTITUTE(UPPER('Registro de Comisión'!I144),"Á","A"),"É","E"),"Í","I"),"Ó","O"),"Ú","U"),"Ü","U")))</f>
        <v/>
      </c>
      <c r="D144" s="28" t="str">
        <f aca="false">IF(A144="","",'Registro de Comisión'!J144)</f>
        <v/>
      </c>
      <c r="E144" s="28" t="str">
        <f aca="false">IF(A144="","",'Registro de Comisión'!K144)</f>
        <v/>
      </c>
      <c r="F144" s="29" t="str">
        <f aca="false">IF(A144="","",E144-D144+1)</f>
        <v/>
      </c>
      <c r="G144" s="27" t="str">
        <f aca="false">IF(A144="","",COUNTIFS($A$5:A144,A144))</f>
        <v/>
      </c>
      <c r="H144" s="27" t="str">
        <f aca="false">IF(A144="","",IF(E144=_xlfn.MAXIFS($E$5:$E$304,$A$5:$A$304,A144),1,0))</f>
        <v/>
      </c>
      <c r="I144" s="27" t="str">
        <f aca="false">IF(A144="","",A144&amp;"-"&amp;H144)</f>
        <v/>
      </c>
    </row>
    <row r="145" customFormat="false" ht="15" hidden="false" customHeight="false" outlineLevel="0" collapsed="false">
      <c r="A145" s="27" t="str">
        <f aca="false">IF('Registro de Comisión'!A145="","",'Registro de Comisión'!A145)</f>
        <v/>
      </c>
      <c r="B145" s="27" t="str">
        <f aca="false">IF(A145="","",TRIM(SUBSTITUTE(SUBSTITUTE(SUBSTITUTE(SUBSTITUTE(SUBSTITUTE(SUBSTITUTE(UPPER('Registro de Comisión'!B145),"Á","A"),"É","E"),"Í","I"),"Ó","O"),"Ú","U"),"Ü","U")))</f>
        <v/>
      </c>
      <c r="C145" s="27" t="str">
        <f aca="false">IF(A145="","",TRIM(SUBSTITUTE(SUBSTITUTE(SUBSTITUTE(SUBSTITUTE(SUBSTITUTE(SUBSTITUTE(UPPER('Registro de Comisión'!I145),"Á","A"),"É","E"),"Í","I"),"Ó","O"),"Ú","U"),"Ü","U")))</f>
        <v/>
      </c>
      <c r="D145" s="28" t="str">
        <f aca="false">IF(A145="","",'Registro de Comisión'!J145)</f>
        <v/>
      </c>
      <c r="E145" s="28" t="str">
        <f aca="false">IF(A145="","",'Registro de Comisión'!K145)</f>
        <v/>
      </c>
      <c r="F145" s="29" t="str">
        <f aca="false">IF(A145="","",E145-D145+1)</f>
        <v/>
      </c>
      <c r="G145" s="27" t="str">
        <f aca="false">IF(A145="","",COUNTIFS($A$5:A145,A145))</f>
        <v/>
      </c>
      <c r="H145" s="27" t="str">
        <f aca="false">IF(A145="","",IF(E145=_xlfn.MAXIFS($E$5:$E$304,$A$5:$A$304,A145),1,0))</f>
        <v/>
      </c>
      <c r="I145" s="27" t="str">
        <f aca="false">IF(A145="","",A145&amp;"-"&amp;H145)</f>
        <v/>
      </c>
    </row>
    <row r="146" customFormat="false" ht="15" hidden="false" customHeight="false" outlineLevel="0" collapsed="false">
      <c r="A146" s="27" t="str">
        <f aca="false">IF('Registro de Comisión'!A146="","",'Registro de Comisión'!A146)</f>
        <v/>
      </c>
      <c r="B146" s="27" t="str">
        <f aca="false">IF(A146="","",TRIM(SUBSTITUTE(SUBSTITUTE(SUBSTITUTE(SUBSTITUTE(SUBSTITUTE(SUBSTITUTE(UPPER('Registro de Comisión'!B146),"Á","A"),"É","E"),"Í","I"),"Ó","O"),"Ú","U"),"Ü","U")))</f>
        <v/>
      </c>
      <c r="C146" s="27" t="str">
        <f aca="false">IF(A146="","",TRIM(SUBSTITUTE(SUBSTITUTE(SUBSTITUTE(SUBSTITUTE(SUBSTITUTE(SUBSTITUTE(UPPER('Registro de Comisión'!I146),"Á","A"),"É","E"),"Í","I"),"Ó","O"),"Ú","U"),"Ü","U")))</f>
        <v/>
      </c>
      <c r="D146" s="28" t="str">
        <f aca="false">IF(A146="","",'Registro de Comisión'!J146)</f>
        <v/>
      </c>
      <c r="E146" s="28" t="str">
        <f aca="false">IF(A146="","",'Registro de Comisión'!K146)</f>
        <v/>
      </c>
      <c r="F146" s="29" t="str">
        <f aca="false">IF(A146="","",E146-D146+1)</f>
        <v/>
      </c>
      <c r="G146" s="27" t="str">
        <f aca="false">IF(A146="","",COUNTIFS($A$5:A146,A146))</f>
        <v/>
      </c>
      <c r="H146" s="27" t="str">
        <f aca="false">IF(A146="","",IF(E146=_xlfn.MAXIFS($E$5:$E$304,$A$5:$A$304,A146),1,0))</f>
        <v/>
      </c>
      <c r="I146" s="27" t="str">
        <f aca="false">IF(A146="","",A146&amp;"-"&amp;H146)</f>
        <v/>
      </c>
    </row>
    <row r="147" customFormat="false" ht="15" hidden="false" customHeight="false" outlineLevel="0" collapsed="false">
      <c r="A147" s="27" t="str">
        <f aca="false">IF('Registro de Comisión'!A147="","",'Registro de Comisión'!A147)</f>
        <v/>
      </c>
      <c r="B147" s="27" t="str">
        <f aca="false">IF(A147="","",TRIM(SUBSTITUTE(SUBSTITUTE(SUBSTITUTE(SUBSTITUTE(SUBSTITUTE(SUBSTITUTE(UPPER('Registro de Comisión'!B147),"Á","A"),"É","E"),"Í","I"),"Ó","O"),"Ú","U"),"Ü","U")))</f>
        <v/>
      </c>
      <c r="C147" s="27" t="str">
        <f aca="false">IF(A147="","",TRIM(SUBSTITUTE(SUBSTITUTE(SUBSTITUTE(SUBSTITUTE(SUBSTITUTE(SUBSTITUTE(UPPER('Registro de Comisión'!I147),"Á","A"),"É","E"),"Í","I"),"Ó","O"),"Ú","U"),"Ü","U")))</f>
        <v/>
      </c>
      <c r="D147" s="28" t="str">
        <f aca="false">IF(A147="","",'Registro de Comisión'!J147)</f>
        <v/>
      </c>
      <c r="E147" s="28" t="str">
        <f aca="false">IF(A147="","",'Registro de Comisión'!K147)</f>
        <v/>
      </c>
      <c r="F147" s="29" t="str">
        <f aca="false">IF(A147="","",E147-D147+1)</f>
        <v/>
      </c>
      <c r="G147" s="27" t="str">
        <f aca="false">IF(A147="","",COUNTIFS($A$5:A147,A147))</f>
        <v/>
      </c>
      <c r="H147" s="27" t="str">
        <f aca="false">IF(A147="","",IF(E147=_xlfn.MAXIFS($E$5:$E$304,$A$5:$A$304,A147),1,0))</f>
        <v/>
      </c>
      <c r="I147" s="27" t="str">
        <f aca="false">IF(A147="","",A147&amp;"-"&amp;H147)</f>
        <v/>
      </c>
    </row>
    <row r="148" customFormat="false" ht="15" hidden="false" customHeight="false" outlineLevel="0" collapsed="false">
      <c r="A148" s="27" t="str">
        <f aca="false">IF('Registro de Comisión'!A148="","",'Registro de Comisión'!A148)</f>
        <v/>
      </c>
      <c r="B148" s="27" t="str">
        <f aca="false">IF(A148="","",TRIM(SUBSTITUTE(SUBSTITUTE(SUBSTITUTE(SUBSTITUTE(SUBSTITUTE(SUBSTITUTE(UPPER('Registro de Comisión'!B148),"Á","A"),"É","E"),"Í","I"),"Ó","O"),"Ú","U"),"Ü","U")))</f>
        <v/>
      </c>
      <c r="C148" s="27" t="str">
        <f aca="false">IF(A148="","",TRIM(SUBSTITUTE(SUBSTITUTE(SUBSTITUTE(SUBSTITUTE(SUBSTITUTE(SUBSTITUTE(UPPER('Registro de Comisión'!I148),"Á","A"),"É","E"),"Í","I"),"Ó","O"),"Ú","U"),"Ü","U")))</f>
        <v/>
      </c>
      <c r="D148" s="28" t="str">
        <f aca="false">IF(A148="","",'Registro de Comisión'!J148)</f>
        <v/>
      </c>
      <c r="E148" s="28" t="str">
        <f aca="false">IF(A148="","",'Registro de Comisión'!K148)</f>
        <v/>
      </c>
      <c r="F148" s="29" t="str">
        <f aca="false">IF(A148="","",E148-D148+1)</f>
        <v/>
      </c>
      <c r="G148" s="27" t="str">
        <f aca="false">IF(A148="","",COUNTIFS($A$5:A148,A148))</f>
        <v/>
      </c>
      <c r="H148" s="27" t="str">
        <f aca="false">IF(A148="","",IF(E148=_xlfn.MAXIFS($E$5:$E$304,$A$5:$A$304,A148),1,0))</f>
        <v/>
      </c>
      <c r="I148" s="27" t="str">
        <f aca="false">IF(A148="","",A148&amp;"-"&amp;H148)</f>
        <v/>
      </c>
    </row>
    <row r="149" customFormat="false" ht="15" hidden="false" customHeight="false" outlineLevel="0" collapsed="false">
      <c r="A149" s="27" t="str">
        <f aca="false">IF('Registro de Comisión'!A149="","",'Registro de Comisión'!A149)</f>
        <v/>
      </c>
      <c r="B149" s="27" t="str">
        <f aca="false">IF(A149="","",TRIM(SUBSTITUTE(SUBSTITUTE(SUBSTITUTE(SUBSTITUTE(SUBSTITUTE(SUBSTITUTE(UPPER('Registro de Comisión'!B149),"Á","A"),"É","E"),"Í","I"),"Ó","O"),"Ú","U"),"Ü","U")))</f>
        <v/>
      </c>
      <c r="C149" s="27" t="str">
        <f aca="false">IF(A149="","",TRIM(SUBSTITUTE(SUBSTITUTE(SUBSTITUTE(SUBSTITUTE(SUBSTITUTE(SUBSTITUTE(UPPER('Registro de Comisión'!I149),"Á","A"),"É","E"),"Í","I"),"Ó","O"),"Ú","U"),"Ü","U")))</f>
        <v/>
      </c>
      <c r="D149" s="28" t="str">
        <f aca="false">IF(A149="","",'Registro de Comisión'!J149)</f>
        <v/>
      </c>
      <c r="E149" s="28" t="str">
        <f aca="false">IF(A149="","",'Registro de Comisión'!K149)</f>
        <v/>
      </c>
      <c r="F149" s="29" t="str">
        <f aca="false">IF(A149="","",E149-D149+1)</f>
        <v/>
      </c>
      <c r="G149" s="27" t="str">
        <f aca="false">IF(A149="","",COUNTIFS($A$5:A149,A149))</f>
        <v/>
      </c>
      <c r="H149" s="27" t="str">
        <f aca="false">IF(A149="","",IF(E149=_xlfn.MAXIFS($E$5:$E$304,$A$5:$A$304,A149),1,0))</f>
        <v/>
      </c>
      <c r="I149" s="27" t="str">
        <f aca="false">IF(A149="","",A149&amp;"-"&amp;H149)</f>
        <v/>
      </c>
    </row>
    <row r="150" customFormat="false" ht="15" hidden="false" customHeight="false" outlineLevel="0" collapsed="false">
      <c r="A150" s="27" t="str">
        <f aca="false">IF('Registro de Comisión'!A150="","",'Registro de Comisión'!A150)</f>
        <v/>
      </c>
      <c r="B150" s="27" t="str">
        <f aca="false">IF(A150="","",TRIM(SUBSTITUTE(SUBSTITUTE(SUBSTITUTE(SUBSTITUTE(SUBSTITUTE(SUBSTITUTE(UPPER('Registro de Comisión'!B150),"Á","A"),"É","E"),"Í","I"),"Ó","O"),"Ú","U"),"Ü","U")))</f>
        <v/>
      </c>
      <c r="C150" s="27" t="str">
        <f aca="false">IF(A150="","",TRIM(SUBSTITUTE(SUBSTITUTE(SUBSTITUTE(SUBSTITUTE(SUBSTITUTE(SUBSTITUTE(UPPER('Registro de Comisión'!I150),"Á","A"),"É","E"),"Í","I"),"Ó","O"),"Ú","U"),"Ü","U")))</f>
        <v/>
      </c>
      <c r="D150" s="28" t="str">
        <f aca="false">IF(A150="","",'Registro de Comisión'!J150)</f>
        <v/>
      </c>
      <c r="E150" s="28" t="str">
        <f aca="false">IF(A150="","",'Registro de Comisión'!K150)</f>
        <v/>
      </c>
      <c r="F150" s="29" t="str">
        <f aca="false">IF(A150="","",E150-D150+1)</f>
        <v/>
      </c>
      <c r="G150" s="27" t="str">
        <f aca="false">IF(A150="","",COUNTIFS($A$5:A150,A150))</f>
        <v/>
      </c>
      <c r="H150" s="27" t="str">
        <f aca="false">IF(A150="","",IF(E150=_xlfn.MAXIFS($E$5:$E$304,$A$5:$A$304,A150),1,0))</f>
        <v/>
      </c>
      <c r="I150" s="27" t="str">
        <f aca="false">IF(A150="","",A150&amp;"-"&amp;H150)</f>
        <v/>
      </c>
    </row>
    <row r="151" customFormat="false" ht="15" hidden="false" customHeight="false" outlineLevel="0" collapsed="false">
      <c r="A151" s="27" t="str">
        <f aca="false">IF('Registro de Comisión'!A151="","",'Registro de Comisión'!A151)</f>
        <v/>
      </c>
      <c r="B151" s="27" t="str">
        <f aca="false">IF(A151="","",TRIM(SUBSTITUTE(SUBSTITUTE(SUBSTITUTE(SUBSTITUTE(SUBSTITUTE(SUBSTITUTE(UPPER('Registro de Comisión'!B151),"Á","A"),"É","E"),"Í","I"),"Ó","O"),"Ú","U"),"Ü","U")))</f>
        <v/>
      </c>
      <c r="C151" s="27" t="str">
        <f aca="false">IF(A151="","",TRIM(SUBSTITUTE(SUBSTITUTE(SUBSTITUTE(SUBSTITUTE(SUBSTITUTE(SUBSTITUTE(UPPER('Registro de Comisión'!I151),"Á","A"),"É","E"),"Í","I"),"Ó","O"),"Ú","U"),"Ü","U")))</f>
        <v/>
      </c>
      <c r="D151" s="28" t="str">
        <f aca="false">IF(A151="","",'Registro de Comisión'!J151)</f>
        <v/>
      </c>
      <c r="E151" s="28" t="str">
        <f aca="false">IF(A151="","",'Registro de Comisión'!K151)</f>
        <v/>
      </c>
      <c r="F151" s="29" t="str">
        <f aca="false">IF(A151="","",E151-D151+1)</f>
        <v/>
      </c>
      <c r="G151" s="27" t="str">
        <f aca="false">IF(A151="","",COUNTIFS($A$5:A151,A151))</f>
        <v/>
      </c>
      <c r="H151" s="27" t="str">
        <f aca="false">IF(A151="","",IF(E151=_xlfn.MAXIFS($E$5:$E$304,$A$5:$A$304,A151),1,0))</f>
        <v/>
      </c>
      <c r="I151" s="27" t="str">
        <f aca="false">IF(A151="","",A151&amp;"-"&amp;H151)</f>
        <v/>
      </c>
    </row>
    <row r="152" customFormat="false" ht="15" hidden="false" customHeight="false" outlineLevel="0" collapsed="false">
      <c r="A152" s="27" t="str">
        <f aca="false">IF('Registro de Comisión'!A152="","",'Registro de Comisión'!A152)</f>
        <v/>
      </c>
      <c r="B152" s="27" t="str">
        <f aca="false">IF(A152="","",TRIM(SUBSTITUTE(SUBSTITUTE(SUBSTITUTE(SUBSTITUTE(SUBSTITUTE(SUBSTITUTE(UPPER('Registro de Comisión'!B152),"Á","A"),"É","E"),"Í","I"),"Ó","O"),"Ú","U"),"Ü","U")))</f>
        <v/>
      </c>
      <c r="C152" s="27" t="str">
        <f aca="false">IF(A152="","",TRIM(SUBSTITUTE(SUBSTITUTE(SUBSTITUTE(SUBSTITUTE(SUBSTITUTE(SUBSTITUTE(UPPER('Registro de Comisión'!I152),"Á","A"),"É","E"),"Í","I"),"Ó","O"),"Ú","U"),"Ü","U")))</f>
        <v/>
      </c>
      <c r="D152" s="28" t="str">
        <f aca="false">IF(A152="","",'Registro de Comisión'!J152)</f>
        <v/>
      </c>
      <c r="E152" s="28" t="str">
        <f aca="false">IF(A152="","",'Registro de Comisión'!K152)</f>
        <v/>
      </c>
      <c r="F152" s="29" t="str">
        <f aca="false">IF(A152="","",E152-D152+1)</f>
        <v/>
      </c>
      <c r="G152" s="27" t="str">
        <f aca="false">IF(A152="","",COUNTIFS($A$5:A152,A152))</f>
        <v/>
      </c>
      <c r="H152" s="27" t="str">
        <f aca="false">IF(A152="","",IF(E152=_xlfn.MAXIFS($E$5:$E$304,$A$5:$A$304,A152),1,0))</f>
        <v/>
      </c>
      <c r="I152" s="27" t="str">
        <f aca="false">IF(A152="","",A152&amp;"-"&amp;H152)</f>
        <v/>
      </c>
    </row>
    <row r="153" customFormat="false" ht="15" hidden="false" customHeight="false" outlineLevel="0" collapsed="false">
      <c r="A153" s="27" t="str">
        <f aca="false">IF('Registro de Comisión'!A153="","",'Registro de Comisión'!A153)</f>
        <v/>
      </c>
      <c r="B153" s="27" t="str">
        <f aca="false">IF(A153="","",TRIM(SUBSTITUTE(SUBSTITUTE(SUBSTITUTE(SUBSTITUTE(SUBSTITUTE(SUBSTITUTE(UPPER('Registro de Comisión'!B153),"Á","A"),"É","E"),"Í","I"),"Ó","O"),"Ú","U"),"Ü","U")))</f>
        <v/>
      </c>
      <c r="C153" s="27" t="str">
        <f aca="false">IF(A153="","",TRIM(SUBSTITUTE(SUBSTITUTE(SUBSTITUTE(SUBSTITUTE(SUBSTITUTE(SUBSTITUTE(UPPER('Registro de Comisión'!I153),"Á","A"),"É","E"),"Í","I"),"Ó","O"),"Ú","U"),"Ü","U")))</f>
        <v/>
      </c>
      <c r="D153" s="28" t="str">
        <f aca="false">IF(A153="","",'Registro de Comisión'!J153)</f>
        <v/>
      </c>
      <c r="E153" s="28" t="str">
        <f aca="false">IF(A153="","",'Registro de Comisión'!K153)</f>
        <v/>
      </c>
      <c r="F153" s="29" t="str">
        <f aca="false">IF(A153="","",E153-D153+1)</f>
        <v/>
      </c>
      <c r="G153" s="27" t="str">
        <f aca="false">IF(A153="","",COUNTIFS($A$5:A153,A153))</f>
        <v/>
      </c>
      <c r="H153" s="27" t="str">
        <f aca="false">IF(A153="","",IF(E153=_xlfn.MAXIFS($E$5:$E$304,$A$5:$A$304,A153),1,0))</f>
        <v/>
      </c>
      <c r="I153" s="27" t="str">
        <f aca="false">IF(A153="","",A153&amp;"-"&amp;H153)</f>
        <v/>
      </c>
    </row>
    <row r="154" customFormat="false" ht="15" hidden="false" customHeight="false" outlineLevel="0" collapsed="false">
      <c r="A154" s="27" t="str">
        <f aca="false">IF('Registro de Comisión'!A154="","",'Registro de Comisión'!A154)</f>
        <v/>
      </c>
      <c r="B154" s="27" t="str">
        <f aca="false">IF(A154="","",TRIM(SUBSTITUTE(SUBSTITUTE(SUBSTITUTE(SUBSTITUTE(SUBSTITUTE(SUBSTITUTE(UPPER('Registro de Comisión'!B154),"Á","A"),"É","E"),"Í","I"),"Ó","O"),"Ú","U"),"Ü","U")))</f>
        <v/>
      </c>
      <c r="C154" s="27" t="str">
        <f aca="false">IF(A154="","",TRIM(SUBSTITUTE(SUBSTITUTE(SUBSTITUTE(SUBSTITUTE(SUBSTITUTE(SUBSTITUTE(UPPER('Registro de Comisión'!I154),"Á","A"),"É","E"),"Í","I"),"Ó","O"),"Ú","U"),"Ü","U")))</f>
        <v/>
      </c>
      <c r="D154" s="28" t="str">
        <f aca="false">IF(A154="","",'Registro de Comisión'!J154)</f>
        <v/>
      </c>
      <c r="E154" s="28" t="str">
        <f aca="false">IF(A154="","",'Registro de Comisión'!K154)</f>
        <v/>
      </c>
      <c r="F154" s="29" t="str">
        <f aca="false">IF(A154="","",E154-D154+1)</f>
        <v/>
      </c>
      <c r="G154" s="27" t="str">
        <f aca="false">IF(A154="","",COUNTIFS($A$5:A154,A154))</f>
        <v/>
      </c>
      <c r="H154" s="27" t="str">
        <f aca="false">IF(A154="","",IF(E154=_xlfn.MAXIFS($E$5:$E$304,$A$5:$A$304,A154),1,0))</f>
        <v/>
      </c>
      <c r="I154" s="27" t="str">
        <f aca="false">IF(A154="","",A154&amp;"-"&amp;H154)</f>
        <v/>
      </c>
    </row>
    <row r="155" customFormat="false" ht="15" hidden="false" customHeight="false" outlineLevel="0" collapsed="false">
      <c r="A155" s="27" t="str">
        <f aca="false">IF('Registro de Comisión'!A155="","",'Registro de Comisión'!A155)</f>
        <v/>
      </c>
      <c r="B155" s="27" t="str">
        <f aca="false">IF(A155="","",TRIM(SUBSTITUTE(SUBSTITUTE(SUBSTITUTE(SUBSTITUTE(SUBSTITUTE(SUBSTITUTE(UPPER('Registro de Comisión'!B155),"Á","A"),"É","E"),"Í","I"),"Ó","O"),"Ú","U"),"Ü","U")))</f>
        <v/>
      </c>
      <c r="C155" s="27" t="str">
        <f aca="false">IF(A155="","",TRIM(SUBSTITUTE(SUBSTITUTE(SUBSTITUTE(SUBSTITUTE(SUBSTITUTE(SUBSTITUTE(UPPER('Registro de Comisión'!I155),"Á","A"),"É","E"),"Í","I"),"Ó","O"),"Ú","U"),"Ü","U")))</f>
        <v/>
      </c>
      <c r="D155" s="28" t="str">
        <f aca="false">IF(A155="","",'Registro de Comisión'!J155)</f>
        <v/>
      </c>
      <c r="E155" s="28" t="str">
        <f aca="false">IF(A155="","",'Registro de Comisión'!K155)</f>
        <v/>
      </c>
      <c r="F155" s="29" t="str">
        <f aca="false">IF(A155="","",E155-D155+1)</f>
        <v/>
      </c>
      <c r="G155" s="27" t="str">
        <f aca="false">IF(A155="","",COUNTIFS($A$5:A155,A155))</f>
        <v/>
      </c>
      <c r="H155" s="27" t="str">
        <f aca="false">IF(A155="","",IF(E155=_xlfn.MAXIFS($E$5:$E$304,$A$5:$A$304,A155),1,0))</f>
        <v/>
      </c>
      <c r="I155" s="27" t="str">
        <f aca="false">IF(A155="","",A155&amp;"-"&amp;H155)</f>
        <v/>
      </c>
    </row>
    <row r="156" customFormat="false" ht="15" hidden="false" customHeight="false" outlineLevel="0" collapsed="false">
      <c r="A156" s="27" t="str">
        <f aca="false">IF('Registro de Comisión'!A156="","",'Registro de Comisión'!A156)</f>
        <v/>
      </c>
      <c r="B156" s="27" t="str">
        <f aca="false">IF(A156="","",TRIM(SUBSTITUTE(SUBSTITUTE(SUBSTITUTE(SUBSTITUTE(SUBSTITUTE(SUBSTITUTE(UPPER('Registro de Comisión'!B156),"Á","A"),"É","E"),"Í","I"),"Ó","O"),"Ú","U"),"Ü","U")))</f>
        <v/>
      </c>
      <c r="C156" s="27" t="str">
        <f aca="false">IF(A156="","",TRIM(SUBSTITUTE(SUBSTITUTE(SUBSTITUTE(SUBSTITUTE(SUBSTITUTE(SUBSTITUTE(UPPER('Registro de Comisión'!I156),"Á","A"),"É","E"),"Í","I"),"Ó","O"),"Ú","U"),"Ü","U")))</f>
        <v/>
      </c>
      <c r="D156" s="28" t="str">
        <f aca="false">IF(A156="","",'Registro de Comisión'!J156)</f>
        <v/>
      </c>
      <c r="E156" s="28" t="str">
        <f aca="false">IF(A156="","",'Registro de Comisión'!K156)</f>
        <v/>
      </c>
      <c r="F156" s="29" t="str">
        <f aca="false">IF(A156="","",E156-D156+1)</f>
        <v/>
      </c>
      <c r="G156" s="27" t="str">
        <f aca="false">IF(A156="","",COUNTIFS($A$5:A156,A156))</f>
        <v/>
      </c>
      <c r="H156" s="27" t="str">
        <f aca="false">IF(A156="","",IF(E156=_xlfn.MAXIFS($E$5:$E$304,$A$5:$A$304,A156),1,0))</f>
        <v/>
      </c>
      <c r="I156" s="27" t="str">
        <f aca="false">IF(A156="","",A156&amp;"-"&amp;H156)</f>
        <v/>
      </c>
    </row>
    <row r="157" customFormat="false" ht="15" hidden="false" customHeight="false" outlineLevel="0" collapsed="false">
      <c r="A157" s="27" t="str">
        <f aca="false">IF('Registro de Comisión'!A157="","",'Registro de Comisión'!A157)</f>
        <v/>
      </c>
      <c r="B157" s="27" t="str">
        <f aca="false">IF(A157="","",TRIM(SUBSTITUTE(SUBSTITUTE(SUBSTITUTE(SUBSTITUTE(SUBSTITUTE(SUBSTITUTE(UPPER('Registro de Comisión'!B157),"Á","A"),"É","E"),"Í","I"),"Ó","O"),"Ú","U"),"Ü","U")))</f>
        <v/>
      </c>
      <c r="C157" s="27" t="str">
        <f aca="false">IF(A157="","",TRIM(SUBSTITUTE(SUBSTITUTE(SUBSTITUTE(SUBSTITUTE(SUBSTITUTE(SUBSTITUTE(UPPER('Registro de Comisión'!I157),"Á","A"),"É","E"),"Í","I"),"Ó","O"),"Ú","U"),"Ü","U")))</f>
        <v/>
      </c>
      <c r="D157" s="28" t="str">
        <f aca="false">IF(A157="","",'Registro de Comisión'!J157)</f>
        <v/>
      </c>
      <c r="E157" s="28" t="str">
        <f aca="false">IF(A157="","",'Registro de Comisión'!K157)</f>
        <v/>
      </c>
      <c r="F157" s="29" t="str">
        <f aca="false">IF(A157="","",E157-D157+1)</f>
        <v/>
      </c>
      <c r="G157" s="27" t="str">
        <f aca="false">IF(A157="","",COUNTIFS($A$5:A157,A157))</f>
        <v/>
      </c>
      <c r="H157" s="27" t="str">
        <f aca="false">IF(A157="","",IF(E157=_xlfn.MAXIFS($E$5:$E$304,$A$5:$A$304,A157),1,0))</f>
        <v/>
      </c>
      <c r="I157" s="27" t="str">
        <f aca="false">IF(A157="","",A157&amp;"-"&amp;H157)</f>
        <v/>
      </c>
    </row>
    <row r="158" customFormat="false" ht="15" hidden="false" customHeight="false" outlineLevel="0" collapsed="false">
      <c r="A158" s="27" t="str">
        <f aca="false">IF('Registro de Comisión'!A158="","",'Registro de Comisión'!A158)</f>
        <v/>
      </c>
      <c r="B158" s="27" t="str">
        <f aca="false">IF(A158="","",TRIM(SUBSTITUTE(SUBSTITUTE(SUBSTITUTE(SUBSTITUTE(SUBSTITUTE(SUBSTITUTE(UPPER('Registro de Comisión'!B158),"Á","A"),"É","E"),"Í","I"),"Ó","O"),"Ú","U"),"Ü","U")))</f>
        <v/>
      </c>
      <c r="C158" s="27" t="str">
        <f aca="false">IF(A158="","",TRIM(SUBSTITUTE(SUBSTITUTE(SUBSTITUTE(SUBSTITUTE(SUBSTITUTE(SUBSTITUTE(UPPER('Registro de Comisión'!I158),"Á","A"),"É","E"),"Í","I"),"Ó","O"),"Ú","U"),"Ü","U")))</f>
        <v/>
      </c>
      <c r="D158" s="28" t="str">
        <f aca="false">IF(A158="","",'Registro de Comisión'!J158)</f>
        <v/>
      </c>
      <c r="E158" s="28" t="str">
        <f aca="false">IF(A158="","",'Registro de Comisión'!K158)</f>
        <v/>
      </c>
      <c r="F158" s="29" t="str">
        <f aca="false">IF(A158="","",E158-D158+1)</f>
        <v/>
      </c>
      <c r="G158" s="27" t="str">
        <f aca="false">IF(A158="","",COUNTIFS($A$5:A158,A158))</f>
        <v/>
      </c>
      <c r="H158" s="27" t="str">
        <f aca="false">IF(A158="","",IF(E158=_xlfn.MAXIFS($E$5:$E$304,$A$5:$A$304,A158),1,0))</f>
        <v/>
      </c>
      <c r="I158" s="27" t="str">
        <f aca="false">IF(A158="","",A158&amp;"-"&amp;H158)</f>
        <v/>
      </c>
    </row>
    <row r="159" customFormat="false" ht="15" hidden="false" customHeight="false" outlineLevel="0" collapsed="false">
      <c r="A159" s="27" t="str">
        <f aca="false">IF('Registro de Comisión'!A159="","",'Registro de Comisión'!A159)</f>
        <v/>
      </c>
      <c r="B159" s="27" t="str">
        <f aca="false">IF(A159="","",TRIM(SUBSTITUTE(SUBSTITUTE(SUBSTITUTE(SUBSTITUTE(SUBSTITUTE(SUBSTITUTE(UPPER('Registro de Comisión'!B159),"Á","A"),"É","E"),"Í","I"),"Ó","O"),"Ú","U"),"Ü","U")))</f>
        <v/>
      </c>
      <c r="C159" s="27" t="str">
        <f aca="false">IF(A159="","",TRIM(SUBSTITUTE(SUBSTITUTE(SUBSTITUTE(SUBSTITUTE(SUBSTITUTE(SUBSTITUTE(UPPER('Registro de Comisión'!I159),"Á","A"),"É","E"),"Í","I"),"Ó","O"),"Ú","U"),"Ü","U")))</f>
        <v/>
      </c>
      <c r="D159" s="28" t="str">
        <f aca="false">IF(A159="","",'Registro de Comisión'!J159)</f>
        <v/>
      </c>
      <c r="E159" s="28" t="str">
        <f aca="false">IF(A159="","",'Registro de Comisión'!K159)</f>
        <v/>
      </c>
      <c r="F159" s="29" t="str">
        <f aca="false">IF(A159="","",E159-D159+1)</f>
        <v/>
      </c>
      <c r="G159" s="27" t="str">
        <f aca="false">IF(A159="","",COUNTIFS($A$5:A159,A159))</f>
        <v/>
      </c>
      <c r="H159" s="27" t="str">
        <f aca="false">IF(A159="","",IF(E159=_xlfn.MAXIFS($E$5:$E$304,$A$5:$A$304,A159),1,0))</f>
        <v/>
      </c>
      <c r="I159" s="27" t="str">
        <f aca="false">IF(A159="","",A159&amp;"-"&amp;H159)</f>
        <v/>
      </c>
    </row>
    <row r="160" customFormat="false" ht="15" hidden="false" customHeight="false" outlineLevel="0" collapsed="false">
      <c r="A160" s="27" t="str">
        <f aca="false">IF('Registro de Comisión'!A160="","",'Registro de Comisión'!A160)</f>
        <v/>
      </c>
      <c r="B160" s="27" t="str">
        <f aca="false">IF(A160="","",TRIM(SUBSTITUTE(SUBSTITUTE(SUBSTITUTE(SUBSTITUTE(SUBSTITUTE(SUBSTITUTE(UPPER('Registro de Comisión'!B160),"Á","A"),"É","E"),"Í","I"),"Ó","O"),"Ú","U"),"Ü","U")))</f>
        <v/>
      </c>
      <c r="C160" s="27" t="str">
        <f aca="false">IF(A160="","",TRIM(SUBSTITUTE(SUBSTITUTE(SUBSTITUTE(SUBSTITUTE(SUBSTITUTE(SUBSTITUTE(UPPER('Registro de Comisión'!I160),"Á","A"),"É","E"),"Í","I"),"Ó","O"),"Ú","U"),"Ü","U")))</f>
        <v/>
      </c>
      <c r="D160" s="28" t="str">
        <f aca="false">IF(A160="","",'Registro de Comisión'!J160)</f>
        <v/>
      </c>
      <c r="E160" s="28" t="str">
        <f aca="false">IF(A160="","",'Registro de Comisión'!K160)</f>
        <v/>
      </c>
      <c r="F160" s="29" t="str">
        <f aca="false">IF(A160="","",E160-D160+1)</f>
        <v/>
      </c>
      <c r="G160" s="27" t="str">
        <f aca="false">IF(A160="","",COUNTIFS($A$5:A160,A160))</f>
        <v/>
      </c>
      <c r="H160" s="27" t="str">
        <f aca="false">IF(A160="","",IF(E160=_xlfn.MAXIFS($E$5:$E$304,$A$5:$A$304,A160),1,0))</f>
        <v/>
      </c>
      <c r="I160" s="27" t="str">
        <f aca="false">IF(A160="","",A160&amp;"-"&amp;H160)</f>
        <v/>
      </c>
    </row>
    <row r="161" customFormat="false" ht="15" hidden="false" customHeight="false" outlineLevel="0" collapsed="false">
      <c r="A161" s="27" t="str">
        <f aca="false">IF('Registro de Comisión'!A161="","",'Registro de Comisión'!A161)</f>
        <v/>
      </c>
      <c r="B161" s="27" t="str">
        <f aca="false">IF(A161="","",TRIM(SUBSTITUTE(SUBSTITUTE(SUBSTITUTE(SUBSTITUTE(SUBSTITUTE(SUBSTITUTE(UPPER('Registro de Comisión'!B161),"Á","A"),"É","E"),"Í","I"),"Ó","O"),"Ú","U"),"Ü","U")))</f>
        <v/>
      </c>
      <c r="C161" s="27" t="str">
        <f aca="false">IF(A161="","",TRIM(SUBSTITUTE(SUBSTITUTE(SUBSTITUTE(SUBSTITUTE(SUBSTITUTE(SUBSTITUTE(UPPER('Registro de Comisión'!I161),"Á","A"),"É","E"),"Í","I"),"Ó","O"),"Ú","U"),"Ü","U")))</f>
        <v/>
      </c>
      <c r="D161" s="28" t="str">
        <f aca="false">IF(A161="","",'Registro de Comisión'!J161)</f>
        <v/>
      </c>
      <c r="E161" s="28" t="str">
        <f aca="false">IF(A161="","",'Registro de Comisión'!K161)</f>
        <v/>
      </c>
      <c r="F161" s="29" t="str">
        <f aca="false">IF(A161="","",E161-D161+1)</f>
        <v/>
      </c>
      <c r="G161" s="27" t="str">
        <f aca="false">IF(A161="","",COUNTIFS($A$5:A161,A161))</f>
        <v/>
      </c>
      <c r="H161" s="27" t="str">
        <f aca="false">IF(A161="","",IF(E161=_xlfn.MAXIFS($E$5:$E$304,$A$5:$A$304,A161),1,0))</f>
        <v/>
      </c>
      <c r="I161" s="27" t="str">
        <f aca="false">IF(A161="","",A161&amp;"-"&amp;H161)</f>
        <v/>
      </c>
    </row>
    <row r="162" customFormat="false" ht="15" hidden="false" customHeight="false" outlineLevel="0" collapsed="false">
      <c r="A162" s="27" t="str">
        <f aca="false">IF('Registro de Comisión'!A162="","",'Registro de Comisión'!A162)</f>
        <v/>
      </c>
      <c r="B162" s="27" t="str">
        <f aca="false">IF(A162="","",TRIM(SUBSTITUTE(SUBSTITUTE(SUBSTITUTE(SUBSTITUTE(SUBSTITUTE(SUBSTITUTE(UPPER('Registro de Comisión'!B162),"Á","A"),"É","E"),"Í","I"),"Ó","O"),"Ú","U"),"Ü","U")))</f>
        <v/>
      </c>
      <c r="C162" s="27" t="str">
        <f aca="false">IF(A162="","",TRIM(SUBSTITUTE(SUBSTITUTE(SUBSTITUTE(SUBSTITUTE(SUBSTITUTE(SUBSTITUTE(UPPER('Registro de Comisión'!I162),"Á","A"),"É","E"),"Í","I"),"Ó","O"),"Ú","U"),"Ü","U")))</f>
        <v/>
      </c>
      <c r="D162" s="28" t="str">
        <f aca="false">IF(A162="","",'Registro de Comisión'!J162)</f>
        <v/>
      </c>
      <c r="E162" s="28" t="str">
        <f aca="false">IF(A162="","",'Registro de Comisión'!K162)</f>
        <v/>
      </c>
      <c r="F162" s="29" t="str">
        <f aca="false">IF(A162="","",E162-D162+1)</f>
        <v/>
      </c>
      <c r="G162" s="27" t="str">
        <f aca="false">IF(A162="","",COUNTIFS($A$5:A162,A162))</f>
        <v/>
      </c>
      <c r="H162" s="27" t="str">
        <f aca="false">IF(A162="","",IF(E162=_xlfn.MAXIFS($E$5:$E$304,$A$5:$A$304,A162),1,0))</f>
        <v/>
      </c>
      <c r="I162" s="27" t="str">
        <f aca="false">IF(A162="","",A162&amp;"-"&amp;H162)</f>
        <v/>
      </c>
    </row>
    <row r="163" customFormat="false" ht="15" hidden="false" customHeight="false" outlineLevel="0" collapsed="false">
      <c r="A163" s="27" t="str">
        <f aca="false">IF('Registro de Comisión'!A163="","",'Registro de Comisión'!A163)</f>
        <v/>
      </c>
      <c r="B163" s="27" t="str">
        <f aca="false">IF(A163="","",TRIM(SUBSTITUTE(SUBSTITUTE(SUBSTITUTE(SUBSTITUTE(SUBSTITUTE(SUBSTITUTE(UPPER('Registro de Comisión'!B163),"Á","A"),"É","E"),"Í","I"),"Ó","O"),"Ú","U"),"Ü","U")))</f>
        <v/>
      </c>
      <c r="C163" s="27" t="str">
        <f aca="false">IF(A163="","",TRIM(SUBSTITUTE(SUBSTITUTE(SUBSTITUTE(SUBSTITUTE(SUBSTITUTE(SUBSTITUTE(UPPER('Registro de Comisión'!I163),"Á","A"),"É","E"),"Í","I"),"Ó","O"),"Ú","U"),"Ü","U")))</f>
        <v/>
      </c>
      <c r="D163" s="28" t="str">
        <f aca="false">IF(A163="","",'Registro de Comisión'!J163)</f>
        <v/>
      </c>
      <c r="E163" s="28" t="str">
        <f aca="false">IF(A163="","",'Registro de Comisión'!K163)</f>
        <v/>
      </c>
      <c r="F163" s="29" t="str">
        <f aca="false">IF(A163="","",E163-D163+1)</f>
        <v/>
      </c>
      <c r="G163" s="27" t="str">
        <f aca="false">IF(A163="","",COUNTIFS($A$5:A163,A163))</f>
        <v/>
      </c>
      <c r="H163" s="27" t="str">
        <f aca="false">IF(A163="","",IF(E163=_xlfn.MAXIFS($E$5:$E$304,$A$5:$A$304,A163),1,0))</f>
        <v/>
      </c>
      <c r="I163" s="27" t="str">
        <f aca="false">IF(A163="","",A163&amp;"-"&amp;H163)</f>
        <v/>
      </c>
    </row>
    <row r="164" customFormat="false" ht="15" hidden="false" customHeight="false" outlineLevel="0" collapsed="false">
      <c r="A164" s="27" t="str">
        <f aca="false">IF('Registro de Comisión'!A164="","",'Registro de Comisión'!A164)</f>
        <v/>
      </c>
      <c r="B164" s="27" t="str">
        <f aca="false">IF(A164="","",TRIM(SUBSTITUTE(SUBSTITUTE(SUBSTITUTE(SUBSTITUTE(SUBSTITUTE(SUBSTITUTE(UPPER('Registro de Comisión'!B164),"Á","A"),"É","E"),"Í","I"),"Ó","O"),"Ú","U"),"Ü","U")))</f>
        <v/>
      </c>
      <c r="C164" s="27" t="str">
        <f aca="false">IF(A164="","",TRIM(SUBSTITUTE(SUBSTITUTE(SUBSTITUTE(SUBSTITUTE(SUBSTITUTE(SUBSTITUTE(UPPER('Registro de Comisión'!I164),"Á","A"),"É","E"),"Í","I"),"Ó","O"),"Ú","U"),"Ü","U")))</f>
        <v/>
      </c>
      <c r="D164" s="28" t="str">
        <f aca="false">IF(A164="","",'Registro de Comisión'!J164)</f>
        <v/>
      </c>
      <c r="E164" s="28" t="str">
        <f aca="false">IF(A164="","",'Registro de Comisión'!K164)</f>
        <v/>
      </c>
      <c r="F164" s="29" t="str">
        <f aca="false">IF(A164="","",E164-D164+1)</f>
        <v/>
      </c>
      <c r="G164" s="27" t="str">
        <f aca="false">IF(A164="","",COUNTIFS($A$5:A164,A164))</f>
        <v/>
      </c>
      <c r="H164" s="27" t="str">
        <f aca="false">IF(A164="","",IF(E164=_xlfn.MAXIFS($E$5:$E$304,$A$5:$A$304,A164),1,0))</f>
        <v/>
      </c>
      <c r="I164" s="27" t="str">
        <f aca="false">IF(A164="","",A164&amp;"-"&amp;H164)</f>
        <v/>
      </c>
    </row>
    <row r="165" customFormat="false" ht="15" hidden="false" customHeight="false" outlineLevel="0" collapsed="false">
      <c r="A165" s="27" t="str">
        <f aca="false">IF('Registro de Comisión'!A165="","",'Registro de Comisión'!A165)</f>
        <v/>
      </c>
      <c r="B165" s="27" t="str">
        <f aca="false">IF(A165="","",TRIM(SUBSTITUTE(SUBSTITUTE(SUBSTITUTE(SUBSTITUTE(SUBSTITUTE(SUBSTITUTE(UPPER('Registro de Comisión'!B165),"Á","A"),"É","E"),"Í","I"),"Ó","O"),"Ú","U"),"Ü","U")))</f>
        <v/>
      </c>
      <c r="C165" s="27" t="str">
        <f aca="false">IF(A165="","",TRIM(SUBSTITUTE(SUBSTITUTE(SUBSTITUTE(SUBSTITUTE(SUBSTITUTE(SUBSTITUTE(UPPER('Registro de Comisión'!I165),"Á","A"),"É","E"),"Í","I"),"Ó","O"),"Ú","U"),"Ü","U")))</f>
        <v/>
      </c>
      <c r="D165" s="28" t="str">
        <f aca="false">IF(A165="","",'Registro de Comisión'!J165)</f>
        <v/>
      </c>
      <c r="E165" s="28" t="str">
        <f aca="false">IF(A165="","",'Registro de Comisión'!K165)</f>
        <v/>
      </c>
      <c r="F165" s="29" t="str">
        <f aca="false">IF(A165="","",E165-D165+1)</f>
        <v/>
      </c>
      <c r="G165" s="27" t="str">
        <f aca="false">IF(A165="","",COUNTIFS($A$5:A165,A165))</f>
        <v/>
      </c>
      <c r="H165" s="27" t="str">
        <f aca="false">IF(A165="","",IF(E165=_xlfn.MAXIFS($E$5:$E$304,$A$5:$A$304,A165),1,0))</f>
        <v/>
      </c>
      <c r="I165" s="27" t="str">
        <f aca="false">IF(A165="","",A165&amp;"-"&amp;H165)</f>
        <v/>
      </c>
    </row>
    <row r="166" customFormat="false" ht="15" hidden="false" customHeight="false" outlineLevel="0" collapsed="false">
      <c r="A166" s="27" t="str">
        <f aca="false">IF('Registro de Comisión'!A166="","",'Registro de Comisión'!A166)</f>
        <v/>
      </c>
      <c r="B166" s="27" t="str">
        <f aca="false">IF(A166="","",TRIM(SUBSTITUTE(SUBSTITUTE(SUBSTITUTE(SUBSTITUTE(SUBSTITUTE(SUBSTITUTE(UPPER('Registro de Comisión'!B166),"Á","A"),"É","E"),"Í","I"),"Ó","O"),"Ú","U"),"Ü","U")))</f>
        <v/>
      </c>
      <c r="C166" s="27" t="str">
        <f aca="false">IF(A166="","",TRIM(SUBSTITUTE(SUBSTITUTE(SUBSTITUTE(SUBSTITUTE(SUBSTITUTE(SUBSTITUTE(UPPER('Registro de Comisión'!I166),"Á","A"),"É","E"),"Í","I"),"Ó","O"),"Ú","U"),"Ü","U")))</f>
        <v/>
      </c>
      <c r="D166" s="28" t="str">
        <f aca="false">IF(A166="","",'Registro de Comisión'!J166)</f>
        <v/>
      </c>
      <c r="E166" s="28" t="str">
        <f aca="false">IF(A166="","",'Registro de Comisión'!K166)</f>
        <v/>
      </c>
      <c r="F166" s="29" t="str">
        <f aca="false">IF(A166="","",E166-D166+1)</f>
        <v/>
      </c>
      <c r="G166" s="27" t="str">
        <f aca="false">IF(A166="","",COUNTIFS($A$5:A166,A166))</f>
        <v/>
      </c>
      <c r="H166" s="27" t="str">
        <f aca="false">IF(A166="","",IF(E166=_xlfn.MAXIFS($E$5:$E$304,$A$5:$A$304,A166),1,0))</f>
        <v/>
      </c>
      <c r="I166" s="27" t="str">
        <f aca="false">IF(A166="","",A166&amp;"-"&amp;H166)</f>
        <v/>
      </c>
    </row>
    <row r="167" customFormat="false" ht="15" hidden="false" customHeight="false" outlineLevel="0" collapsed="false">
      <c r="A167" s="27" t="str">
        <f aca="false">IF('Registro de Comisión'!A167="","",'Registro de Comisión'!A167)</f>
        <v/>
      </c>
      <c r="B167" s="27" t="str">
        <f aca="false">IF(A167="","",TRIM(SUBSTITUTE(SUBSTITUTE(SUBSTITUTE(SUBSTITUTE(SUBSTITUTE(SUBSTITUTE(UPPER('Registro de Comisión'!B167),"Á","A"),"É","E"),"Í","I"),"Ó","O"),"Ú","U"),"Ü","U")))</f>
        <v/>
      </c>
      <c r="C167" s="27" t="str">
        <f aca="false">IF(A167="","",TRIM(SUBSTITUTE(SUBSTITUTE(SUBSTITUTE(SUBSTITUTE(SUBSTITUTE(SUBSTITUTE(UPPER('Registro de Comisión'!I167),"Á","A"),"É","E"),"Í","I"),"Ó","O"),"Ú","U"),"Ü","U")))</f>
        <v/>
      </c>
      <c r="D167" s="28" t="str">
        <f aca="false">IF(A167="","",'Registro de Comisión'!J167)</f>
        <v/>
      </c>
      <c r="E167" s="28" t="str">
        <f aca="false">IF(A167="","",'Registro de Comisión'!K167)</f>
        <v/>
      </c>
      <c r="F167" s="29" t="str">
        <f aca="false">IF(A167="","",E167-D167+1)</f>
        <v/>
      </c>
      <c r="G167" s="27" t="str">
        <f aca="false">IF(A167="","",COUNTIFS($A$5:A167,A167))</f>
        <v/>
      </c>
      <c r="H167" s="27" t="str">
        <f aca="false">IF(A167="","",IF(E167=_xlfn.MAXIFS($E$5:$E$304,$A$5:$A$304,A167),1,0))</f>
        <v/>
      </c>
      <c r="I167" s="27" t="str">
        <f aca="false">IF(A167="","",A167&amp;"-"&amp;H167)</f>
        <v/>
      </c>
    </row>
    <row r="168" customFormat="false" ht="15" hidden="false" customHeight="false" outlineLevel="0" collapsed="false">
      <c r="A168" s="27" t="str">
        <f aca="false">IF('Registro de Comisión'!A168="","",'Registro de Comisión'!A168)</f>
        <v/>
      </c>
      <c r="B168" s="27" t="str">
        <f aca="false">IF(A168="","",TRIM(SUBSTITUTE(SUBSTITUTE(SUBSTITUTE(SUBSTITUTE(SUBSTITUTE(SUBSTITUTE(UPPER('Registro de Comisión'!B168),"Á","A"),"É","E"),"Í","I"),"Ó","O"),"Ú","U"),"Ü","U")))</f>
        <v/>
      </c>
      <c r="C168" s="27" t="str">
        <f aca="false">IF(A168="","",TRIM(SUBSTITUTE(SUBSTITUTE(SUBSTITUTE(SUBSTITUTE(SUBSTITUTE(SUBSTITUTE(UPPER('Registro de Comisión'!I168),"Á","A"),"É","E"),"Í","I"),"Ó","O"),"Ú","U"),"Ü","U")))</f>
        <v/>
      </c>
      <c r="D168" s="28" t="str">
        <f aca="false">IF(A168="","",'Registro de Comisión'!J168)</f>
        <v/>
      </c>
      <c r="E168" s="28" t="str">
        <f aca="false">IF(A168="","",'Registro de Comisión'!K168)</f>
        <v/>
      </c>
      <c r="F168" s="29" t="str">
        <f aca="false">IF(A168="","",E168-D168+1)</f>
        <v/>
      </c>
      <c r="G168" s="27" t="str">
        <f aca="false">IF(A168="","",COUNTIFS($A$5:A168,A168))</f>
        <v/>
      </c>
      <c r="H168" s="27" t="str">
        <f aca="false">IF(A168="","",IF(E168=_xlfn.MAXIFS($E$5:$E$304,$A$5:$A$304,A168),1,0))</f>
        <v/>
      </c>
      <c r="I168" s="27" t="str">
        <f aca="false">IF(A168="","",A168&amp;"-"&amp;H168)</f>
        <v/>
      </c>
    </row>
    <row r="169" customFormat="false" ht="15" hidden="false" customHeight="false" outlineLevel="0" collapsed="false">
      <c r="A169" s="27" t="str">
        <f aca="false">IF('Registro de Comisión'!A169="","",'Registro de Comisión'!A169)</f>
        <v/>
      </c>
      <c r="B169" s="27" t="str">
        <f aca="false">IF(A169="","",TRIM(SUBSTITUTE(SUBSTITUTE(SUBSTITUTE(SUBSTITUTE(SUBSTITUTE(SUBSTITUTE(UPPER('Registro de Comisión'!B169),"Á","A"),"É","E"),"Í","I"),"Ó","O"),"Ú","U"),"Ü","U")))</f>
        <v/>
      </c>
      <c r="C169" s="27" t="str">
        <f aca="false">IF(A169="","",TRIM(SUBSTITUTE(SUBSTITUTE(SUBSTITUTE(SUBSTITUTE(SUBSTITUTE(SUBSTITUTE(UPPER('Registro de Comisión'!I169),"Á","A"),"É","E"),"Í","I"),"Ó","O"),"Ú","U"),"Ü","U")))</f>
        <v/>
      </c>
      <c r="D169" s="28" t="str">
        <f aca="false">IF(A169="","",'Registro de Comisión'!J169)</f>
        <v/>
      </c>
      <c r="E169" s="28" t="str">
        <f aca="false">IF(A169="","",'Registro de Comisión'!K169)</f>
        <v/>
      </c>
      <c r="F169" s="29" t="str">
        <f aca="false">IF(A169="","",E169-D169+1)</f>
        <v/>
      </c>
      <c r="G169" s="27" t="str">
        <f aca="false">IF(A169="","",COUNTIFS($A$5:A169,A169))</f>
        <v/>
      </c>
      <c r="H169" s="27" t="str">
        <f aca="false">IF(A169="","",IF(E169=_xlfn.MAXIFS($E$5:$E$304,$A$5:$A$304,A169),1,0))</f>
        <v/>
      </c>
      <c r="I169" s="27" t="str">
        <f aca="false">IF(A169="","",A169&amp;"-"&amp;H169)</f>
        <v/>
      </c>
    </row>
    <row r="170" customFormat="false" ht="15" hidden="false" customHeight="false" outlineLevel="0" collapsed="false">
      <c r="A170" s="27" t="str">
        <f aca="false">IF('Registro de Comisión'!A170="","",'Registro de Comisión'!A170)</f>
        <v/>
      </c>
      <c r="B170" s="27" t="str">
        <f aca="false">IF(A170="","",TRIM(SUBSTITUTE(SUBSTITUTE(SUBSTITUTE(SUBSTITUTE(SUBSTITUTE(SUBSTITUTE(UPPER('Registro de Comisión'!B170),"Á","A"),"É","E"),"Í","I"),"Ó","O"),"Ú","U"),"Ü","U")))</f>
        <v/>
      </c>
      <c r="C170" s="27" t="str">
        <f aca="false">IF(A170="","",TRIM(SUBSTITUTE(SUBSTITUTE(SUBSTITUTE(SUBSTITUTE(SUBSTITUTE(SUBSTITUTE(UPPER('Registro de Comisión'!I170),"Á","A"),"É","E"),"Í","I"),"Ó","O"),"Ú","U"),"Ü","U")))</f>
        <v/>
      </c>
      <c r="D170" s="28" t="str">
        <f aca="false">IF(A170="","",'Registro de Comisión'!J170)</f>
        <v/>
      </c>
      <c r="E170" s="28" t="str">
        <f aca="false">IF(A170="","",'Registro de Comisión'!K170)</f>
        <v/>
      </c>
      <c r="F170" s="29" t="str">
        <f aca="false">IF(A170="","",E170-D170+1)</f>
        <v/>
      </c>
      <c r="G170" s="27" t="str">
        <f aca="false">IF(A170="","",COUNTIFS($A$5:A170,A170))</f>
        <v/>
      </c>
      <c r="H170" s="27" t="str">
        <f aca="false">IF(A170="","",IF(E170=_xlfn.MAXIFS($E$5:$E$304,$A$5:$A$304,A170),1,0))</f>
        <v/>
      </c>
      <c r="I170" s="27" t="str">
        <f aca="false">IF(A170="","",A170&amp;"-"&amp;H170)</f>
        <v/>
      </c>
    </row>
    <row r="171" customFormat="false" ht="15" hidden="false" customHeight="false" outlineLevel="0" collapsed="false">
      <c r="A171" s="27" t="str">
        <f aca="false">IF('Registro de Comisión'!A171="","",'Registro de Comisión'!A171)</f>
        <v/>
      </c>
      <c r="B171" s="27" t="str">
        <f aca="false">IF(A171="","",TRIM(SUBSTITUTE(SUBSTITUTE(SUBSTITUTE(SUBSTITUTE(SUBSTITUTE(SUBSTITUTE(UPPER('Registro de Comisión'!B171),"Á","A"),"É","E"),"Í","I"),"Ó","O"),"Ú","U"),"Ü","U")))</f>
        <v/>
      </c>
      <c r="C171" s="27" t="str">
        <f aca="false">IF(A171="","",TRIM(SUBSTITUTE(SUBSTITUTE(SUBSTITUTE(SUBSTITUTE(SUBSTITUTE(SUBSTITUTE(UPPER('Registro de Comisión'!I171),"Á","A"),"É","E"),"Í","I"),"Ó","O"),"Ú","U"),"Ü","U")))</f>
        <v/>
      </c>
      <c r="D171" s="28" t="str">
        <f aca="false">IF(A171="","",'Registro de Comisión'!J171)</f>
        <v/>
      </c>
      <c r="E171" s="28" t="str">
        <f aca="false">IF(A171="","",'Registro de Comisión'!K171)</f>
        <v/>
      </c>
      <c r="F171" s="29" t="str">
        <f aca="false">IF(A171="","",E171-D171+1)</f>
        <v/>
      </c>
      <c r="G171" s="27" t="str">
        <f aca="false">IF(A171="","",COUNTIFS($A$5:A171,A171))</f>
        <v/>
      </c>
      <c r="H171" s="27" t="str">
        <f aca="false">IF(A171="","",IF(E171=_xlfn.MAXIFS($E$5:$E$304,$A$5:$A$304,A171),1,0))</f>
        <v/>
      </c>
      <c r="I171" s="27" t="str">
        <f aca="false">IF(A171="","",A171&amp;"-"&amp;H171)</f>
        <v/>
      </c>
    </row>
    <row r="172" customFormat="false" ht="15" hidden="false" customHeight="false" outlineLevel="0" collapsed="false">
      <c r="A172" s="27" t="str">
        <f aca="false">IF('Registro de Comisión'!A172="","",'Registro de Comisión'!A172)</f>
        <v/>
      </c>
      <c r="B172" s="27" t="str">
        <f aca="false">IF(A172="","",TRIM(SUBSTITUTE(SUBSTITUTE(SUBSTITUTE(SUBSTITUTE(SUBSTITUTE(SUBSTITUTE(UPPER('Registro de Comisión'!B172),"Á","A"),"É","E"),"Í","I"),"Ó","O"),"Ú","U"),"Ü","U")))</f>
        <v/>
      </c>
      <c r="C172" s="27" t="str">
        <f aca="false">IF(A172="","",TRIM(SUBSTITUTE(SUBSTITUTE(SUBSTITUTE(SUBSTITUTE(SUBSTITUTE(SUBSTITUTE(UPPER('Registro de Comisión'!I172),"Á","A"),"É","E"),"Í","I"),"Ó","O"),"Ú","U"),"Ü","U")))</f>
        <v/>
      </c>
      <c r="D172" s="28" t="str">
        <f aca="false">IF(A172="","",'Registro de Comisión'!J172)</f>
        <v/>
      </c>
      <c r="E172" s="28" t="str">
        <f aca="false">IF(A172="","",'Registro de Comisión'!K172)</f>
        <v/>
      </c>
      <c r="F172" s="29" t="str">
        <f aca="false">IF(A172="","",E172-D172+1)</f>
        <v/>
      </c>
      <c r="G172" s="27" t="str">
        <f aca="false">IF(A172="","",COUNTIFS($A$5:A172,A172))</f>
        <v/>
      </c>
      <c r="H172" s="27" t="str">
        <f aca="false">IF(A172="","",IF(E172=_xlfn.MAXIFS($E$5:$E$304,$A$5:$A$304,A172),1,0))</f>
        <v/>
      </c>
      <c r="I172" s="27" t="str">
        <f aca="false">IF(A172="","",A172&amp;"-"&amp;H172)</f>
        <v/>
      </c>
    </row>
    <row r="173" customFormat="false" ht="15" hidden="false" customHeight="false" outlineLevel="0" collapsed="false">
      <c r="A173" s="27" t="str">
        <f aca="false">IF('Registro de Comisión'!A173="","",'Registro de Comisión'!A173)</f>
        <v/>
      </c>
      <c r="B173" s="27" t="str">
        <f aca="false">IF(A173="","",TRIM(SUBSTITUTE(SUBSTITUTE(SUBSTITUTE(SUBSTITUTE(SUBSTITUTE(SUBSTITUTE(UPPER('Registro de Comisión'!B173),"Á","A"),"É","E"),"Í","I"),"Ó","O"),"Ú","U"),"Ü","U")))</f>
        <v/>
      </c>
      <c r="C173" s="27" t="str">
        <f aca="false">IF(A173="","",TRIM(SUBSTITUTE(SUBSTITUTE(SUBSTITUTE(SUBSTITUTE(SUBSTITUTE(SUBSTITUTE(UPPER('Registro de Comisión'!I173),"Á","A"),"É","E"),"Í","I"),"Ó","O"),"Ú","U"),"Ü","U")))</f>
        <v/>
      </c>
      <c r="D173" s="28" t="str">
        <f aca="false">IF(A173="","",'Registro de Comisión'!J173)</f>
        <v/>
      </c>
      <c r="E173" s="28" t="str">
        <f aca="false">IF(A173="","",'Registro de Comisión'!K173)</f>
        <v/>
      </c>
      <c r="F173" s="29" t="str">
        <f aca="false">IF(A173="","",E173-D173+1)</f>
        <v/>
      </c>
      <c r="G173" s="27" t="str">
        <f aca="false">IF(A173="","",COUNTIFS($A$5:A173,A173))</f>
        <v/>
      </c>
      <c r="H173" s="27" t="str">
        <f aca="false">IF(A173="","",IF(E173=_xlfn.MAXIFS($E$5:$E$304,$A$5:$A$304,A173),1,0))</f>
        <v/>
      </c>
      <c r="I173" s="27" t="str">
        <f aca="false">IF(A173="","",A173&amp;"-"&amp;H173)</f>
        <v/>
      </c>
    </row>
    <row r="174" customFormat="false" ht="15" hidden="false" customHeight="false" outlineLevel="0" collapsed="false">
      <c r="A174" s="27" t="str">
        <f aca="false">IF('Registro de Comisión'!A174="","",'Registro de Comisión'!A174)</f>
        <v/>
      </c>
      <c r="B174" s="27" t="str">
        <f aca="false">IF(A174="","",TRIM(SUBSTITUTE(SUBSTITUTE(SUBSTITUTE(SUBSTITUTE(SUBSTITUTE(SUBSTITUTE(UPPER('Registro de Comisión'!B174),"Á","A"),"É","E"),"Í","I"),"Ó","O"),"Ú","U"),"Ü","U")))</f>
        <v/>
      </c>
      <c r="C174" s="27" t="str">
        <f aca="false">IF(A174="","",TRIM(SUBSTITUTE(SUBSTITUTE(SUBSTITUTE(SUBSTITUTE(SUBSTITUTE(SUBSTITUTE(UPPER('Registro de Comisión'!I174),"Á","A"),"É","E"),"Í","I"),"Ó","O"),"Ú","U"),"Ü","U")))</f>
        <v/>
      </c>
      <c r="D174" s="28" t="str">
        <f aca="false">IF(A174="","",'Registro de Comisión'!J174)</f>
        <v/>
      </c>
      <c r="E174" s="28" t="str">
        <f aca="false">IF(A174="","",'Registro de Comisión'!K174)</f>
        <v/>
      </c>
      <c r="F174" s="29" t="str">
        <f aca="false">IF(A174="","",E174-D174+1)</f>
        <v/>
      </c>
      <c r="G174" s="27" t="str">
        <f aca="false">IF(A174="","",COUNTIFS($A$5:A174,A174))</f>
        <v/>
      </c>
      <c r="H174" s="27" t="str">
        <f aca="false">IF(A174="","",IF(E174=_xlfn.MAXIFS($E$5:$E$304,$A$5:$A$304,A174),1,0))</f>
        <v/>
      </c>
      <c r="I174" s="27" t="str">
        <f aca="false">IF(A174="","",A174&amp;"-"&amp;H174)</f>
        <v/>
      </c>
    </row>
    <row r="175" customFormat="false" ht="15" hidden="false" customHeight="false" outlineLevel="0" collapsed="false">
      <c r="A175" s="27" t="str">
        <f aca="false">IF('Registro de Comisión'!A175="","",'Registro de Comisión'!A175)</f>
        <v/>
      </c>
      <c r="B175" s="27" t="str">
        <f aca="false">IF(A175="","",TRIM(SUBSTITUTE(SUBSTITUTE(SUBSTITUTE(SUBSTITUTE(SUBSTITUTE(SUBSTITUTE(UPPER('Registro de Comisión'!B175),"Á","A"),"É","E"),"Í","I"),"Ó","O"),"Ú","U"),"Ü","U")))</f>
        <v/>
      </c>
      <c r="C175" s="27" t="str">
        <f aca="false">IF(A175="","",TRIM(SUBSTITUTE(SUBSTITUTE(SUBSTITUTE(SUBSTITUTE(SUBSTITUTE(SUBSTITUTE(UPPER('Registro de Comisión'!I175),"Á","A"),"É","E"),"Í","I"),"Ó","O"),"Ú","U"),"Ü","U")))</f>
        <v/>
      </c>
      <c r="D175" s="28" t="str">
        <f aca="false">IF(A175="","",'Registro de Comisión'!J175)</f>
        <v/>
      </c>
      <c r="E175" s="28" t="str">
        <f aca="false">IF(A175="","",'Registro de Comisión'!K175)</f>
        <v/>
      </c>
      <c r="F175" s="29" t="str">
        <f aca="false">IF(A175="","",E175-D175+1)</f>
        <v/>
      </c>
      <c r="G175" s="27" t="str">
        <f aca="false">IF(A175="","",COUNTIFS($A$5:A175,A175))</f>
        <v/>
      </c>
      <c r="H175" s="27" t="str">
        <f aca="false">IF(A175="","",IF(E175=_xlfn.MAXIFS($E$5:$E$304,$A$5:$A$304,A175),1,0))</f>
        <v/>
      </c>
      <c r="I175" s="27" t="str">
        <f aca="false">IF(A175="","",A175&amp;"-"&amp;H175)</f>
        <v/>
      </c>
    </row>
    <row r="176" customFormat="false" ht="15" hidden="false" customHeight="false" outlineLevel="0" collapsed="false">
      <c r="A176" s="27" t="str">
        <f aca="false">IF('Registro de Comisión'!A176="","",'Registro de Comisión'!A176)</f>
        <v/>
      </c>
      <c r="B176" s="27" t="str">
        <f aca="false">IF(A176="","",TRIM(SUBSTITUTE(SUBSTITUTE(SUBSTITUTE(SUBSTITUTE(SUBSTITUTE(SUBSTITUTE(UPPER('Registro de Comisión'!B176),"Á","A"),"É","E"),"Í","I"),"Ó","O"),"Ú","U"),"Ü","U")))</f>
        <v/>
      </c>
      <c r="C176" s="27" t="str">
        <f aca="false">IF(A176="","",TRIM(SUBSTITUTE(SUBSTITUTE(SUBSTITUTE(SUBSTITUTE(SUBSTITUTE(SUBSTITUTE(UPPER('Registro de Comisión'!I176),"Á","A"),"É","E"),"Í","I"),"Ó","O"),"Ú","U"),"Ü","U")))</f>
        <v/>
      </c>
      <c r="D176" s="28" t="str">
        <f aca="false">IF(A176="","",'Registro de Comisión'!J176)</f>
        <v/>
      </c>
      <c r="E176" s="28" t="str">
        <f aca="false">IF(A176="","",'Registro de Comisión'!K176)</f>
        <v/>
      </c>
      <c r="F176" s="29" t="str">
        <f aca="false">IF(A176="","",E176-D176+1)</f>
        <v/>
      </c>
      <c r="G176" s="27" t="str">
        <f aca="false">IF(A176="","",COUNTIFS($A$5:A176,A176))</f>
        <v/>
      </c>
      <c r="H176" s="27" t="str">
        <f aca="false">IF(A176="","",IF(E176=_xlfn.MAXIFS($E$5:$E$304,$A$5:$A$304,A176),1,0))</f>
        <v/>
      </c>
      <c r="I176" s="27" t="str">
        <f aca="false">IF(A176="","",A176&amp;"-"&amp;H176)</f>
        <v/>
      </c>
    </row>
    <row r="177" customFormat="false" ht="15" hidden="false" customHeight="false" outlineLevel="0" collapsed="false">
      <c r="A177" s="27" t="str">
        <f aca="false">IF('Registro de Comisión'!A177="","",'Registro de Comisión'!A177)</f>
        <v/>
      </c>
      <c r="B177" s="27" t="str">
        <f aca="false">IF(A177="","",TRIM(SUBSTITUTE(SUBSTITUTE(SUBSTITUTE(SUBSTITUTE(SUBSTITUTE(SUBSTITUTE(UPPER('Registro de Comisión'!B177),"Á","A"),"É","E"),"Í","I"),"Ó","O"),"Ú","U"),"Ü","U")))</f>
        <v/>
      </c>
      <c r="C177" s="27" t="str">
        <f aca="false">IF(A177="","",TRIM(SUBSTITUTE(SUBSTITUTE(SUBSTITUTE(SUBSTITUTE(SUBSTITUTE(SUBSTITUTE(UPPER('Registro de Comisión'!I177),"Á","A"),"É","E"),"Í","I"),"Ó","O"),"Ú","U"),"Ü","U")))</f>
        <v/>
      </c>
      <c r="D177" s="28" t="str">
        <f aca="false">IF(A177="","",'Registro de Comisión'!J177)</f>
        <v/>
      </c>
      <c r="E177" s="28" t="str">
        <f aca="false">IF(A177="","",'Registro de Comisión'!K177)</f>
        <v/>
      </c>
      <c r="F177" s="29" t="str">
        <f aca="false">IF(A177="","",E177-D177+1)</f>
        <v/>
      </c>
      <c r="G177" s="27" t="str">
        <f aca="false">IF(A177="","",COUNTIFS($A$5:A177,A177))</f>
        <v/>
      </c>
      <c r="H177" s="27" t="str">
        <f aca="false">IF(A177="","",IF(E177=_xlfn.MAXIFS($E$5:$E$304,$A$5:$A$304,A177),1,0))</f>
        <v/>
      </c>
      <c r="I177" s="27" t="str">
        <f aca="false">IF(A177="","",A177&amp;"-"&amp;H177)</f>
        <v/>
      </c>
    </row>
    <row r="178" customFormat="false" ht="15" hidden="false" customHeight="false" outlineLevel="0" collapsed="false">
      <c r="A178" s="27" t="str">
        <f aca="false">IF('Registro de Comisión'!A178="","",'Registro de Comisión'!A178)</f>
        <v/>
      </c>
      <c r="B178" s="27" t="str">
        <f aca="false">IF(A178="","",TRIM(SUBSTITUTE(SUBSTITUTE(SUBSTITUTE(SUBSTITUTE(SUBSTITUTE(SUBSTITUTE(UPPER('Registro de Comisión'!B178),"Á","A"),"É","E"),"Í","I"),"Ó","O"),"Ú","U"),"Ü","U")))</f>
        <v/>
      </c>
      <c r="C178" s="27" t="str">
        <f aca="false">IF(A178="","",TRIM(SUBSTITUTE(SUBSTITUTE(SUBSTITUTE(SUBSTITUTE(SUBSTITUTE(SUBSTITUTE(UPPER('Registro de Comisión'!I178),"Á","A"),"É","E"),"Í","I"),"Ó","O"),"Ú","U"),"Ü","U")))</f>
        <v/>
      </c>
      <c r="D178" s="28" t="str">
        <f aca="false">IF(A178="","",'Registro de Comisión'!J178)</f>
        <v/>
      </c>
      <c r="E178" s="28" t="str">
        <f aca="false">IF(A178="","",'Registro de Comisión'!K178)</f>
        <v/>
      </c>
      <c r="F178" s="29" t="str">
        <f aca="false">IF(A178="","",E178-D178+1)</f>
        <v/>
      </c>
      <c r="G178" s="27" t="str">
        <f aca="false">IF(A178="","",COUNTIFS($A$5:A178,A178))</f>
        <v/>
      </c>
      <c r="H178" s="27" t="str">
        <f aca="false">IF(A178="","",IF(E178=_xlfn.MAXIFS($E$5:$E$304,$A$5:$A$304,A178),1,0))</f>
        <v/>
      </c>
      <c r="I178" s="27" t="str">
        <f aca="false">IF(A178="","",A178&amp;"-"&amp;H178)</f>
        <v/>
      </c>
    </row>
    <row r="179" customFormat="false" ht="15" hidden="false" customHeight="false" outlineLevel="0" collapsed="false">
      <c r="A179" s="27" t="str">
        <f aca="false">IF('Registro de Comisión'!A179="","",'Registro de Comisión'!A179)</f>
        <v/>
      </c>
      <c r="B179" s="27" t="str">
        <f aca="false">IF(A179="","",TRIM(SUBSTITUTE(SUBSTITUTE(SUBSTITUTE(SUBSTITUTE(SUBSTITUTE(SUBSTITUTE(UPPER('Registro de Comisión'!B179),"Á","A"),"É","E"),"Í","I"),"Ó","O"),"Ú","U"),"Ü","U")))</f>
        <v/>
      </c>
      <c r="C179" s="27" t="str">
        <f aca="false">IF(A179="","",TRIM(SUBSTITUTE(SUBSTITUTE(SUBSTITUTE(SUBSTITUTE(SUBSTITUTE(SUBSTITUTE(UPPER('Registro de Comisión'!I179),"Á","A"),"É","E"),"Í","I"),"Ó","O"),"Ú","U"),"Ü","U")))</f>
        <v/>
      </c>
      <c r="D179" s="28" t="str">
        <f aca="false">IF(A179="","",'Registro de Comisión'!J179)</f>
        <v/>
      </c>
      <c r="E179" s="28" t="str">
        <f aca="false">IF(A179="","",'Registro de Comisión'!K179)</f>
        <v/>
      </c>
      <c r="F179" s="29" t="str">
        <f aca="false">IF(A179="","",E179-D179+1)</f>
        <v/>
      </c>
      <c r="G179" s="27" t="str">
        <f aca="false">IF(A179="","",COUNTIFS($A$5:A179,A179))</f>
        <v/>
      </c>
      <c r="H179" s="27" t="str">
        <f aca="false">IF(A179="","",IF(E179=_xlfn.MAXIFS($E$5:$E$304,$A$5:$A$304,A179),1,0))</f>
        <v/>
      </c>
      <c r="I179" s="27" t="str">
        <f aca="false">IF(A179="","",A179&amp;"-"&amp;H179)</f>
        <v/>
      </c>
    </row>
    <row r="180" customFormat="false" ht="15" hidden="false" customHeight="false" outlineLevel="0" collapsed="false">
      <c r="A180" s="27" t="str">
        <f aca="false">IF('Registro de Comisión'!A180="","",'Registro de Comisión'!A180)</f>
        <v/>
      </c>
      <c r="B180" s="27" t="str">
        <f aca="false">IF(A180="","",TRIM(SUBSTITUTE(SUBSTITUTE(SUBSTITUTE(SUBSTITUTE(SUBSTITUTE(SUBSTITUTE(UPPER('Registro de Comisión'!B180),"Á","A"),"É","E"),"Í","I"),"Ó","O"),"Ú","U"),"Ü","U")))</f>
        <v/>
      </c>
      <c r="C180" s="27" t="str">
        <f aca="false">IF(A180="","",TRIM(SUBSTITUTE(SUBSTITUTE(SUBSTITUTE(SUBSTITUTE(SUBSTITUTE(SUBSTITUTE(UPPER('Registro de Comisión'!I180),"Á","A"),"É","E"),"Í","I"),"Ó","O"),"Ú","U"),"Ü","U")))</f>
        <v/>
      </c>
      <c r="D180" s="28" t="str">
        <f aca="false">IF(A180="","",'Registro de Comisión'!J180)</f>
        <v/>
      </c>
      <c r="E180" s="28" t="str">
        <f aca="false">IF(A180="","",'Registro de Comisión'!K180)</f>
        <v/>
      </c>
      <c r="F180" s="29" t="str">
        <f aca="false">IF(A180="","",E180-D180+1)</f>
        <v/>
      </c>
      <c r="G180" s="27" t="str">
        <f aca="false">IF(A180="","",COUNTIFS($A$5:A180,A180))</f>
        <v/>
      </c>
      <c r="H180" s="27" t="str">
        <f aca="false">IF(A180="","",IF(E180=_xlfn.MAXIFS($E$5:$E$304,$A$5:$A$304,A180),1,0))</f>
        <v/>
      </c>
      <c r="I180" s="27" t="str">
        <f aca="false">IF(A180="","",A180&amp;"-"&amp;H180)</f>
        <v/>
      </c>
    </row>
    <row r="181" customFormat="false" ht="15" hidden="false" customHeight="false" outlineLevel="0" collapsed="false">
      <c r="A181" s="27" t="str">
        <f aca="false">IF('Registro de Comisión'!A181="","",'Registro de Comisión'!A181)</f>
        <v/>
      </c>
      <c r="B181" s="27" t="str">
        <f aca="false">IF(A181="","",TRIM(SUBSTITUTE(SUBSTITUTE(SUBSTITUTE(SUBSTITUTE(SUBSTITUTE(SUBSTITUTE(UPPER('Registro de Comisión'!B181),"Á","A"),"É","E"),"Í","I"),"Ó","O"),"Ú","U"),"Ü","U")))</f>
        <v/>
      </c>
      <c r="C181" s="27" t="str">
        <f aca="false">IF(A181="","",TRIM(SUBSTITUTE(SUBSTITUTE(SUBSTITUTE(SUBSTITUTE(SUBSTITUTE(SUBSTITUTE(UPPER('Registro de Comisión'!I181),"Á","A"),"É","E"),"Í","I"),"Ó","O"),"Ú","U"),"Ü","U")))</f>
        <v/>
      </c>
      <c r="D181" s="28" t="str">
        <f aca="false">IF(A181="","",'Registro de Comisión'!J181)</f>
        <v/>
      </c>
      <c r="E181" s="28" t="str">
        <f aca="false">IF(A181="","",'Registro de Comisión'!K181)</f>
        <v/>
      </c>
      <c r="F181" s="29" t="str">
        <f aca="false">IF(A181="","",E181-D181+1)</f>
        <v/>
      </c>
      <c r="G181" s="27" t="str">
        <f aca="false">IF(A181="","",COUNTIFS($A$5:A181,A181))</f>
        <v/>
      </c>
      <c r="H181" s="27" t="str">
        <f aca="false">IF(A181="","",IF(E181=_xlfn.MAXIFS($E$5:$E$304,$A$5:$A$304,A181),1,0))</f>
        <v/>
      </c>
      <c r="I181" s="27" t="str">
        <f aca="false">IF(A181="","",A181&amp;"-"&amp;H181)</f>
        <v/>
      </c>
    </row>
    <row r="182" customFormat="false" ht="15" hidden="false" customHeight="false" outlineLevel="0" collapsed="false">
      <c r="A182" s="27" t="str">
        <f aca="false">IF('Registro de Comisión'!A182="","",'Registro de Comisión'!A182)</f>
        <v/>
      </c>
      <c r="B182" s="27" t="str">
        <f aca="false">IF(A182="","",TRIM(SUBSTITUTE(SUBSTITUTE(SUBSTITUTE(SUBSTITUTE(SUBSTITUTE(SUBSTITUTE(UPPER('Registro de Comisión'!B182),"Á","A"),"É","E"),"Í","I"),"Ó","O"),"Ú","U"),"Ü","U")))</f>
        <v/>
      </c>
      <c r="C182" s="27" t="str">
        <f aca="false">IF(A182="","",TRIM(SUBSTITUTE(SUBSTITUTE(SUBSTITUTE(SUBSTITUTE(SUBSTITUTE(SUBSTITUTE(UPPER('Registro de Comisión'!I182),"Á","A"),"É","E"),"Í","I"),"Ó","O"),"Ú","U"),"Ü","U")))</f>
        <v/>
      </c>
      <c r="D182" s="28" t="str">
        <f aca="false">IF(A182="","",'Registro de Comisión'!J182)</f>
        <v/>
      </c>
      <c r="E182" s="28" t="str">
        <f aca="false">IF(A182="","",'Registro de Comisión'!K182)</f>
        <v/>
      </c>
      <c r="F182" s="29" t="str">
        <f aca="false">IF(A182="","",E182-D182+1)</f>
        <v/>
      </c>
      <c r="G182" s="27" t="str">
        <f aca="false">IF(A182="","",COUNTIFS($A$5:A182,A182))</f>
        <v/>
      </c>
      <c r="H182" s="27" t="str">
        <f aca="false">IF(A182="","",IF(E182=_xlfn.MAXIFS($E$5:$E$304,$A$5:$A$304,A182),1,0))</f>
        <v/>
      </c>
      <c r="I182" s="27" t="str">
        <f aca="false">IF(A182="","",A182&amp;"-"&amp;H182)</f>
        <v/>
      </c>
    </row>
    <row r="183" customFormat="false" ht="15" hidden="false" customHeight="false" outlineLevel="0" collapsed="false">
      <c r="A183" s="27" t="str">
        <f aca="false">IF('Registro de Comisión'!A183="","",'Registro de Comisión'!A183)</f>
        <v/>
      </c>
      <c r="B183" s="27" t="str">
        <f aca="false">IF(A183="","",TRIM(SUBSTITUTE(SUBSTITUTE(SUBSTITUTE(SUBSTITUTE(SUBSTITUTE(SUBSTITUTE(UPPER('Registro de Comisión'!B183),"Á","A"),"É","E"),"Í","I"),"Ó","O"),"Ú","U"),"Ü","U")))</f>
        <v/>
      </c>
      <c r="C183" s="27" t="str">
        <f aca="false">IF(A183="","",TRIM(SUBSTITUTE(SUBSTITUTE(SUBSTITUTE(SUBSTITUTE(SUBSTITUTE(SUBSTITUTE(UPPER('Registro de Comisión'!I183),"Á","A"),"É","E"),"Í","I"),"Ó","O"),"Ú","U"),"Ü","U")))</f>
        <v/>
      </c>
      <c r="D183" s="28" t="str">
        <f aca="false">IF(A183="","",'Registro de Comisión'!J183)</f>
        <v/>
      </c>
      <c r="E183" s="28" t="str">
        <f aca="false">IF(A183="","",'Registro de Comisión'!K183)</f>
        <v/>
      </c>
      <c r="F183" s="29" t="str">
        <f aca="false">IF(A183="","",E183-D183+1)</f>
        <v/>
      </c>
      <c r="G183" s="27" t="str">
        <f aca="false">IF(A183="","",COUNTIFS($A$5:A183,A183))</f>
        <v/>
      </c>
      <c r="H183" s="27" t="str">
        <f aca="false">IF(A183="","",IF(E183=_xlfn.MAXIFS($E$5:$E$304,$A$5:$A$304,A183),1,0))</f>
        <v/>
      </c>
      <c r="I183" s="27" t="str">
        <f aca="false">IF(A183="","",A183&amp;"-"&amp;H183)</f>
        <v/>
      </c>
    </row>
    <row r="184" customFormat="false" ht="15" hidden="false" customHeight="false" outlineLevel="0" collapsed="false">
      <c r="A184" s="27" t="str">
        <f aca="false">IF('Registro de Comisión'!A184="","",'Registro de Comisión'!A184)</f>
        <v/>
      </c>
      <c r="B184" s="27" t="str">
        <f aca="false">IF(A184="","",TRIM(SUBSTITUTE(SUBSTITUTE(SUBSTITUTE(SUBSTITUTE(SUBSTITUTE(SUBSTITUTE(UPPER('Registro de Comisión'!B184),"Á","A"),"É","E"),"Í","I"),"Ó","O"),"Ú","U"),"Ü","U")))</f>
        <v/>
      </c>
      <c r="C184" s="27" t="str">
        <f aca="false">IF(A184="","",TRIM(SUBSTITUTE(SUBSTITUTE(SUBSTITUTE(SUBSTITUTE(SUBSTITUTE(SUBSTITUTE(UPPER('Registro de Comisión'!I184),"Á","A"),"É","E"),"Í","I"),"Ó","O"),"Ú","U"),"Ü","U")))</f>
        <v/>
      </c>
      <c r="D184" s="28" t="str">
        <f aca="false">IF(A184="","",'Registro de Comisión'!J184)</f>
        <v/>
      </c>
      <c r="E184" s="28" t="str">
        <f aca="false">IF(A184="","",'Registro de Comisión'!K184)</f>
        <v/>
      </c>
      <c r="F184" s="29" t="str">
        <f aca="false">IF(A184="","",E184-D184+1)</f>
        <v/>
      </c>
      <c r="G184" s="27" t="str">
        <f aca="false">IF(A184="","",COUNTIFS($A$5:A184,A184))</f>
        <v/>
      </c>
      <c r="H184" s="27" t="str">
        <f aca="false">IF(A184="","",IF(E184=_xlfn.MAXIFS($E$5:$E$304,$A$5:$A$304,A184),1,0))</f>
        <v/>
      </c>
      <c r="I184" s="27" t="str">
        <f aca="false">IF(A184="","",A184&amp;"-"&amp;H184)</f>
        <v/>
      </c>
    </row>
    <row r="185" customFormat="false" ht="15" hidden="false" customHeight="false" outlineLevel="0" collapsed="false">
      <c r="A185" s="27" t="str">
        <f aca="false">IF('Registro de Comisión'!A185="","",'Registro de Comisión'!A185)</f>
        <v/>
      </c>
      <c r="B185" s="27" t="str">
        <f aca="false">IF(A185="","",TRIM(SUBSTITUTE(SUBSTITUTE(SUBSTITUTE(SUBSTITUTE(SUBSTITUTE(SUBSTITUTE(UPPER('Registro de Comisión'!B185),"Á","A"),"É","E"),"Í","I"),"Ó","O"),"Ú","U"),"Ü","U")))</f>
        <v/>
      </c>
      <c r="C185" s="27" t="str">
        <f aca="false">IF(A185="","",TRIM(SUBSTITUTE(SUBSTITUTE(SUBSTITUTE(SUBSTITUTE(SUBSTITUTE(SUBSTITUTE(UPPER('Registro de Comisión'!I185),"Á","A"),"É","E"),"Í","I"),"Ó","O"),"Ú","U"),"Ü","U")))</f>
        <v/>
      </c>
      <c r="D185" s="28" t="str">
        <f aca="false">IF(A185="","",'Registro de Comisión'!J185)</f>
        <v/>
      </c>
      <c r="E185" s="28" t="str">
        <f aca="false">IF(A185="","",'Registro de Comisión'!K185)</f>
        <v/>
      </c>
      <c r="F185" s="29" t="str">
        <f aca="false">IF(A185="","",E185-D185+1)</f>
        <v/>
      </c>
      <c r="G185" s="27" t="str">
        <f aca="false">IF(A185="","",COUNTIFS($A$5:A185,A185))</f>
        <v/>
      </c>
      <c r="H185" s="27" t="str">
        <f aca="false">IF(A185="","",IF(E185=_xlfn.MAXIFS($E$5:$E$304,$A$5:$A$304,A185),1,0))</f>
        <v/>
      </c>
      <c r="I185" s="27" t="str">
        <f aca="false">IF(A185="","",A185&amp;"-"&amp;H185)</f>
        <v/>
      </c>
    </row>
    <row r="186" customFormat="false" ht="15" hidden="false" customHeight="false" outlineLevel="0" collapsed="false">
      <c r="A186" s="27" t="str">
        <f aca="false">IF('Registro de Comisión'!A186="","",'Registro de Comisión'!A186)</f>
        <v/>
      </c>
      <c r="B186" s="27" t="str">
        <f aca="false">IF(A186="","",TRIM(SUBSTITUTE(SUBSTITUTE(SUBSTITUTE(SUBSTITUTE(SUBSTITUTE(SUBSTITUTE(UPPER('Registro de Comisión'!B186),"Á","A"),"É","E"),"Í","I"),"Ó","O"),"Ú","U"),"Ü","U")))</f>
        <v/>
      </c>
      <c r="C186" s="27" t="str">
        <f aca="false">IF(A186="","",TRIM(SUBSTITUTE(SUBSTITUTE(SUBSTITUTE(SUBSTITUTE(SUBSTITUTE(SUBSTITUTE(UPPER('Registro de Comisión'!I186),"Á","A"),"É","E"),"Í","I"),"Ó","O"),"Ú","U"),"Ü","U")))</f>
        <v/>
      </c>
      <c r="D186" s="28" t="str">
        <f aca="false">IF(A186="","",'Registro de Comisión'!J186)</f>
        <v/>
      </c>
      <c r="E186" s="28" t="str">
        <f aca="false">IF(A186="","",'Registro de Comisión'!K186)</f>
        <v/>
      </c>
      <c r="F186" s="29" t="str">
        <f aca="false">IF(A186="","",E186-D186+1)</f>
        <v/>
      </c>
      <c r="G186" s="27" t="str">
        <f aca="false">IF(A186="","",COUNTIFS($A$5:A186,A186))</f>
        <v/>
      </c>
      <c r="H186" s="27" t="str">
        <f aca="false">IF(A186="","",IF(E186=_xlfn.MAXIFS($E$5:$E$304,$A$5:$A$304,A186),1,0))</f>
        <v/>
      </c>
      <c r="I186" s="27" t="str">
        <f aca="false">IF(A186="","",A186&amp;"-"&amp;H186)</f>
        <v/>
      </c>
    </row>
    <row r="187" customFormat="false" ht="15" hidden="false" customHeight="false" outlineLevel="0" collapsed="false">
      <c r="A187" s="27" t="str">
        <f aca="false">IF('Registro de Comisión'!A187="","",'Registro de Comisión'!A187)</f>
        <v/>
      </c>
      <c r="B187" s="27" t="str">
        <f aca="false">IF(A187="","",TRIM(SUBSTITUTE(SUBSTITUTE(SUBSTITUTE(SUBSTITUTE(SUBSTITUTE(SUBSTITUTE(UPPER('Registro de Comisión'!B187),"Á","A"),"É","E"),"Í","I"),"Ó","O"),"Ú","U"),"Ü","U")))</f>
        <v/>
      </c>
      <c r="C187" s="27" t="str">
        <f aca="false">IF(A187="","",TRIM(SUBSTITUTE(SUBSTITUTE(SUBSTITUTE(SUBSTITUTE(SUBSTITUTE(SUBSTITUTE(UPPER('Registro de Comisión'!I187),"Á","A"),"É","E"),"Í","I"),"Ó","O"),"Ú","U"),"Ü","U")))</f>
        <v/>
      </c>
      <c r="D187" s="28" t="str">
        <f aca="false">IF(A187="","",'Registro de Comisión'!J187)</f>
        <v/>
      </c>
      <c r="E187" s="28" t="str">
        <f aca="false">IF(A187="","",'Registro de Comisión'!K187)</f>
        <v/>
      </c>
      <c r="F187" s="29" t="str">
        <f aca="false">IF(A187="","",E187-D187+1)</f>
        <v/>
      </c>
      <c r="G187" s="27" t="str">
        <f aca="false">IF(A187="","",COUNTIFS($A$5:A187,A187))</f>
        <v/>
      </c>
      <c r="H187" s="27" t="str">
        <f aca="false">IF(A187="","",IF(E187=_xlfn.MAXIFS($E$5:$E$304,$A$5:$A$304,A187),1,0))</f>
        <v/>
      </c>
      <c r="I187" s="27" t="str">
        <f aca="false">IF(A187="","",A187&amp;"-"&amp;H187)</f>
        <v/>
      </c>
    </row>
    <row r="188" customFormat="false" ht="15" hidden="false" customHeight="false" outlineLevel="0" collapsed="false">
      <c r="A188" s="27" t="str">
        <f aca="false">IF('Registro de Comisión'!A188="","",'Registro de Comisión'!A188)</f>
        <v/>
      </c>
      <c r="B188" s="27" t="str">
        <f aca="false">IF(A188="","",TRIM(SUBSTITUTE(SUBSTITUTE(SUBSTITUTE(SUBSTITUTE(SUBSTITUTE(SUBSTITUTE(UPPER('Registro de Comisión'!B188),"Á","A"),"É","E"),"Í","I"),"Ó","O"),"Ú","U"),"Ü","U")))</f>
        <v/>
      </c>
      <c r="C188" s="27" t="str">
        <f aca="false">IF(A188="","",TRIM(SUBSTITUTE(SUBSTITUTE(SUBSTITUTE(SUBSTITUTE(SUBSTITUTE(SUBSTITUTE(UPPER('Registro de Comisión'!I188),"Á","A"),"É","E"),"Í","I"),"Ó","O"),"Ú","U"),"Ü","U")))</f>
        <v/>
      </c>
      <c r="D188" s="28" t="str">
        <f aca="false">IF(A188="","",'Registro de Comisión'!J188)</f>
        <v/>
      </c>
      <c r="E188" s="28" t="str">
        <f aca="false">IF(A188="","",'Registro de Comisión'!K188)</f>
        <v/>
      </c>
      <c r="F188" s="29" t="str">
        <f aca="false">IF(A188="","",E188-D188+1)</f>
        <v/>
      </c>
      <c r="G188" s="27" t="str">
        <f aca="false">IF(A188="","",COUNTIFS($A$5:A188,A188))</f>
        <v/>
      </c>
      <c r="H188" s="27" t="str">
        <f aca="false">IF(A188="","",IF(E188=_xlfn.MAXIFS($E$5:$E$304,$A$5:$A$304,A188),1,0))</f>
        <v/>
      </c>
      <c r="I188" s="27" t="str">
        <f aca="false">IF(A188="","",A188&amp;"-"&amp;H188)</f>
        <v/>
      </c>
    </row>
    <row r="189" customFormat="false" ht="15" hidden="false" customHeight="false" outlineLevel="0" collapsed="false">
      <c r="A189" s="27" t="str">
        <f aca="false">IF('Registro de Comisión'!A189="","",'Registro de Comisión'!A189)</f>
        <v/>
      </c>
      <c r="B189" s="27" t="str">
        <f aca="false">IF(A189="","",TRIM(SUBSTITUTE(SUBSTITUTE(SUBSTITUTE(SUBSTITUTE(SUBSTITUTE(SUBSTITUTE(UPPER('Registro de Comisión'!B189),"Á","A"),"É","E"),"Í","I"),"Ó","O"),"Ú","U"),"Ü","U")))</f>
        <v/>
      </c>
      <c r="C189" s="27" t="str">
        <f aca="false">IF(A189="","",TRIM(SUBSTITUTE(SUBSTITUTE(SUBSTITUTE(SUBSTITUTE(SUBSTITUTE(SUBSTITUTE(UPPER('Registro de Comisión'!I189),"Á","A"),"É","E"),"Í","I"),"Ó","O"),"Ú","U"),"Ü","U")))</f>
        <v/>
      </c>
      <c r="D189" s="28" t="str">
        <f aca="false">IF(A189="","",'Registro de Comisión'!J189)</f>
        <v/>
      </c>
      <c r="E189" s="28" t="str">
        <f aca="false">IF(A189="","",'Registro de Comisión'!K189)</f>
        <v/>
      </c>
      <c r="F189" s="29" t="str">
        <f aca="false">IF(A189="","",E189-D189+1)</f>
        <v/>
      </c>
      <c r="G189" s="27" t="str">
        <f aca="false">IF(A189="","",COUNTIFS($A$5:A189,A189))</f>
        <v/>
      </c>
      <c r="H189" s="27" t="str">
        <f aca="false">IF(A189="","",IF(E189=_xlfn.MAXIFS($E$5:$E$304,$A$5:$A$304,A189),1,0))</f>
        <v/>
      </c>
      <c r="I189" s="27" t="str">
        <f aca="false">IF(A189="","",A189&amp;"-"&amp;H189)</f>
        <v/>
      </c>
    </row>
    <row r="190" customFormat="false" ht="15" hidden="false" customHeight="false" outlineLevel="0" collapsed="false">
      <c r="A190" s="27" t="str">
        <f aca="false">IF('Registro de Comisión'!A190="","",'Registro de Comisión'!A190)</f>
        <v/>
      </c>
      <c r="B190" s="27" t="str">
        <f aca="false">IF(A190="","",TRIM(SUBSTITUTE(SUBSTITUTE(SUBSTITUTE(SUBSTITUTE(SUBSTITUTE(SUBSTITUTE(UPPER('Registro de Comisión'!B190),"Á","A"),"É","E"),"Í","I"),"Ó","O"),"Ú","U"),"Ü","U")))</f>
        <v/>
      </c>
      <c r="C190" s="27" t="str">
        <f aca="false">IF(A190="","",TRIM(SUBSTITUTE(SUBSTITUTE(SUBSTITUTE(SUBSTITUTE(SUBSTITUTE(SUBSTITUTE(UPPER('Registro de Comisión'!I190),"Á","A"),"É","E"),"Í","I"),"Ó","O"),"Ú","U"),"Ü","U")))</f>
        <v/>
      </c>
      <c r="D190" s="28" t="str">
        <f aca="false">IF(A190="","",'Registro de Comisión'!J190)</f>
        <v/>
      </c>
      <c r="E190" s="28" t="str">
        <f aca="false">IF(A190="","",'Registro de Comisión'!K190)</f>
        <v/>
      </c>
      <c r="F190" s="29" t="str">
        <f aca="false">IF(A190="","",E190-D190+1)</f>
        <v/>
      </c>
      <c r="G190" s="27" t="str">
        <f aca="false">IF(A190="","",COUNTIFS($A$5:A190,A190))</f>
        <v/>
      </c>
      <c r="H190" s="27" t="str">
        <f aca="false">IF(A190="","",IF(E190=_xlfn.MAXIFS($E$5:$E$304,$A$5:$A$304,A190),1,0))</f>
        <v/>
      </c>
      <c r="I190" s="27" t="str">
        <f aca="false">IF(A190="","",A190&amp;"-"&amp;H190)</f>
        <v/>
      </c>
    </row>
    <row r="191" customFormat="false" ht="15" hidden="false" customHeight="false" outlineLevel="0" collapsed="false">
      <c r="A191" s="27" t="str">
        <f aca="false">IF('Registro de Comisión'!A191="","",'Registro de Comisión'!A191)</f>
        <v/>
      </c>
      <c r="B191" s="27" t="str">
        <f aca="false">IF(A191="","",TRIM(SUBSTITUTE(SUBSTITUTE(SUBSTITUTE(SUBSTITUTE(SUBSTITUTE(SUBSTITUTE(UPPER('Registro de Comisión'!B191),"Á","A"),"É","E"),"Í","I"),"Ó","O"),"Ú","U"),"Ü","U")))</f>
        <v/>
      </c>
      <c r="C191" s="27" t="str">
        <f aca="false">IF(A191="","",TRIM(SUBSTITUTE(SUBSTITUTE(SUBSTITUTE(SUBSTITUTE(SUBSTITUTE(SUBSTITUTE(UPPER('Registro de Comisión'!I191),"Á","A"),"É","E"),"Í","I"),"Ó","O"),"Ú","U"),"Ü","U")))</f>
        <v/>
      </c>
      <c r="D191" s="28" t="str">
        <f aca="false">IF(A191="","",'Registro de Comisión'!J191)</f>
        <v/>
      </c>
      <c r="E191" s="28" t="str">
        <f aca="false">IF(A191="","",'Registro de Comisión'!K191)</f>
        <v/>
      </c>
      <c r="F191" s="29" t="str">
        <f aca="false">IF(A191="","",E191-D191+1)</f>
        <v/>
      </c>
      <c r="G191" s="27" t="str">
        <f aca="false">IF(A191="","",COUNTIFS($A$5:A191,A191))</f>
        <v/>
      </c>
      <c r="H191" s="27" t="str">
        <f aca="false">IF(A191="","",IF(E191=_xlfn.MAXIFS($E$5:$E$304,$A$5:$A$304,A191),1,0))</f>
        <v/>
      </c>
      <c r="I191" s="27" t="str">
        <f aca="false">IF(A191="","",A191&amp;"-"&amp;H191)</f>
        <v/>
      </c>
    </row>
    <row r="192" customFormat="false" ht="15" hidden="false" customHeight="false" outlineLevel="0" collapsed="false">
      <c r="A192" s="27" t="str">
        <f aca="false">IF('Registro de Comisión'!A192="","",'Registro de Comisión'!A192)</f>
        <v/>
      </c>
      <c r="B192" s="27" t="str">
        <f aca="false">IF(A192="","",TRIM(SUBSTITUTE(SUBSTITUTE(SUBSTITUTE(SUBSTITUTE(SUBSTITUTE(SUBSTITUTE(UPPER('Registro de Comisión'!B192),"Á","A"),"É","E"),"Í","I"),"Ó","O"),"Ú","U"),"Ü","U")))</f>
        <v/>
      </c>
      <c r="C192" s="27" t="str">
        <f aca="false">IF(A192="","",TRIM(SUBSTITUTE(SUBSTITUTE(SUBSTITUTE(SUBSTITUTE(SUBSTITUTE(SUBSTITUTE(UPPER('Registro de Comisión'!I192),"Á","A"),"É","E"),"Í","I"),"Ó","O"),"Ú","U"),"Ü","U")))</f>
        <v/>
      </c>
      <c r="D192" s="28" t="str">
        <f aca="false">IF(A192="","",'Registro de Comisión'!J192)</f>
        <v/>
      </c>
      <c r="E192" s="28" t="str">
        <f aca="false">IF(A192="","",'Registro de Comisión'!K192)</f>
        <v/>
      </c>
      <c r="F192" s="29" t="str">
        <f aca="false">IF(A192="","",E192-D192+1)</f>
        <v/>
      </c>
      <c r="G192" s="27" t="str">
        <f aca="false">IF(A192="","",COUNTIFS($A$5:A192,A192))</f>
        <v/>
      </c>
      <c r="H192" s="27" t="str">
        <f aca="false">IF(A192="","",IF(E192=_xlfn.MAXIFS($E$5:$E$304,$A$5:$A$304,A192),1,0))</f>
        <v/>
      </c>
      <c r="I192" s="27" t="str">
        <f aca="false">IF(A192="","",A192&amp;"-"&amp;H192)</f>
        <v/>
      </c>
    </row>
    <row r="193" customFormat="false" ht="15" hidden="false" customHeight="false" outlineLevel="0" collapsed="false">
      <c r="A193" s="27" t="str">
        <f aca="false">IF('Registro de Comisión'!A193="","",'Registro de Comisión'!A193)</f>
        <v/>
      </c>
      <c r="B193" s="27" t="str">
        <f aca="false">IF(A193="","",TRIM(SUBSTITUTE(SUBSTITUTE(SUBSTITUTE(SUBSTITUTE(SUBSTITUTE(SUBSTITUTE(UPPER('Registro de Comisión'!B193),"Á","A"),"É","E"),"Í","I"),"Ó","O"),"Ú","U"),"Ü","U")))</f>
        <v/>
      </c>
      <c r="C193" s="27" t="str">
        <f aca="false">IF(A193="","",TRIM(SUBSTITUTE(SUBSTITUTE(SUBSTITUTE(SUBSTITUTE(SUBSTITUTE(SUBSTITUTE(UPPER('Registro de Comisión'!I193),"Á","A"),"É","E"),"Í","I"),"Ó","O"),"Ú","U"),"Ü","U")))</f>
        <v/>
      </c>
      <c r="D193" s="28" t="str">
        <f aca="false">IF(A193="","",'Registro de Comisión'!J193)</f>
        <v/>
      </c>
      <c r="E193" s="28" t="str">
        <f aca="false">IF(A193="","",'Registro de Comisión'!K193)</f>
        <v/>
      </c>
      <c r="F193" s="29" t="str">
        <f aca="false">IF(A193="","",E193-D193+1)</f>
        <v/>
      </c>
      <c r="G193" s="27" t="str">
        <f aca="false">IF(A193="","",COUNTIFS($A$5:A193,A193))</f>
        <v/>
      </c>
      <c r="H193" s="27" t="str">
        <f aca="false">IF(A193="","",IF(E193=_xlfn.MAXIFS($E$5:$E$304,$A$5:$A$304,A193),1,0))</f>
        <v/>
      </c>
      <c r="I193" s="27" t="str">
        <f aca="false">IF(A193="","",A193&amp;"-"&amp;H193)</f>
        <v/>
      </c>
    </row>
    <row r="194" customFormat="false" ht="15" hidden="false" customHeight="false" outlineLevel="0" collapsed="false">
      <c r="A194" s="27" t="str">
        <f aca="false">IF('Registro de Comisión'!A194="","",'Registro de Comisión'!A194)</f>
        <v/>
      </c>
      <c r="B194" s="27" t="str">
        <f aca="false">IF(A194="","",TRIM(SUBSTITUTE(SUBSTITUTE(SUBSTITUTE(SUBSTITUTE(SUBSTITUTE(SUBSTITUTE(UPPER('Registro de Comisión'!B194),"Á","A"),"É","E"),"Í","I"),"Ó","O"),"Ú","U"),"Ü","U")))</f>
        <v/>
      </c>
      <c r="C194" s="27" t="str">
        <f aca="false">IF(A194="","",TRIM(SUBSTITUTE(SUBSTITUTE(SUBSTITUTE(SUBSTITUTE(SUBSTITUTE(SUBSTITUTE(UPPER('Registro de Comisión'!I194),"Á","A"),"É","E"),"Í","I"),"Ó","O"),"Ú","U"),"Ü","U")))</f>
        <v/>
      </c>
      <c r="D194" s="28" t="str">
        <f aca="false">IF(A194="","",'Registro de Comisión'!J194)</f>
        <v/>
      </c>
      <c r="E194" s="28" t="str">
        <f aca="false">IF(A194="","",'Registro de Comisión'!K194)</f>
        <v/>
      </c>
      <c r="F194" s="29" t="str">
        <f aca="false">IF(A194="","",E194-D194+1)</f>
        <v/>
      </c>
      <c r="G194" s="27" t="str">
        <f aca="false">IF(A194="","",COUNTIFS($A$5:A194,A194))</f>
        <v/>
      </c>
      <c r="H194" s="27" t="str">
        <f aca="false">IF(A194="","",IF(E194=_xlfn.MAXIFS($E$5:$E$304,$A$5:$A$304,A194),1,0))</f>
        <v/>
      </c>
      <c r="I194" s="27" t="str">
        <f aca="false">IF(A194="","",A194&amp;"-"&amp;H194)</f>
        <v/>
      </c>
    </row>
    <row r="195" customFormat="false" ht="15" hidden="false" customHeight="false" outlineLevel="0" collapsed="false">
      <c r="A195" s="27" t="str">
        <f aca="false">IF('Registro de Comisión'!A195="","",'Registro de Comisión'!A195)</f>
        <v/>
      </c>
      <c r="B195" s="27" t="str">
        <f aca="false">IF(A195="","",TRIM(SUBSTITUTE(SUBSTITUTE(SUBSTITUTE(SUBSTITUTE(SUBSTITUTE(SUBSTITUTE(UPPER('Registro de Comisión'!B195),"Á","A"),"É","E"),"Í","I"),"Ó","O"),"Ú","U"),"Ü","U")))</f>
        <v/>
      </c>
      <c r="C195" s="27" t="str">
        <f aca="false">IF(A195="","",TRIM(SUBSTITUTE(SUBSTITUTE(SUBSTITUTE(SUBSTITUTE(SUBSTITUTE(SUBSTITUTE(UPPER('Registro de Comisión'!I195),"Á","A"),"É","E"),"Í","I"),"Ó","O"),"Ú","U"),"Ü","U")))</f>
        <v/>
      </c>
      <c r="D195" s="28" t="str">
        <f aca="false">IF(A195="","",'Registro de Comisión'!J195)</f>
        <v/>
      </c>
      <c r="E195" s="28" t="str">
        <f aca="false">IF(A195="","",'Registro de Comisión'!K195)</f>
        <v/>
      </c>
      <c r="F195" s="29" t="str">
        <f aca="false">IF(A195="","",E195-D195+1)</f>
        <v/>
      </c>
      <c r="G195" s="27" t="str">
        <f aca="false">IF(A195="","",COUNTIFS($A$5:A195,A195))</f>
        <v/>
      </c>
      <c r="H195" s="27" t="str">
        <f aca="false">IF(A195="","",IF(E195=_xlfn.MAXIFS($E$5:$E$304,$A$5:$A$304,A195),1,0))</f>
        <v/>
      </c>
      <c r="I195" s="27" t="str">
        <f aca="false">IF(A195="","",A195&amp;"-"&amp;H195)</f>
        <v/>
      </c>
    </row>
    <row r="196" customFormat="false" ht="15" hidden="false" customHeight="false" outlineLevel="0" collapsed="false">
      <c r="A196" s="27" t="str">
        <f aca="false">IF('Registro de Comisión'!A196="","",'Registro de Comisión'!A196)</f>
        <v/>
      </c>
      <c r="B196" s="27" t="str">
        <f aca="false">IF(A196="","",TRIM(SUBSTITUTE(SUBSTITUTE(SUBSTITUTE(SUBSTITUTE(SUBSTITUTE(SUBSTITUTE(UPPER('Registro de Comisión'!B196),"Á","A"),"É","E"),"Í","I"),"Ó","O"),"Ú","U"),"Ü","U")))</f>
        <v/>
      </c>
      <c r="C196" s="27" t="str">
        <f aca="false">IF(A196="","",TRIM(SUBSTITUTE(SUBSTITUTE(SUBSTITUTE(SUBSTITUTE(SUBSTITUTE(SUBSTITUTE(UPPER('Registro de Comisión'!I196),"Á","A"),"É","E"),"Í","I"),"Ó","O"),"Ú","U"),"Ü","U")))</f>
        <v/>
      </c>
      <c r="D196" s="28" t="str">
        <f aca="false">IF(A196="","",'Registro de Comisión'!J196)</f>
        <v/>
      </c>
      <c r="E196" s="28" t="str">
        <f aca="false">IF(A196="","",'Registro de Comisión'!K196)</f>
        <v/>
      </c>
      <c r="F196" s="29" t="str">
        <f aca="false">IF(A196="","",E196-D196+1)</f>
        <v/>
      </c>
      <c r="G196" s="27" t="str">
        <f aca="false">IF(A196="","",COUNTIFS($A$5:A196,A196))</f>
        <v/>
      </c>
      <c r="H196" s="27" t="str">
        <f aca="false">IF(A196="","",IF(E196=_xlfn.MAXIFS($E$5:$E$304,$A$5:$A$304,A196),1,0))</f>
        <v/>
      </c>
      <c r="I196" s="27" t="str">
        <f aca="false">IF(A196="","",A196&amp;"-"&amp;H196)</f>
        <v/>
      </c>
    </row>
    <row r="197" customFormat="false" ht="15" hidden="false" customHeight="false" outlineLevel="0" collapsed="false">
      <c r="A197" s="27" t="str">
        <f aca="false">IF('Registro de Comisión'!A197="","",'Registro de Comisión'!A197)</f>
        <v/>
      </c>
      <c r="B197" s="27" t="str">
        <f aca="false">IF(A197="","",TRIM(SUBSTITUTE(SUBSTITUTE(SUBSTITUTE(SUBSTITUTE(SUBSTITUTE(SUBSTITUTE(UPPER('Registro de Comisión'!B197),"Á","A"),"É","E"),"Í","I"),"Ó","O"),"Ú","U"),"Ü","U")))</f>
        <v/>
      </c>
      <c r="C197" s="27" t="str">
        <f aca="false">IF(A197="","",TRIM(SUBSTITUTE(SUBSTITUTE(SUBSTITUTE(SUBSTITUTE(SUBSTITUTE(SUBSTITUTE(UPPER('Registro de Comisión'!I197),"Á","A"),"É","E"),"Í","I"),"Ó","O"),"Ú","U"),"Ü","U")))</f>
        <v/>
      </c>
      <c r="D197" s="28" t="str">
        <f aca="false">IF(A197="","",'Registro de Comisión'!J197)</f>
        <v/>
      </c>
      <c r="E197" s="28" t="str">
        <f aca="false">IF(A197="","",'Registro de Comisión'!K197)</f>
        <v/>
      </c>
      <c r="F197" s="29" t="str">
        <f aca="false">IF(A197="","",E197-D197+1)</f>
        <v/>
      </c>
      <c r="G197" s="27" t="str">
        <f aca="false">IF(A197="","",COUNTIFS($A$5:A197,A197))</f>
        <v/>
      </c>
      <c r="H197" s="27" t="str">
        <f aca="false">IF(A197="","",IF(E197=_xlfn.MAXIFS($E$5:$E$304,$A$5:$A$304,A197),1,0))</f>
        <v/>
      </c>
      <c r="I197" s="27" t="str">
        <f aca="false">IF(A197="","",A197&amp;"-"&amp;H197)</f>
        <v/>
      </c>
    </row>
    <row r="198" customFormat="false" ht="15" hidden="false" customHeight="false" outlineLevel="0" collapsed="false">
      <c r="A198" s="27" t="str">
        <f aca="false">IF('Registro de Comisión'!A198="","",'Registro de Comisión'!A198)</f>
        <v/>
      </c>
      <c r="B198" s="27" t="str">
        <f aca="false">IF(A198="","",TRIM(SUBSTITUTE(SUBSTITUTE(SUBSTITUTE(SUBSTITUTE(SUBSTITUTE(SUBSTITUTE(UPPER('Registro de Comisión'!B198),"Á","A"),"É","E"),"Í","I"),"Ó","O"),"Ú","U"),"Ü","U")))</f>
        <v/>
      </c>
      <c r="C198" s="27" t="str">
        <f aca="false">IF(A198="","",TRIM(SUBSTITUTE(SUBSTITUTE(SUBSTITUTE(SUBSTITUTE(SUBSTITUTE(SUBSTITUTE(UPPER('Registro de Comisión'!I198),"Á","A"),"É","E"),"Í","I"),"Ó","O"),"Ú","U"),"Ü","U")))</f>
        <v/>
      </c>
      <c r="D198" s="28" t="str">
        <f aca="false">IF(A198="","",'Registro de Comisión'!J198)</f>
        <v/>
      </c>
      <c r="E198" s="28" t="str">
        <f aca="false">IF(A198="","",'Registro de Comisión'!K198)</f>
        <v/>
      </c>
      <c r="F198" s="29" t="str">
        <f aca="false">IF(A198="","",E198-D198+1)</f>
        <v/>
      </c>
      <c r="G198" s="27" t="str">
        <f aca="false">IF(A198="","",COUNTIFS($A$5:A198,A198))</f>
        <v/>
      </c>
      <c r="H198" s="27" t="str">
        <f aca="false">IF(A198="","",IF(E198=_xlfn.MAXIFS($E$5:$E$304,$A$5:$A$304,A198),1,0))</f>
        <v/>
      </c>
      <c r="I198" s="27" t="str">
        <f aca="false">IF(A198="","",A198&amp;"-"&amp;H198)</f>
        <v/>
      </c>
    </row>
    <row r="199" customFormat="false" ht="15" hidden="false" customHeight="false" outlineLevel="0" collapsed="false">
      <c r="A199" s="27" t="str">
        <f aca="false">IF('Registro de Comisión'!A199="","",'Registro de Comisión'!A199)</f>
        <v/>
      </c>
      <c r="B199" s="27" t="str">
        <f aca="false">IF(A199="","",TRIM(SUBSTITUTE(SUBSTITUTE(SUBSTITUTE(SUBSTITUTE(SUBSTITUTE(SUBSTITUTE(UPPER('Registro de Comisión'!B199),"Á","A"),"É","E"),"Í","I"),"Ó","O"),"Ú","U"),"Ü","U")))</f>
        <v/>
      </c>
      <c r="C199" s="27" t="str">
        <f aca="false">IF(A199="","",TRIM(SUBSTITUTE(SUBSTITUTE(SUBSTITUTE(SUBSTITUTE(SUBSTITUTE(SUBSTITUTE(UPPER('Registro de Comisión'!I199),"Á","A"),"É","E"),"Í","I"),"Ó","O"),"Ú","U"),"Ü","U")))</f>
        <v/>
      </c>
      <c r="D199" s="28" t="str">
        <f aca="false">IF(A199="","",'Registro de Comisión'!J199)</f>
        <v/>
      </c>
      <c r="E199" s="28" t="str">
        <f aca="false">IF(A199="","",'Registro de Comisión'!K199)</f>
        <v/>
      </c>
      <c r="F199" s="29" t="str">
        <f aca="false">IF(A199="","",E199-D199+1)</f>
        <v/>
      </c>
      <c r="G199" s="27" t="str">
        <f aca="false">IF(A199="","",COUNTIFS($A$5:A199,A199))</f>
        <v/>
      </c>
      <c r="H199" s="27" t="str">
        <f aca="false">IF(A199="","",IF(E199=_xlfn.MAXIFS($E$5:$E$304,$A$5:$A$304,A199),1,0))</f>
        <v/>
      </c>
      <c r="I199" s="27" t="str">
        <f aca="false">IF(A199="","",A199&amp;"-"&amp;H199)</f>
        <v/>
      </c>
    </row>
    <row r="200" customFormat="false" ht="15" hidden="false" customHeight="false" outlineLevel="0" collapsed="false">
      <c r="A200" s="27" t="str">
        <f aca="false">IF('Registro de Comisión'!A200="","",'Registro de Comisión'!A200)</f>
        <v/>
      </c>
      <c r="B200" s="27" t="str">
        <f aca="false">IF(A200="","",TRIM(SUBSTITUTE(SUBSTITUTE(SUBSTITUTE(SUBSTITUTE(SUBSTITUTE(SUBSTITUTE(UPPER('Registro de Comisión'!B200),"Á","A"),"É","E"),"Í","I"),"Ó","O"),"Ú","U"),"Ü","U")))</f>
        <v/>
      </c>
      <c r="C200" s="27" t="str">
        <f aca="false">IF(A200="","",TRIM(SUBSTITUTE(SUBSTITUTE(SUBSTITUTE(SUBSTITUTE(SUBSTITUTE(SUBSTITUTE(UPPER('Registro de Comisión'!I200),"Á","A"),"É","E"),"Í","I"),"Ó","O"),"Ú","U"),"Ü","U")))</f>
        <v/>
      </c>
      <c r="D200" s="28" t="str">
        <f aca="false">IF(A200="","",'Registro de Comisión'!J200)</f>
        <v/>
      </c>
      <c r="E200" s="28" t="str">
        <f aca="false">IF(A200="","",'Registro de Comisión'!K200)</f>
        <v/>
      </c>
      <c r="F200" s="29" t="str">
        <f aca="false">IF(A200="","",E200-D200+1)</f>
        <v/>
      </c>
      <c r="G200" s="27" t="str">
        <f aca="false">IF(A200="","",COUNTIFS($A$5:A200,A200))</f>
        <v/>
      </c>
      <c r="H200" s="27" t="str">
        <f aca="false">IF(A200="","",IF(E200=_xlfn.MAXIFS($E$5:$E$304,$A$5:$A$304,A200),1,0))</f>
        <v/>
      </c>
      <c r="I200" s="27" t="str">
        <f aca="false">IF(A200="","",A200&amp;"-"&amp;H200)</f>
        <v/>
      </c>
    </row>
    <row r="201" customFormat="false" ht="15" hidden="false" customHeight="false" outlineLevel="0" collapsed="false">
      <c r="A201" s="27" t="str">
        <f aca="false">IF('Registro de Comisión'!A201="","",'Registro de Comisión'!A201)</f>
        <v/>
      </c>
      <c r="B201" s="27" t="str">
        <f aca="false">IF(A201="","",TRIM(SUBSTITUTE(SUBSTITUTE(SUBSTITUTE(SUBSTITUTE(SUBSTITUTE(SUBSTITUTE(UPPER('Registro de Comisión'!B201),"Á","A"),"É","E"),"Í","I"),"Ó","O"),"Ú","U"),"Ü","U")))</f>
        <v/>
      </c>
      <c r="C201" s="27" t="str">
        <f aca="false">IF(A201="","",TRIM(SUBSTITUTE(SUBSTITUTE(SUBSTITUTE(SUBSTITUTE(SUBSTITUTE(SUBSTITUTE(UPPER('Registro de Comisión'!I201),"Á","A"),"É","E"),"Í","I"),"Ó","O"),"Ú","U"),"Ü","U")))</f>
        <v/>
      </c>
      <c r="D201" s="28" t="str">
        <f aca="false">IF(A201="","",'Registro de Comisión'!J201)</f>
        <v/>
      </c>
      <c r="E201" s="28" t="str">
        <f aca="false">IF(A201="","",'Registro de Comisión'!K201)</f>
        <v/>
      </c>
      <c r="F201" s="29" t="str">
        <f aca="false">IF(A201="","",E201-D201+1)</f>
        <v/>
      </c>
      <c r="G201" s="27" t="str">
        <f aca="false">IF(A201="","",COUNTIFS($A$5:A201,A201))</f>
        <v/>
      </c>
      <c r="H201" s="27" t="str">
        <f aca="false">IF(A201="","",IF(E201=_xlfn.MAXIFS($E$5:$E$304,$A$5:$A$304,A201),1,0))</f>
        <v/>
      </c>
      <c r="I201" s="27" t="str">
        <f aca="false">IF(A201="","",A201&amp;"-"&amp;H201)</f>
        <v/>
      </c>
    </row>
    <row r="202" customFormat="false" ht="15" hidden="false" customHeight="false" outlineLevel="0" collapsed="false">
      <c r="A202" s="27" t="str">
        <f aca="false">IF('Registro de Comisión'!A202="","",'Registro de Comisión'!A202)</f>
        <v/>
      </c>
      <c r="B202" s="27" t="str">
        <f aca="false">IF(A202="","",TRIM(SUBSTITUTE(SUBSTITUTE(SUBSTITUTE(SUBSTITUTE(SUBSTITUTE(SUBSTITUTE(UPPER('Registro de Comisión'!B202),"Á","A"),"É","E"),"Í","I"),"Ó","O"),"Ú","U"),"Ü","U")))</f>
        <v/>
      </c>
      <c r="C202" s="27" t="str">
        <f aca="false">IF(A202="","",TRIM(SUBSTITUTE(SUBSTITUTE(SUBSTITUTE(SUBSTITUTE(SUBSTITUTE(SUBSTITUTE(UPPER('Registro de Comisión'!I202),"Á","A"),"É","E"),"Í","I"),"Ó","O"),"Ú","U"),"Ü","U")))</f>
        <v/>
      </c>
      <c r="D202" s="28" t="str">
        <f aca="false">IF(A202="","",'Registro de Comisión'!J202)</f>
        <v/>
      </c>
      <c r="E202" s="28" t="str">
        <f aca="false">IF(A202="","",'Registro de Comisión'!K202)</f>
        <v/>
      </c>
      <c r="F202" s="29" t="str">
        <f aca="false">IF(A202="","",E202-D202+1)</f>
        <v/>
      </c>
      <c r="G202" s="27" t="str">
        <f aca="false">IF(A202="","",COUNTIFS($A$5:A202,A202))</f>
        <v/>
      </c>
      <c r="H202" s="27" t="str">
        <f aca="false">IF(A202="","",IF(E202=_xlfn.MAXIFS($E$5:$E$304,$A$5:$A$304,A202),1,0))</f>
        <v/>
      </c>
      <c r="I202" s="27" t="str">
        <f aca="false">IF(A202="","",A202&amp;"-"&amp;H202)</f>
        <v/>
      </c>
    </row>
    <row r="203" customFormat="false" ht="15" hidden="false" customHeight="false" outlineLevel="0" collapsed="false">
      <c r="A203" s="27" t="str">
        <f aca="false">IF('Registro de Comisión'!A203="","",'Registro de Comisión'!A203)</f>
        <v/>
      </c>
      <c r="B203" s="27" t="str">
        <f aca="false">IF(A203="","",TRIM(SUBSTITUTE(SUBSTITUTE(SUBSTITUTE(SUBSTITUTE(SUBSTITUTE(SUBSTITUTE(UPPER('Registro de Comisión'!B203),"Á","A"),"É","E"),"Í","I"),"Ó","O"),"Ú","U"),"Ü","U")))</f>
        <v/>
      </c>
      <c r="C203" s="27" t="str">
        <f aca="false">IF(A203="","",TRIM(SUBSTITUTE(SUBSTITUTE(SUBSTITUTE(SUBSTITUTE(SUBSTITUTE(SUBSTITUTE(UPPER('Registro de Comisión'!I203),"Á","A"),"É","E"),"Í","I"),"Ó","O"),"Ú","U"),"Ü","U")))</f>
        <v/>
      </c>
      <c r="D203" s="28" t="str">
        <f aca="false">IF(A203="","",'Registro de Comisión'!J203)</f>
        <v/>
      </c>
      <c r="E203" s="28" t="str">
        <f aca="false">IF(A203="","",'Registro de Comisión'!K203)</f>
        <v/>
      </c>
      <c r="F203" s="29" t="str">
        <f aca="false">IF(A203="","",E203-D203+1)</f>
        <v/>
      </c>
      <c r="G203" s="27" t="str">
        <f aca="false">IF(A203="","",COUNTIFS($A$5:A203,A203))</f>
        <v/>
      </c>
      <c r="H203" s="27" t="str">
        <f aca="false">IF(A203="","",IF(E203=_xlfn.MAXIFS($E$5:$E$304,$A$5:$A$304,A203),1,0))</f>
        <v/>
      </c>
      <c r="I203" s="27" t="str">
        <f aca="false">IF(A203="","",A203&amp;"-"&amp;H203)</f>
        <v/>
      </c>
    </row>
    <row r="204" customFormat="false" ht="15" hidden="false" customHeight="false" outlineLevel="0" collapsed="false">
      <c r="A204" s="27" t="str">
        <f aca="false">IF('Registro de Comisión'!A204="","",'Registro de Comisión'!A204)</f>
        <v/>
      </c>
      <c r="B204" s="27" t="str">
        <f aca="false">IF(A204="","",TRIM(SUBSTITUTE(SUBSTITUTE(SUBSTITUTE(SUBSTITUTE(SUBSTITUTE(SUBSTITUTE(UPPER('Registro de Comisión'!B204),"Á","A"),"É","E"),"Í","I"),"Ó","O"),"Ú","U"),"Ü","U")))</f>
        <v/>
      </c>
      <c r="C204" s="27" t="str">
        <f aca="false">IF(A204="","",TRIM(SUBSTITUTE(SUBSTITUTE(SUBSTITUTE(SUBSTITUTE(SUBSTITUTE(SUBSTITUTE(UPPER('Registro de Comisión'!I204),"Á","A"),"É","E"),"Í","I"),"Ó","O"),"Ú","U"),"Ü","U")))</f>
        <v/>
      </c>
      <c r="D204" s="28" t="str">
        <f aca="false">IF(A204="","",'Registro de Comisión'!J204)</f>
        <v/>
      </c>
      <c r="E204" s="28" t="str">
        <f aca="false">IF(A204="","",'Registro de Comisión'!K204)</f>
        <v/>
      </c>
      <c r="F204" s="29" t="str">
        <f aca="false">IF(A204="","",E204-D204+1)</f>
        <v/>
      </c>
      <c r="G204" s="27" t="str">
        <f aca="false">IF(A204="","",COUNTIFS($A$5:A204,A204))</f>
        <v/>
      </c>
      <c r="H204" s="27" t="str">
        <f aca="false">IF(A204="","",IF(E204=_xlfn.MAXIFS($E$5:$E$304,$A$5:$A$304,A204),1,0))</f>
        <v/>
      </c>
      <c r="I204" s="27" t="str">
        <f aca="false">IF(A204="","",A204&amp;"-"&amp;H204)</f>
        <v/>
      </c>
    </row>
    <row r="205" customFormat="false" ht="15" hidden="false" customHeight="false" outlineLevel="0" collapsed="false">
      <c r="A205" s="27" t="str">
        <f aca="false">IF('Registro de Comisión'!A205="","",'Registro de Comisión'!A205)</f>
        <v/>
      </c>
      <c r="B205" s="27" t="str">
        <f aca="false">IF(A205="","",TRIM(SUBSTITUTE(SUBSTITUTE(SUBSTITUTE(SUBSTITUTE(SUBSTITUTE(SUBSTITUTE(UPPER('Registro de Comisión'!B205),"Á","A"),"É","E"),"Í","I"),"Ó","O"),"Ú","U"),"Ü","U")))</f>
        <v/>
      </c>
      <c r="C205" s="27" t="str">
        <f aca="false">IF(A205="","",TRIM(SUBSTITUTE(SUBSTITUTE(SUBSTITUTE(SUBSTITUTE(SUBSTITUTE(SUBSTITUTE(UPPER('Registro de Comisión'!I205),"Á","A"),"É","E"),"Í","I"),"Ó","O"),"Ú","U"),"Ü","U")))</f>
        <v/>
      </c>
      <c r="D205" s="28" t="str">
        <f aca="false">IF(A205="","",'Registro de Comisión'!J205)</f>
        <v/>
      </c>
      <c r="E205" s="28" t="str">
        <f aca="false">IF(A205="","",'Registro de Comisión'!K205)</f>
        <v/>
      </c>
      <c r="F205" s="29" t="str">
        <f aca="false">IF(A205="","",E205-D205+1)</f>
        <v/>
      </c>
      <c r="G205" s="27" t="str">
        <f aca="false">IF(A205="","",COUNTIFS($A$5:A205,A205))</f>
        <v/>
      </c>
      <c r="H205" s="27" t="str">
        <f aca="false">IF(A205="","",IF(E205=_xlfn.MAXIFS($E$5:$E$304,$A$5:$A$304,A205),1,0))</f>
        <v/>
      </c>
      <c r="I205" s="27" t="str">
        <f aca="false">IF(A205="","",A205&amp;"-"&amp;H205)</f>
        <v/>
      </c>
    </row>
    <row r="206" customFormat="false" ht="15" hidden="false" customHeight="false" outlineLevel="0" collapsed="false">
      <c r="A206" s="27" t="str">
        <f aca="false">IF('Registro de Comisión'!A206="","",'Registro de Comisión'!A206)</f>
        <v/>
      </c>
      <c r="B206" s="27" t="str">
        <f aca="false">IF(A206="","",TRIM(SUBSTITUTE(SUBSTITUTE(SUBSTITUTE(SUBSTITUTE(SUBSTITUTE(SUBSTITUTE(UPPER('Registro de Comisión'!B206),"Á","A"),"É","E"),"Í","I"),"Ó","O"),"Ú","U"),"Ü","U")))</f>
        <v/>
      </c>
      <c r="C206" s="27" t="str">
        <f aca="false">IF(A206="","",TRIM(SUBSTITUTE(SUBSTITUTE(SUBSTITUTE(SUBSTITUTE(SUBSTITUTE(SUBSTITUTE(UPPER('Registro de Comisión'!I206),"Á","A"),"É","E"),"Í","I"),"Ó","O"),"Ú","U"),"Ü","U")))</f>
        <v/>
      </c>
      <c r="D206" s="28" t="str">
        <f aca="false">IF(A206="","",'Registro de Comisión'!J206)</f>
        <v/>
      </c>
      <c r="E206" s="28" t="str">
        <f aca="false">IF(A206="","",'Registro de Comisión'!K206)</f>
        <v/>
      </c>
      <c r="F206" s="29" t="str">
        <f aca="false">IF(A206="","",E206-D206+1)</f>
        <v/>
      </c>
      <c r="G206" s="27" t="str">
        <f aca="false">IF(A206="","",COUNTIFS($A$5:A206,A206))</f>
        <v/>
      </c>
      <c r="H206" s="27" t="str">
        <f aca="false">IF(A206="","",IF(E206=_xlfn.MAXIFS($E$5:$E$304,$A$5:$A$304,A206),1,0))</f>
        <v/>
      </c>
      <c r="I206" s="27" t="str">
        <f aca="false">IF(A206="","",A206&amp;"-"&amp;H206)</f>
        <v/>
      </c>
    </row>
    <row r="207" customFormat="false" ht="15" hidden="false" customHeight="false" outlineLevel="0" collapsed="false">
      <c r="A207" s="27" t="str">
        <f aca="false">IF('Registro de Comisión'!A207="","",'Registro de Comisión'!A207)</f>
        <v/>
      </c>
      <c r="B207" s="27" t="str">
        <f aca="false">IF(A207="","",TRIM(SUBSTITUTE(SUBSTITUTE(SUBSTITUTE(SUBSTITUTE(SUBSTITUTE(SUBSTITUTE(UPPER('Registro de Comisión'!B207),"Á","A"),"É","E"),"Í","I"),"Ó","O"),"Ú","U"),"Ü","U")))</f>
        <v/>
      </c>
      <c r="C207" s="27" t="str">
        <f aca="false">IF(A207="","",TRIM(SUBSTITUTE(SUBSTITUTE(SUBSTITUTE(SUBSTITUTE(SUBSTITUTE(SUBSTITUTE(UPPER('Registro de Comisión'!I207),"Á","A"),"É","E"),"Í","I"),"Ó","O"),"Ú","U"),"Ü","U")))</f>
        <v/>
      </c>
      <c r="D207" s="28" t="str">
        <f aca="false">IF(A207="","",'Registro de Comisión'!J207)</f>
        <v/>
      </c>
      <c r="E207" s="28" t="str">
        <f aca="false">IF(A207="","",'Registro de Comisión'!K207)</f>
        <v/>
      </c>
      <c r="F207" s="29" t="str">
        <f aca="false">IF(A207="","",E207-D207+1)</f>
        <v/>
      </c>
      <c r="G207" s="27" t="str">
        <f aca="false">IF(A207="","",COUNTIFS($A$5:A207,A207))</f>
        <v/>
      </c>
      <c r="H207" s="27" t="str">
        <f aca="false">IF(A207="","",IF(E207=_xlfn.MAXIFS($E$5:$E$304,$A$5:$A$304,A207),1,0))</f>
        <v/>
      </c>
      <c r="I207" s="27" t="str">
        <f aca="false">IF(A207="","",A207&amp;"-"&amp;H207)</f>
        <v/>
      </c>
    </row>
    <row r="208" customFormat="false" ht="15" hidden="false" customHeight="false" outlineLevel="0" collapsed="false">
      <c r="A208" s="27" t="str">
        <f aca="false">IF('Registro de Comisión'!A208="","",'Registro de Comisión'!A208)</f>
        <v/>
      </c>
      <c r="B208" s="27" t="str">
        <f aca="false">IF(A208="","",TRIM(SUBSTITUTE(SUBSTITUTE(SUBSTITUTE(SUBSTITUTE(SUBSTITUTE(SUBSTITUTE(UPPER('Registro de Comisión'!B208),"Á","A"),"É","E"),"Í","I"),"Ó","O"),"Ú","U"),"Ü","U")))</f>
        <v/>
      </c>
      <c r="C208" s="27" t="str">
        <f aca="false">IF(A208="","",TRIM(SUBSTITUTE(SUBSTITUTE(SUBSTITUTE(SUBSTITUTE(SUBSTITUTE(SUBSTITUTE(UPPER('Registro de Comisión'!I208),"Á","A"),"É","E"),"Í","I"),"Ó","O"),"Ú","U"),"Ü","U")))</f>
        <v/>
      </c>
      <c r="D208" s="28" t="str">
        <f aca="false">IF(A208="","",'Registro de Comisión'!J208)</f>
        <v/>
      </c>
      <c r="E208" s="28" t="str">
        <f aca="false">IF(A208="","",'Registro de Comisión'!K208)</f>
        <v/>
      </c>
      <c r="F208" s="29" t="str">
        <f aca="false">IF(A208="","",E208-D208+1)</f>
        <v/>
      </c>
      <c r="G208" s="27" t="str">
        <f aca="false">IF(A208="","",COUNTIFS($A$5:A208,A208))</f>
        <v/>
      </c>
      <c r="H208" s="27" t="str">
        <f aca="false">IF(A208="","",IF(E208=_xlfn.MAXIFS($E$5:$E$304,$A$5:$A$304,A208),1,0))</f>
        <v/>
      </c>
      <c r="I208" s="27" t="str">
        <f aca="false">IF(A208="","",A208&amp;"-"&amp;H208)</f>
        <v/>
      </c>
    </row>
    <row r="209" customFormat="false" ht="15" hidden="false" customHeight="false" outlineLevel="0" collapsed="false">
      <c r="A209" s="27" t="str">
        <f aca="false">IF('Registro de Comisión'!A209="","",'Registro de Comisión'!A209)</f>
        <v/>
      </c>
      <c r="B209" s="27" t="str">
        <f aca="false">IF(A209="","",TRIM(SUBSTITUTE(SUBSTITUTE(SUBSTITUTE(SUBSTITUTE(SUBSTITUTE(SUBSTITUTE(UPPER('Registro de Comisión'!B209),"Á","A"),"É","E"),"Í","I"),"Ó","O"),"Ú","U"),"Ü","U")))</f>
        <v/>
      </c>
      <c r="C209" s="27" t="str">
        <f aca="false">IF(A209="","",TRIM(SUBSTITUTE(SUBSTITUTE(SUBSTITUTE(SUBSTITUTE(SUBSTITUTE(SUBSTITUTE(UPPER('Registro de Comisión'!I209),"Á","A"),"É","E"),"Í","I"),"Ó","O"),"Ú","U"),"Ü","U")))</f>
        <v/>
      </c>
      <c r="D209" s="28" t="str">
        <f aca="false">IF(A209="","",'Registro de Comisión'!J209)</f>
        <v/>
      </c>
      <c r="E209" s="28" t="str">
        <f aca="false">IF(A209="","",'Registro de Comisión'!K209)</f>
        <v/>
      </c>
      <c r="F209" s="29" t="str">
        <f aca="false">IF(A209="","",E209-D209+1)</f>
        <v/>
      </c>
      <c r="G209" s="27" t="str">
        <f aca="false">IF(A209="","",COUNTIFS($A$5:A209,A209))</f>
        <v/>
      </c>
      <c r="H209" s="27" t="str">
        <f aca="false">IF(A209="","",IF(E209=_xlfn.MAXIFS($E$5:$E$304,$A$5:$A$304,A209),1,0))</f>
        <v/>
      </c>
      <c r="I209" s="27" t="str">
        <f aca="false">IF(A209="","",A209&amp;"-"&amp;H209)</f>
        <v/>
      </c>
    </row>
    <row r="210" customFormat="false" ht="15" hidden="false" customHeight="false" outlineLevel="0" collapsed="false">
      <c r="A210" s="27" t="str">
        <f aca="false">IF('Registro de Comisión'!A210="","",'Registro de Comisión'!A210)</f>
        <v/>
      </c>
      <c r="B210" s="27" t="str">
        <f aca="false">IF(A210="","",TRIM(SUBSTITUTE(SUBSTITUTE(SUBSTITUTE(SUBSTITUTE(SUBSTITUTE(SUBSTITUTE(UPPER('Registro de Comisión'!B210),"Á","A"),"É","E"),"Í","I"),"Ó","O"),"Ú","U"),"Ü","U")))</f>
        <v/>
      </c>
      <c r="C210" s="27" t="str">
        <f aca="false">IF(A210="","",TRIM(SUBSTITUTE(SUBSTITUTE(SUBSTITUTE(SUBSTITUTE(SUBSTITUTE(SUBSTITUTE(UPPER('Registro de Comisión'!I210),"Á","A"),"É","E"),"Í","I"),"Ó","O"),"Ú","U"),"Ü","U")))</f>
        <v/>
      </c>
      <c r="D210" s="28" t="str">
        <f aca="false">IF(A210="","",'Registro de Comisión'!J210)</f>
        <v/>
      </c>
      <c r="E210" s="28" t="str">
        <f aca="false">IF(A210="","",'Registro de Comisión'!K210)</f>
        <v/>
      </c>
      <c r="F210" s="29" t="str">
        <f aca="false">IF(A210="","",E210-D210+1)</f>
        <v/>
      </c>
      <c r="G210" s="27" t="str">
        <f aca="false">IF(A210="","",COUNTIFS($A$5:A210,A210))</f>
        <v/>
      </c>
      <c r="H210" s="27" t="str">
        <f aca="false">IF(A210="","",IF(E210=_xlfn.MAXIFS($E$5:$E$304,$A$5:$A$304,A210),1,0))</f>
        <v/>
      </c>
      <c r="I210" s="27" t="str">
        <f aca="false">IF(A210="","",A210&amp;"-"&amp;H210)</f>
        <v/>
      </c>
    </row>
    <row r="211" customFormat="false" ht="15" hidden="false" customHeight="false" outlineLevel="0" collapsed="false">
      <c r="A211" s="27" t="str">
        <f aca="false">IF('Registro de Comisión'!A211="","",'Registro de Comisión'!A211)</f>
        <v/>
      </c>
      <c r="B211" s="27" t="str">
        <f aca="false">IF(A211="","",TRIM(SUBSTITUTE(SUBSTITUTE(SUBSTITUTE(SUBSTITUTE(SUBSTITUTE(SUBSTITUTE(UPPER('Registro de Comisión'!B211),"Á","A"),"É","E"),"Í","I"),"Ó","O"),"Ú","U"),"Ü","U")))</f>
        <v/>
      </c>
      <c r="C211" s="27" t="str">
        <f aca="false">IF(A211="","",TRIM(SUBSTITUTE(SUBSTITUTE(SUBSTITUTE(SUBSTITUTE(SUBSTITUTE(SUBSTITUTE(UPPER('Registro de Comisión'!I211),"Á","A"),"É","E"),"Í","I"),"Ó","O"),"Ú","U"),"Ü","U")))</f>
        <v/>
      </c>
      <c r="D211" s="28" t="str">
        <f aca="false">IF(A211="","",'Registro de Comisión'!J211)</f>
        <v/>
      </c>
      <c r="E211" s="28" t="str">
        <f aca="false">IF(A211="","",'Registro de Comisión'!K211)</f>
        <v/>
      </c>
      <c r="F211" s="29" t="str">
        <f aca="false">IF(A211="","",E211-D211+1)</f>
        <v/>
      </c>
      <c r="G211" s="27" t="str">
        <f aca="false">IF(A211="","",COUNTIFS($A$5:A211,A211))</f>
        <v/>
      </c>
      <c r="H211" s="27" t="str">
        <f aca="false">IF(A211="","",IF(E211=_xlfn.MAXIFS($E$5:$E$304,$A$5:$A$304,A211),1,0))</f>
        <v/>
      </c>
      <c r="I211" s="27" t="str">
        <f aca="false">IF(A211="","",A211&amp;"-"&amp;H211)</f>
        <v/>
      </c>
    </row>
    <row r="212" customFormat="false" ht="15" hidden="false" customHeight="false" outlineLevel="0" collapsed="false">
      <c r="A212" s="27" t="str">
        <f aca="false">IF('Registro de Comisión'!A212="","",'Registro de Comisión'!A212)</f>
        <v/>
      </c>
      <c r="B212" s="27" t="str">
        <f aca="false">IF(A212="","",TRIM(SUBSTITUTE(SUBSTITUTE(SUBSTITUTE(SUBSTITUTE(SUBSTITUTE(SUBSTITUTE(UPPER('Registro de Comisión'!B212),"Á","A"),"É","E"),"Í","I"),"Ó","O"),"Ú","U"),"Ü","U")))</f>
        <v/>
      </c>
      <c r="C212" s="27" t="str">
        <f aca="false">IF(A212="","",TRIM(SUBSTITUTE(SUBSTITUTE(SUBSTITUTE(SUBSTITUTE(SUBSTITUTE(SUBSTITUTE(UPPER('Registro de Comisión'!I212),"Á","A"),"É","E"),"Í","I"),"Ó","O"),"Ú","U"),"Ü","U")))</f>
        <v/>
      </c>
      <c r="D212" s="28" t="str">
        <f aca="false">IF(A212="","",'Registro de Comisión'!J212)</f>
        <v/>
      </c>
      <c r="E212" s="28" t="str">
        <f aca="false">IF(A212="","",'Registro de Comisión'!K212)</f>
        <v/>
      </c>
      <c r="F212" s="29" t="str">
        <f aca="false">IF(A212="","",E212-D212+1)</f>
        <v/>
      </c>
      <c r="G212" s="27" t="str">
        <f aca="false">IF(A212="","",COUNTIFS($A$5:A212,A212))</f>
        <v/>
      </c>
      <c r="H212" s="27" t="str">
        <f aca="false">IF(A212="","",IF(E212=_xlfn.MAXIFS($E$5:$E$304,$A$5:$A$304,A212),1,0))</f>
        <v/>
      </c>
      <c r="I212" s="27" t="str">
        <f aca="false">IF(A212="","",A212&amp;"-"&amp;H212)</f>
        <v/>
      </c>
    </row>
    <row r="213" customFormat="false" ht="15" hidden="false" customHeight="false" outlineLevel="0" collapsed="false">
      <c r="A213" s="27" t="str">
        <f aca="false">IF('Registro de Comisión'!A213="","",'Registro de Comisión'!A213)</f>
        <v/>
      </c>
      <c r="B213" s="27" t="str">
        <f aca="false">IF(A213="","",TRIM(SUBSTITUTE(SUBSTITUTE(SUBSTITUTE(SUBSTITUTE(SUBSTITUTE(SUBSTITUTE(UPPER('Registro de Comisión'!B213),"Á","A"),"É","E"),"Í","I"),"Ó","O"),"Ú","U"),"Ü","U")))</f>
        <v/>
      </c>
      <c r="C213" s="27" t="str">
        <f aca="false">IF(A213="","",TRIM(SUBSTITUTE(SUBSTITUTE(SUBSTITUTE(SUBSTITUTE(SUBSTITUTE(SUBSTITUTE(UPPER('Registro de Comisión'!I213),"Á","A"),"É","E"),"Í","I"),"Ó","O"),"Ú","U"),"Ü","U")))</f>
        <v/>
      </c>
      <c r="D213" s="28" t="str">
        <f aca="false">IF(A213="","",'Registro de Comisión'!J213)</f>
        <v/>
      </c>
      <c r="E213" s="28" t="str">
        <f aca="false">IF(A213="","",'Registro de Comisión'!K213)</f>
        <v/>
      </c>
      <c r="F213" s="29" t="str">
        <f aca="false">IF(A213="","",E213-D213+1)</f>
        <v/>
      </c>
      <c r="G213" s="27" t="str">
        <f aca="false">IF(A213="","",COUNTIFS($A$5:A213,A213))</f>
        <v/>
      </c>
      <c r="H213" s="27" t="str">
        <f aca="false">IF(A213="","",IF(E213=_xlfn.MAXIFS($E$5:$E$304,$A$5:$A$304,A213),1,0))</f>
        <v/>
      </c>
      <c r="I213" s="27" t="str">
        <f aca="false">IF(A213="","",A213&amp;"-"&amp;H213)</f>
        <v/>
      </c>
    </row>
    <row r="214" customFormat="false" ht="15" hidden="false" customHeight="false" outlineLevel="0" collapsed="false">
      <c r="A214" s="27" t="str">
        <f aca="false">IF('Registro de Comisión'!A214="","",'Registro de Comisión'!A214)</f>
        <v/>
      </c>
      <c r="B214" s="27" t="str">
        <f aca="false">IF(A214="","",TRIM(SUBSTITUTE(SUBSTITUTE(SUBSTITUTE(SUBSTITUTE(SUBSTITUTE(SUBSTITUTE(UPPER('Registro de Comisión'!B214),"Á","A"),"É","E"),"Í","I"),"Ó","O"),"Ú","U"),"Ü","U")))</f>
        <v/>
      </c>
      <c r="C214" s="27" t="str">
        <f aca="false">IF(A214="","",TRIM(SUBSTITUTE(SUBSTITUTE(SUBSTITUTE(SUBSTITUTE(SUBSTITUTE(SUBSTITUTE(UPPER('Registro de Comisión'!I214),"Á","A"),"É","E"),"Í","I"),"Ó","O"),"Ú","U"),"Ü","U")))</f>
        <v/>
      </c>
      <c r="D214" s="28" t="str">
        <f aca="false">IF(A214="","",'Registro de Comisión'!J214)</f>
        <v/>
      </c>
      <c r="E214" s="28" t="str">
        <f aca="false">IF(A214="","",'Registro de Comisión'!K214)</f>
        <v/>
      </c>
      <c r="F214" s="29" t="str">
        <f aca="false">IF(A214="","",E214-D214+1)</f>
        <v/>
      </c>
      <c r="G214" s="27" t="str">
        <f aca="false">IF(A214="","",COUNTIFS($A$5:A214,A214))</f>
        <v/>
      </c>
      <c r="H214" s="27" t="str">
        <f aca="false">IF(A214="","",IF(E214=_xlfn.MAXIFS($E$5:$E$304,$A$5:$A$304,A214),1,0))</f>
        <v/>
      </c>
      <c r="I214" s="27" t="str">
        <f aca="false">IF(A214="","",A214&amp;"-"&amp;H214)</f>
        <v/>
      </c>
    </row>
    <row r="215" customFormat="false" ht="15" hidden="false" customHeight="false" outlineLevel="0" collapsed="false">
      <c r="A215" s="27" t="str">
        <f aca="false">IF('Registro de Comisión'!A215="","",'Registro de Comisión'!A215)</f>
        <v/>
      </c>
      <c r="B215" s="27" t="str">
        <f aca="false">IF(A215="","",TRIM(SUBSTITUTE(SUBSTITUTE(SUBSTITUTE(SUBSTITUTE(SUBSTITUTE(SUBSTITUTE(UPPER('Registro de Comisión'!B215),"Á","A"),"É","E"),"Í","I"),"Ó","O"),"Ú","U"),"Ü","U")))</f>
        <v/>
      </c>
      <c r="C215" s="27" t="str">
        <f aca="false">IF(A215="","",TRIM(SUBSTITUTE(SUBSTITUTE(SUBSTITUTE(SUBSTITUTE(SUBSTITUTE(SUBSTITUTE(UPPER('Registro de Comisión'!I215),"Á","A"),"É","E"),"Í","I"),"Ó","O"),"Ú","U"),"Ü","U")))</f>
        <v/>
      </c>
      <c r="D215" s="28" t="str">
        <f aca="false">IF(A215="","",'Registro de Comisión'!J215)</f>
        <v/>
      </c>
      <c r="E215" s="28" t="str">
        <f aca="false">IF(A215="","",'Registro de Comisión'!K215)</f>
        <v/>
      </c>
      <c r="F215" s="29" t="str">
        <f aca="false">IF(A215="","",E215-D215+1)</f>
        <v/>
      </c>
      <c r="G215" s="27" t="str">
        <f aca="false">IF(A215="","",COUNTIFS($A$5:A215,A215))</f>
        <v/>
      </c>
      <c r="H215" s="27" t="str">
        <f aca="false">IF(A215="","",IF(E215=_xlfn.MAXIFS($E$5:$E$304,$A$5:$A$304,A215),1,0))</f>
        <v/>
      </c>
      <c r="I215" s="27" t="str">
        <f aca="false">IF(A215="","",A215&amp;"-"&amp;H215)</f>
        <v/>
      </c>
    </row>
    <row r="216" customFormat="false" ht="15" hidden="false" customHeight="false" outlineLevel="0" collapsed="false">
      <c r="A216" s="27" t="str">
        <f aca="false">IF('Registro de Comisión'!A216="","",'Registro de Comisión'!A216)</f>
        <v/>
      </c>
      <c r="B216" s="27" t="str">
        <f aca="false">IF(A216="","",TRIM(SUBSTITUTE(SUBSTITUTE(SUBSTITUTE(SUBSTITUTE(SUBSTITUTE(SUBSTITUTE(UPPER('Registro de Comisión'!B216),"Á","A"),"É","E"),"Í","I"),"Ó","O"),"Ú","U"),"Ü","U")))</f>
        <v/>
      </c>
      <c r="C216" s="27" t="str">
        <f aca="false">IF(A216="","",TRIM(SUBSTITUTE(SUBSTITUTE(SUBSTITUTE(SUBSTITUTE(SUBSTITUTE(SUBSTITUTE(UPPER('Registro de Comisión'!I216),"Á","A"),"É","E"),"Í","I"),"Ó","O"),"Ú","U"),"Ü","U")))</f>
        <v/>
      </c>
      <c r="D216" s="28" t="str">
        <f aca="false">IF(A216="","",'Registro de Comisión'!J216)</f>
        <v/>
      </c>
      <c r="E216" s="28" t="str">
        <f aca="false">IF(A216="","",'Registro de Comisión'!K216)</f>
        <v/>
      </c>
      <c r="F216" s="29" t="str">
        <f aca="false">IF(A216="","",E216-D216+1)</f>
        <v/>
      </c>
      <c r="G216" s="27" t="str">
        <f aca="false">IF(A216="","",COUNTIFS($A$5:A216,A216))</f>
        <v/>
      </c>
      <c r="H216" s="27" t="str">
        <f aca="false">IF(A216="","",IF(E216=_xlfn.MAXIFS($E$5:$E$304,$A$5:$A$304,A216),1,0))</f>
        <v/>
      </c>
      <c r="I216" s="27" t="str">
        <f aca="false">IF(A216="","",A216&amp;"-"&amp;H216)</f>
        <v/>
      </c>
    </row>
    <row r="217" customFormat="false" ht="15" hidden="false" customHeight="false" outlineLevel="0" collapsed="false">
      <c r="A217" s="27" t="str">
        <f aca="false">IF('Registro de Comisión'!A217="","",'Registro de Comisión'!A217)</f>
        <v/>
      </c>
      <c r="B217" s="27" t="str">
        <f aca="false">IF(A217="","",TRIM(SUBSTITUTE(SUBSTITUTE(SUBSTITUTE(SUBSTITUTE(SUBSTITUTE(SUBSTITUTE(UPPER('Registro de Comisión'!B217),"Á","A"),"É","E"),"Í","I"),"Ó","O"),"Ú","U"),"Ü","U")))</f>
        <v/>
      </c>
      <c r="C217" s="27" t="str">
        <f aca="false">IF(A217="","",TRIM(SUBSTITUTE(SUBSTITUTE(SUBSTITUTE(SUBSTITUTE(SUBSTITUTE(SUBSTITUTE(UPPER('Registro de Comisión'!I217),"Á","A"),"É","E"),"Í","I"),"Ó","O"),"Ú","U"),"Ü","U")))</f>
        <v/>
      </c>
      <c r="D217" s="28" t="str">
        <f aca="false">IF(A217="","",'Registro de Comisión'!J217)</f>
        <v/>
      </c>
      <c r="E217" s="28" t="str">
        <f aca="false">IF(A217="","",'Registro de Comisión'!K217)</f>
        <v/>
      </c>
      <c r="F217" s="29" t="str">
        <f aca="false">IF(A217="","",E217-D217+1)</f>
        <v/>
      </c>
      <c r="G217" s="27" t="str">
        <f aca="false">IF(A217="","",COUNTIFS($A$5:A217,A217))</f>
        <v/>
      </c>
      <c r="H217" s="27" t="str">
        <f aca="false">IF(A217="","",IF(E217=_xlfn.MAXIFS($E$5:$E$304,$A$5:$A$304,A217),1,0))</f>
        <v/>
      </c>
      <c r="I217" s="27" t="str">
        <f aca="false">IF(A217="","",A217&amp;"-"&amp;H217)</f>
        <v/>
      </c>
    </row>
    <row r="218" customFormat="false" ht="15" hidden="false" customHeight="false" outlineLevel="0" collapsed="false">
      <c r="A218" s="27" t="str">
        <f aca="false">IF('Registro de Comisión'!A218="","",'Registro de Comisión'!A218)</f>
        <v/>
      </c>
      <c r="B218" s="27" t="str">
        <f aca="false">IF(A218="","",TRIM(SUBSTITUTE(SUBSTITUTE(SUBSTITUTE(SUBSTITUTE(SUBSTITUTE(SUBSTITUTE(UPPER('Registro de Comisión'!B218),"Á","A"),"É","E"),"Í","I"),"Ó","O"),"Ú","U"),"Ü","U")))</f>
        <v/>
      </c>
      <c r="C218" s="27" t="str">
        <f aca="false">IF(A218="","",TRIM(SUBSTITUTE(SUBSTITUTE(SUBSTITUTE(SUBSTITUTE(SUBSTITUTE(SUBSTITUTE(UPPER('Registro de Comisión'!I218),"Á","A"),"É","E"),"Í","I"),"Ó","O"),"Ú","U"),"Ü","U")))</f>
        <v/>
      </c>
      <c r="D218" s="28" t="str">
        <f aca="false">IF(A218="","",'Registro de Comisión'!J218)</f>
        <v/>
      </c>
      <c r="E218" s="28" t="str">
        <f aca="false">IF(A218="","",'Registro de Comisión'!K218)</f>
        <v/>
      </c>
      <c r="F218" s="29" t="str">
        <f aca="false">IF(A218="","",E218-D218+1)</f>
        <v/>
      </c>
      <c r="G218" s="27" t="str">
        <f aca="false">IF(A218="","",COUNTIFS($A$5:A218,A218))</f>
        <v/>
      </c>
      <c r="H218" s="27" t="str">
        <f aca="false">IF(A218="","",IF(E218=_xlfn.MAXIFS($E$5:$E$304,$A$5:$A$304,A218),1,0))</f>
        <v/>
      </c>
      <c r="I218" s="27" t="str">
        <f aca="false">IF(A218="","",A218&amp;"-"&amp;H218)</f>
        <v/>
      </c>
    </row>
    <row r="219" customFormat="false" ht="15" hidden="false" customHeight="false" outlineLevel="0" collapsed="false">
      <c r="A219" s="27" t="str">
        <f aca="false">IF('Registro de Comisión'!A219="","",'Registro de Comisión'!A219)</f>
        <v/>
      </c>
      <c r="B219" s="27" t="str">
        <f aca="false">IF(A219="","",TRIM(SUBSTITUTE(SUBSTITUTE(SUBSTITUTE(SUBSTITUTE(SUBSTITUTE(SUBSTITUTE(UPPER('Registro de Comisión'!B219),"Á","A"),"É","E"),"Í","I"),"Ó","O"),"Ú","U"),"Ü","U")))</f>
        <v/>
      </c>
      <c r="C219" s="27" t="str">
        <f aca="false">IF(A219="","",TRIM(SUBSTITUTE(SUBSTITUTE(SUBSTITUTE(SUBSTITUTE(SUBSTITUTE(SUBSTITUTE(UPPER('Registro de Comisión'!I219),"Á","A"),"É","E"),"Í","I"),"Ó","O"),"Ú","U"),"Ü","U")))</f>
        <v/>
      </c>
      <c r="D219" s="28" t="str">
        <f aca="false">IF(A219="","",'Registro de Comisión'!J219)</f>
        <v/>
      </c>
      <c r="E219" s="28" t="str">
        <f aca="false">IF(A219="","",'Registro de Comisión'!K219)</f>
        <v/>
      </c>
      <c r="F219" s="29" t="str">
        <f aca="false">IF(A219="","",E219-D219+1)</f>
        <v/>
      </c>
      <c r="G219" s="27" t="str">
        <f aca="false">IF(A219="","",COUNTIFS($A$5:A219,A219))</f>
        <v/>
      </c>
      <c r="H219" s="27" t="str">
        <f aca="false">IF(A219="","",IF(E219=_xlfn.MAXIFS($E$5:$E$304,$A$5:$A$304,A219),1,0))</f>
        <v/>
      </c>
      <c r="I219" s="27" t="str">
        <f aca="false">IF(A219="","",A219&amp;"-"&amp;H219)</f>
        <v/>
      </c>
    </row>
    <row r="220" customFormat="false" ht="15" hidden="false" customHeight="false" outlineLevel="0" collapsed="false">
      <c r="A220" s="27" t="str">
        <f aca="false">IF('Registro de Comisión'!A220="","",'Registro de Comisión'!A220)</f>
        <v/>
      </c>
      <c r="B220" s="27" t="str">
        <f aca="false">IF(A220="","",TRIM(SUBSTITUTE(SUBSTITUTE(SUBSTITUTE(SUBSTITUTE(SUBSTITUTE(SUBSTITUTE(UPPER('Registro de Comisión'!B220),"Á","A"),"É","E"),"Í","I"),"Ó","O"),"Ú","U"),"Ü","U")))</f>
        <v/>
      </c>
      <c r="C220" s="27" t="str">
        <f aca="false">IF(A220="","",TRIM(SUBSTITUTE(SUBSTITUTE(SUBSTITUTE(SUBSTITUTE(SUBSTITUTE(SUBSTITUTE(UPPER('Registro de Comisión'!I220),"Á","A"),"É","E"),"Í","I"),"Ó","O"),"Ú","U"),"Ü","U")))</f>
        <v/>
      </c>
      <c r="D220" s="28" t="str">
        <f aca="false">IF(A220="","",'Registro de Comisión'!J220)</f>
        <v/>
      </c>
      <c r="E220" s="28" t="str">
        <f aca="false">IF(A220="","",'Registro de Comisión'!K220)</f>
        <v/>
      </c>
      <c r="F220" s="29" t="str">
        <f aca="false">IF(A220="","",E220-D220+1)</f>
        <v/>
      </c>
      <c r="G220" s="27" t="str">
        <f aca="false">IF(A220="","",COUNTIFS($A$5:A220,A220))</f>
        <v/>
      </c>
      <c r="H220" s="27" t="str">
        <f aca="false">IF(A220="","",IF(E220=_xlfn.MAXIFS($E$5:$E$304,$A$5:$A$304,A220),1,0))</f>
        <v/>
      </c>
      <c r="I220" s="27" t="str">
        <f aca="false">IF(A220="","",A220&amp;"-"&amp;H220)</f>
        <v/>
      </c>
    </row>
    <row r="221" customFormat="false" ht="15" hidden="false" customHeight="false" outlineLevel="0" collapsed="false">
      <c r="A221" s="27" t="str">
        <f aca="false">IF('Registro de Comisión'!A221="","",'Registro de Comisión'!A221)</f>
        <v/>
      </c>
      <c r="B221" s="27" t="str">
        <f aca="false">IF(A221="","",TRIM(SUBSTITUTE(SUBSTITUTE(SUBSTITUTE(SUBSTITUTE(SUBSTITUTE(SUBSTITUTE(UPPER('Registro de Comisión'!B221),"Á","A"),"É","E"),"Í","I"),"Ó","O"),"Ú","U"),"Ü","U")))</f>
        <v/>
      </c>
      <c r="C221" s="27" t="str">
        <f aca="false">IF(A221="","",TRIM(SUBSTITUTE(SUBSTITUTE(SUBSTITUTE(SUBSTITUTE(SUBSTITUTE(SUBSTITUTE(UPPER('Registro de Comisión'!I221),"Á","A"),"É","E"),"Í","I"),"Ó","O"),"Ú","U"),"Ü","U")))</f>
        <v/>
      </c>
      <c r="D221" s="28" t="str">
        <f aca="false">IF(A221="","",'Registro de Comisión'!J221)</f>
        <v/>
      </c>
      <c r="E221" s="28" t="str">
        <f aca="false">IF(A221="","",'Registro de Comisión'!K221)</f>
        <v/>
      </c>
      <c r="F221" s="29" t="str">
        <f aca="false">IF(A221="","",E221-D221+1)</f>
        <v/>
      </c>
      <c r="G221" s="27" t="str">
        <f aca="false">IF(A221="","",COUNTIFS($A$5:A221,A221))</f>
        <v/>
      </c>
      <c r="H221" s="27" t="str">
        <f aca="false">IF(A221="","",IF(E221=_xlfn.MAXIFS($E$5:$E$304,$A$5:$A$304,A221),1,0))</f>
        <v/>
      </c>
      <c r="I221" s="27" t="str">
        <f aca="false">IF(A221="","",A221&amp;"-"&amp;H221)</f>
        <v/>
      </c>
    </row>
    <row r="222" customFormat="false" ht="15" hidden="false" customHeight="false" outlineLevel="0" collapsed="false">
      <c r="A222" s="27" t="str">
        <f aca="false">IF('Registro de Comisión'!A222="","",'Registro de Comisión'!A222)</f>
        <v/>
      </c>
      <c r="B222" s="27" t="str">
        <f aca="false">IF(A222="","",TRIM(SUBSTITUTE(SUBSTITUTE(SUBSTITUTE(SUBSTITUTE(SUBSTITUTE(SUBSTITUTE(UPPER('Registro de Comisión'!B222),"Á","A"),"É","E"),"Í","I"),"Ó","O"),"Ú","U"),"Ü","U")))</f>
        <v/>
      </c>
      <c r="C222" s="27" t="str">
        <f aca="false">IF(A222="","",TRIM(SUBSTITUTE(SUBSTITUTE(SUBSTITUTE(SUBSTITUTE(SUBSTITUTE(SUBSTITUTE(UPPER('Registro de Comisión'!I222),"Á","A"),"É","E"),"Í","I"),"Ó","O"),"Ú","U"),"Ü","U")))</f>
        <v/>
      </c>
      <c r="D222" s="28" t="str">
        <f aca="false">IF(A222="","",'Registro de Comisión'!J222)</f>
        <v/>
      </c>
      <c r="E222" s="28" t="str">
        <f aca="false">IF(A222="","",'Registro de Comisión'!K222)</f>
        <v/>
      </c>
      <c r="F222" s="29" t="str">
        <f aca="false">IF(A222="","",E222-D222+1)</f>
        <v/>
      </c>
      <c r="G222" s="27" t="str">
        <f aca="false">IF(A222="","",COUNTIFS($A$5:A222,A222))</f>
        <v/>
      </c>
      <c r="H222" s="27" t="str">
        <f aca="false">IF(A222="","",IF(E222=_xlfn.MAXIFS($E$5:$E$304,$A$5:$A$304,A222),1,0))</f>
        <v/>
      </c>
      <c r="I222" s="27" t="str">
        <f aca="false">IF(A222="","",A222&amp;"-"&amp;H222)</f>
        <v/>
      </c>
    </row>
    <row r="223" customFormat="false" ht="15" hidden="false" customHeight="false" outlineLevel="0" collapsed="false">
      <c r="A223" s="27" t="str">
        <f aca="false">IF('Registro de Comisión'!A223="","",'Registro de Comisión'!A223)</f>
        <v/>
      </c>
      <c r="B223" s="27" t="str">
        <f aca="false">IF(A223="","",TRIM(SUBSTITUTE(SUBSTITUTE(SUBSTITUTE(SUBSTITUTE(SUBSTITUTE(SUBSTITUTE(UPPER('Registro de Comisión'!B223),"Á","A"),"É","E"),"Í","I"),"Ó","O"),"Ú","U"),"Ü","U")))</f>
        <v/>
      </c>
      <c r="C223" s="27" t="str">
        <f aca="false">IF(A223="","",TRIM(SUBSTITUTE(SUBSTITUTE(SUBSTITUTE(SUBSTITUTE(SUBSTITUTE(SUBSTITUTE(UPPER('Registro de Comisión'!I223),"Á","A"),"É","E"),"Í","I"),"Ó","O"),"Ú","U"),"Ü","U")))</f>
        <v/>
      </c>
      <c r="D223" s="28" t="str">
        <f aca="false">IF(A223="","",'Registro de Comisión'!J223)</f>
        <v/>
      </c>
      <c r="E223" s="28" t="str">
        <f aca="false">IF(A223="","",'Registro de Comisión'!K223)</f>
        <v/>
      </c>
      <c r="F223" s="29" t="str">
        <f aca="false">IF(A223="","",E223-D223+1)</f>
        <v/>
      </c>
      <c r="G223" s="27" t="str">
        <f aca="false">IF(A223="","",COUNTIFS($A$5:A223,A223))</f>
        <v/>
      </c>
      <c r="H223" s="27" t="str">
        <f aca="false">IF(A223="","",IF(E223=_xlfn.MAXIFS($E$5:$E$304,$A$5:$A$304,A223),1,0))</f>
        <v/>
      </c>
      <c r="I223" s="27" t="str">
        <f aca="false">IF(A223="","",A223&amp;"-"&amp;H223)</f>
        <v/>
      </c>
    </row>
    <row r="224" customFormat="false" ht="15" hidden="false" customHeight="false" outlineLevel="0" collapsed="false">
      <c r="A224" s="27" t="str">
        <f aca="false">IF('Registro de Comisión'!A224="","",'Registro de Comisión'!A224)</f>
        <v/>
      </c>
      <c r="B224" s="27" t="str">
        <f aca="false">IF(A224="","",TRIM(SUBSTITUTE(SUBSTITUTE(SUBSTITUTE(SUBSTITUTE(SUBSTITUTE(SUBSTITUTE(UPPER('Registro de Comisión'!B224),"Á","A"),"É","E"),"Í","I"),"Ó","O"),"Ú","U"),"Ü","U")))</f>
        <v/>
      </c>
      <c r="C224" s="27" t="str">
        <f aca="false">IF(A224="","",TRIM(SUBSTITUTE(SUBSTITUTE(SUBSTITUTE(SUBSTITUTE(SUBSTITUTE(SUBSTITUTE(UPPER('Registro de Comisión'!I224),"Á","A"),"É","E"),"Í","I"),"Ó","O"),"Ú","U"),"Ü","U")))</f>
        <v/>
      </c>
      <c r="D224" s="28" t="str">
        <f aca="false">IF(A224="","",'Registro de Comisión'!J224)</f>
        <v/>
      </c>
      <c r="E224" s="28" t="str">
        <f aca="false">IF(A224="","",'Registro de Comisión'!K224)</f>
        <v/>
      </c>
      <c r="F224" s="29" t="str">
        <f aca="false">IF(A224="","",E224-D224+1)</f>
        <v/>
      </c>
      <c r="G224" s="27" t="str">
        <f aca="false">IF(A224="","",COUNTIFS($A$5:A224,A224))</f>
        <v/>
      </c>
      <c r="H224" s="27" t="str">
        <f aca="false">IF(A224="","",IF(E224=_xlfn.MAXIFS($E$5:$E$304,$A$5:$A$304,A224),1,0))</f>
        <v/>
      </c>
      <c r="I224" s="27" t="str">
        <f aca="false">IF(A224="","",A224&amp;"-"&amp;H224)</f>
        <v/>
      </c>
    </row>
    <row r="225" customFormat="false" ht="15" hidden="false" customHeight="false" outlineLevel="0" collapsed="false">
      <c r="A225" s="27" t="str">
        <f aca="false">IF('Registro de Comisión'!A225="","",'Registro de Comisión'!A225)</f>
        <v/>
      </c>
      <c r="B225" s="27" t="str">
        <f aca="false">IF(A225="","",TRIM(SUBSTITUTE(SUBSTITUTE(SUBSTITUTE(SUBSTITUTE(SUBSTITUTE(SUBSTITUTE(UPPER('Registro de Comisión'!B225),"Á","A"),"É","E"),"Í","I"),"Ó","O"),"Ú","U"),"Ü","U")))</f>
        <v/>
      </c>
      <c r="C225" s="27" t="str">
        <f aca="false">IF(A225="","",TRIM(SUBSTITUTE(SUBSTITUTE(SUBSTITUTE(SUBSTITUTE(SUBSTITUTE(SUBSTITUTE(UPPER('Registro de Comisión'!I225),"Á","A"),"É","E"),"Í","I"),"Ó","O"),"Ú","U"),"Ü","U")))</f>
        <v/>
      </c>
      <c r="D225" s="28" t="str">
        <f aca="false">IF(A225="","",'Registro de Comisión'!J225)</f>
        <v/>
      </c>
      <c r="E225" s="28" t="str">
        <f aca="false">IF(A225="","",'Registro de Comisión'!K225)</f>
        <v/>
      </c>
      <c r="F225" s="29" t="str">
        <f aca="false">IF(A225="","",E225-D225+1)</f>
        <v/>
      </c>
      <c r="G225" s="27" t="str">
        <f aca="false">IF(A225="","",COUNTIFS($A$5:A225,A225))</f>
        <v/>
      </c>
      <c r="H225" s="27" t="str">
        <f aca="false">IF(A225="","",IF(E225=_xlfn.MAXIFS($E$5:$E$304,$A$5:$A$304,A225),1,0))</f>
        <v/>
      </c>
      <c r="I225" s="27" t="str">
        <f aca="false">IF(A225="","",A225&amp;"-"&amp;H225)</f>
        <v/>
      </c>
    </row>
    <row r="226" customFormat="false" ht="15" hidden="false" customHeight="false" outlineLevel="0" collapsed="false">
      <c r="A226" s="27" t="str">
        <f aca="false">IF('Registro de Comisión'!A226="","",'Registro de Comisión'!A226)</f>
        <v/>
      </c>
      <c r="B226" s="27" t="str">
        <f aca="false">IF(A226="","",TRIM(SUBSTITUTE(SUBSTITUTE(SUBSTITUTE(SUBSTITUTE(SUBSTITUTE(SUBSTITUTE(UPPER('Registro de Comisión'!B226),"Á","A"),"É","E"),"Í","I"),"Ó","O"),"Ú","U"),"Ü","U")))</f>
        <v/>
      </c>
      <c r="C226" s="27" t="str">
        <f aca="false">IF(A226="","",TRIM(SUBSTITUTE(SUBSTITUTE(SUBSTITUTE(SUBSTITUTE(SUBSTITUTE(SUBSTITUTE(UPPER('Registro de Comisión'!I226),"Á","A"),"É","E"),"Í","I"),"Ó","O"),"Ú","U"),"Ü","U")))</f>
        <v/>
      </c>
      <c r="D226" s="28" t="str">
        <f aca="false">IF(A226="","",'Registro de Comisión'!J226)</f>
        <v/>
      </c>
      <c r="E226" s="28" t="str">
        <f aca="false">IF(A226="","",'Registro de Comisión'!K226)</f>
        <v/>
      </c>
      <c r="F226" s="29" t="str">
        <f aca="false">IF(A226="","",E226-D226+1)</f>
        <v/>
      </c>
      <c r="G226" s="27" t="str">
        <f aca="false">IF(A226="","",COUNTIFS($A$5:A226,A226))</f>
        <v/>
      </c>
      <c r="H226" s="27" t="str">
        <f aca="false">IF(A226="","",IF(E226=_xlfn.MAXIFS($E$5:$E$304,$A$5:$A$304,A226),1,0))</f>
        <v/>
      </c>
      <c r="I226" s="27" t="str">
        <f aca="false">IF(A226="","",A226&amp;"-"&amp;H226)</f>
        <v/>
      </c>
    </row>
    <row r="227" customFormat="false" ht="15" hidden="false" customHeight="false" outlineLevel="0" collapsed="false">
      <c r="A227" s="27" t="str">
        <f aca="false">IF('Registro de Comisión'!A227="","",'Registro de Comisión'!A227)</f>
        <v/>
      </c>
      <c r="B227" s="27" t="str">
        <f aca="false">IF(A227="","",TRIM(SUBSTITUTE(SUBSTITUTE(SUBSTITUTE(SUBSTITUTE(SUBSTITUTE(SUBSTITUTE(UPPER('Registro de Comisión'!B227),"Á","A"),"É","E"),"Í","I"),"Ó","O"),"Ú","U"),"Ü","U")))</f>
        <v/>
      </c>
      <c r="C227" s="27" t="str">
        <f aca="false">IF(A227="","",TRIM(SUBSTITUTE(SUBSTITUTE(SUBSTITUTE(SUBSTITUTE(SUBSTITUTE(SUBSTITUTE(UPPER('Registro de Comisión'!I227),"Á","A"),"É","E"),"Í","I"),"Ó","O"),"Ú","U"),"Ü","U")))</f>
        <v/>
      </c>
      <c r="D227" s="28" t="str">
        <f aca="false">IF(A227="","",'Registro de Comisión'!J227)</f>
        <v/>
      </c>
      <c r="E227" s="28" t="str">
        <f aca="false">IF(A227="","",'Registro de Comisión'!K227)</f>
        <v/>
      </c>
      <c r="F227" s="29" t="str">
        <f aca="false">IF(A227="","",E227-D227+1)</f>
        <v/>
      </c>
      <c r="G227" s="27" t="str">
        <f aca="false">IF(A227="","",COUNTIFS($A$5:A227,A227))</f>
        <v/>
      </c>
      <c r="H227" s="27" t="str">
        <f aca="false">IF(A227="","",IF(E227=_xlfn.MAXIFS($E$5:$E$304,$A$5:$A$304,A227),1,0))</f>
        <v/>
      </c>
      <c r="I227" s="27" t="str">
        <f aca="false">IF(A227="","",A227&amp;"-"&amp;H227)</f>
        <v/>
      </c>
    </row>
    <row r="228" customFormat="false" ht="15" hidden="false" customHeight="false" outlineLevel="0" collapsed="false">
      <c r="A228" s="27" t="str">
        <f aca="false">IF('Registro de Comisión'!A228="","",'Registro de Comisión'!A228)</f>
        <v/>
      </c>
      <c r="B228" s="27" t="str">
        <f aca="false">IF(A228="","",TRIM(SUBSTITUTE(SUBSTITUTE(SUBSTITUTE(SUBSTITUTE(SUBSTITUTE(SUBSTITUTE(UPPER('Registro de Comisión'!B228),"Á","A"),"É","E"),"Í","I"),"Ó","O"),"Ú","U"),"Ü","U")))</f>
        <v/>
      </c>
      <c r="C228" s="27" t="str">
        <f aca="false">IF(A228="","",TRIM(SUBSTITUTE(SUBSTITUTE(SUBSTITUTE(SUBSTITUTE(SUBSTITUTE(SUBSTITUTE(UPPER('Registro de Comisión'!I228),"Á","A"),"É","E"),"Í","I"),"Ó","O"),"Ú","U"),"Ü","U")))</f>
        <v/>
      </c>
      <c r="D228" s="28" t="str">
        <f aca="false">IF(A228="","",'Registro de Comisión'!J228)</f>
        <v/>
      </c>
      <c r="E228" s="28" t="str">
        <f aca="false">IF(A228="","",'Registro de Comisión'!K228)</f>
        <v/>
      </c>
      <c r="F228" s="29" t="str">
        <f aca="false">IF(A228="","",E228-D228+1)</f>
        <v/>
      </c>
      <c r="G228" s="27" t="str">
        <f aca="false">IF(A228="","",COUNTIFS($A$5:A228,A228))</f>
        <v/>
      </c>
      <c r="H228" s="27" t="str">
        <f aca="false">IF(A228="","",IF(E228=_xlfn.MAXIFS($E$5:$E$304,$A$5:$A$304,A228),1,0))</f>
        <v/>
      </c>
      <c r="I228" s="27" t="str">
        <f aca="false">IF(A228="","",A228&amp;"-"&amp;H228)</f>
        <v/>
      </c>
    </row>
    <row r="229" customFormat="false" ht="15" hidden="false" customHeight="false" outlineLevel="0" collapsed="false">
      <c r="A229" s="27" t="str">
        <f aca="false">IF('Registro de Comisión'!A229="","",'Registro de Comisión'!A229)</f>
        <v/>
      </c>
      <c r="B229" s="27" t="str">
        <f aca="false">IF(A229="","",TRIM(SUBSTITUTE(SUBSTITUTE(SUBSTITUTE(SUBSTITUTE(SUBSTITUTE(SUBSTITUTE(UPPER('Registro de Comisión'!B229),"Á","A"),"É","E"),"Í","I"),"Ó","O"),"Ú","U"),"Ü","U")))</f>
        <v/>
      </c>
      <c r="C229" s="27" t="str">
        <f aca="false">IF(A229="","",TRIM(SUBSTITUTE(SUBSTITUTE(SUBSTITUTE(SUBSTITUTE(SUBSTITUTE(SUBSTITUTE(UPPER('Registro de Comisión'!I229),"Á","A"),"É","E"),"Í","I"),"Ó","O"),"Ú","U"),"Ü","U")))</f>
        <v/>
      </c>
      <c r="D229" s="28" t="str">
        <f aca="false">IF(A229="","",'Registro de Comisión'!J229)</f>
        <v/>
      </c>
      <c r="E229" s="28" t="str">
        <f aca="false">IF(A229="","",'Registro de Comisión'!K229)</f>
        <v/>
      </c>
      <c r="F229" s="29" t="str">
        <f aca="false">IF(A229="","",E229-D229+1)</f>
        <v/>
      </c>
      <c r="G229" s="27" t="str">
        <f aca="false">IF(A229="","",COUNTIFS($A$5:A229,A229))</f>
        <v/>
      </c>
      <c r="H229" s="27" t="str">
        <f aca="false">IF(A229="","",IF(E229=_xlfn.MAXIFS($E$5:$E$304,$A$5:$A$304,A229),1,0))</f>
        <v/>
      </c>
      <c r="I229" s="27" t="str">
        <f aca="false">IF(A229="","",A229&amp;"-"&amp;H229)</f>
        <v/>
      </c>
    </row>
    <row r="230" customFormat="false" ht="15" hidden="false" customHeight="false" outlineLevel="0" collapsed="false">
      <c r="A230" s="27" t="str">
        <f aca="false">IF('Registro de Comisión'!A230="","",'Registro de Comisión'!A230)</f>
        <v/>
      </c>
      <c r="B230" s="27" t="str">
        <f aca="false">IF(A230="","",TRIM(SUBSTITUTE(SUBSTITUTE(SUBSTITUTE(SUBSTITUTE(SUBSTITUTE(SUBSTITUTE(UPPER('Registro de Comisión'!B230),"Á","A"),"É","E"),"Í","I"),"Ó","O"),"Ú","U"),"Ü","U")))</f>
        <v/>
      </c>
      <c r="C230" s="27" t="str">
        <f aca="false">IF(A230="","",TRIM(SUBSTITUTE(SUBSTITUTE(SUBSTITUTE(SUBSTITUTE(SUBSTITUTE(SUBSTITUTE(UPPER('Registro de Comisión'!I230),"Á","A"),"É","E"),"Í","I"),"Ó","O"),"Ú","U"),"Ü","U")))</f>
        <v/>
      </c>
      <c r="D230" s="28" t="str">
        <f aca="false">IF(A230="","",'Registro de Comisión'!J230)</f>
        <v/>
      </c>
      <c r="E230" s="28" t="str">
        <f aca="false">IF(A230="","",'Registro de Comisión'!K230)</f>
        <v/>
      </c>
      <c r="F230" s="29" t="str">
        <f aca="false">IF(A230="","",E230-D230+1)</f>
        <v/>
      </c>
      <c r="G230" s="27" t="str">
        <f aca="false">IF(A230="","",COUNTIFS($A$5:A230,A230))</f>
        <v/>
      </c>
      <c r="H230" s="27" t="str">
        <f aca="false">IF(A230="","",IF(E230=_xlfn.MAXIFS($E$5:$E$304,$A$5:$A$304,A230),1,0))</f>
        <v/>
      </c>
      <c r="I230" s="27" t="str">
        <f aca="false">IF(A230="","",A230&amp;"-"&amp;H230)</f>
        <v/>
      </c>
    </row>
    <row r="231" customFormat="false" ht="15" hidden="false" customHeight="false" outlineLevel="0" collapsed="false">
      <c r="A231" s="27" t="str">
        <f aca="false">IF('Registro de Comisión'!A231="","",'Registro de Comisión'!A231)</f>
        <v/>
      </c>
      <c r="B231" s="27" t="str">
        <f aca="false">IF(A231="","",TRIM(SUBSTITUTE(SUBSTITUTE(SUBSTITUTE(SUBSTITUTE(SUBSTITUTE(SUBSTITUTE(UPPER('Registro de Comisión'!B231),"Á","A"),"É","E"),"Í","I"),"Ó","O"),"Ú","U"),"Ü","U")))</f>
        <v/>
      </c>
      <c r="C231" s="27" t="str">
        <f aca="false">IF(A231="","",TRIM(SUBSTITUTE(SUBSTITUTE(SUBSTITUTE(SUBSTITUTE(SUBSTITUTE(SUBSTITUTE(UPPER('Registro de Comisión'!I231),"Á","A"),"É","E"),"Í","I"),"Ó","O"),"Ú","U"),"Ü","U")))</f>
        <v/>
      </c>
      <c r="D231" s="28" t="str">
        <f aca="false">IF(A231="","",'Registro de Comisión'!J231)</f>
        <v/>
      </c>
      <c r="E231" s="28" t="str">
        <f aca="false">IF(A231="","",'Registro de Comisión'!K231)</f>
        <v/>
      </c>
      <c r="F231" s="29" t="str">
        <f aca="false">IF(A231="","",E231-D231+1)</f>
        <v/>
      </c>
      <c r="G231" s="27" t="str">
        <f aca="false">IF(A231="","",COUNTIFS($A$5:A231,A231))</f>
        <v/>
      </c>
      <c r="H231" s="27" t="str">
        <f aca="false">IF(A231="","",IF(E231=_xlfn.MAXIFS($E$5:$E$304,$A$5:$A$304,A231),1,0))</f>
        <v/>
      </c>
      <c r="I231" s="27" t="str">
        <f aca="false">IF(A231="","",A231&amp;"-"&amp;H231)</f>
        <v/>
      </c>
    </row>
    <row r="232" customFormat="false" ht="15" hidden="false" customHeight="false" outlineLevel="0" collapsed="false">
      <c r="A232" s="27" t="str">
        <f aca="false">IF('Registro de Comisión'!A232="","",'Registro de Comisión'!A232)</f>
        <v/>
      </c>
      <c r="B232" s="27" t="str">
        <f aca="false">IF(A232="","",TRIM(SUBSTITUTE(SUBSTITUTE(SUBSTITUTE(SUBSTITUTE(SUBSTITUTE(SUBSTITUTE(UPPER('Registro de Comisión'!B232),"Á","A"),"É","E"),"Í","I"),"Ó","O"),"Ú","U"),"Ü","U")))</f>
        <v/>
      </c>
      <c r="C232" s="27" t="str">
        <f aca="false">IF(A232="","",TRIM(SUBSTITUTE(SUBSTITUTE(SUBSTITUTE(SUBSTITUTE(SUBSTITUTE(SUBSTITUTE(UPPER('Registro de Comisión'!I232),"Á","A"),"É","E"),"Í","I"),"Ó","O"),"Ú","U"),"Ü","U")))</f>
        <v/>
      </c>
      <c r="D232" s="28" t="str">
        <f aca="false">IF(A232="","",'Registro de Comisión'!J232)</f>
        <v/>
      </c>
      <c r="E232" s="28" t="str">
        <f aca="false">IF(A232="","",'Registro de Comisión'!K232)</f>
        <v/>
      </c>
      <c r="F232" s="29" t="str">
        <f aca="false">IF(A232="","",E232-D232+1)</f>
        <v/>
      </c>
      <c r="G232" s="27" t="str">
        <f aca="false">IF(A232="","",COUNTIFS($A$5:A232,A232))</f>
        <v/>
      </c>
      <c r="H232" s="27" t="str">
        <f aca="false">IF(A232="","",IF(E232=_xlfn.MAXIFS($E$5:$E$304,$A$5:$A$304,A232),1,0))</f>
        <v/>
      </c>
      <c r="I232" s="27" t="str">
        <f aca="false">IF(A232="","",A232&amp;"-"&amp;H232)</f>
        <v/>
      </c>
    </row>
    <row r="233" customFormat="false" ht="15" hidden="false" customHeight="false" outlineLevel="0" collapsed="false">
      <c r="A233" s="27" t="str">
        <f aca="false">IF('Registro de Comisión'!A233="","",'Registro de Comisión'!A233)</f>
        <v/>
      </c>
      <c r="B233" s="27" t="str">
        <f aca="false">IF(A233="","",TRIM(SUBSTITUTE(SUBSTITUTE(SUBSTITUTE(SUBSTITUTE(SUBSTITUTE(SUBSTITUTE(UPPER('Registro de Comisión'!B233),"Á","A"),"É","E"),"Í","I"),"Ó","O"),"Ú","U"),"Ü","U")))</f>
        <v/>
      </c>
      <c r="C233" s="27" t="str">
        <f aca="false">IF(A233="","",TRIM(SUBSTITUTE(SUBSTITUTE(SUBSTITUTE(SUBSTITUTE(SUBSTITUTE(SUBSTITUTE(UPPER('Registro de Comisión'!I233),"Á","A"),"É","E"),"Í","I"),"Ó","O"),"Ú","U"),"Ü","U")))</f>
        <v/>
      </c>
      <c r="D233" s="28" t="str">
        <f aca="false">IF(A233="","",'Registro de Comisión'!J233)</f>
        <v/>
      </c>
      <c r="E233" s="28" t="str">
        <f aca="false">IF(A233="","",'Registro de Comisión'!K233)</f>
        <v/>
      </c>
      <c r="F233" s="29" t="str">
        <f aca="false">IF(A233="","",E233-D233+1)</f>
        <v/>
      </c>
      <c r="G233" s="27" t="str">
        <f aca="false">IF(A233="","",COUNTIFS($A$5:A233,A233))</f>
        <v/>
      </c>
      <c r="H233" s="27" t="str">
        <f aca="false">IF(A233="","",IF(E233=_xlfn.MAXIFS($E$5:$E$304,$A$5:$A$304,A233),1,0))</f>
        <v/>
      </c>
      <c r="I233" s="27" t="str">
        <f aca="false">IF(A233="","",A233&amp;"-"&amp;H233)</f>
        <v/>
      </c>
    </row>
    <row r="234" customFormat="false" ht="15" hidden="false" customHeight="false" outlineLevel="0" collapsed="false">
      <c r="A234" s="27" t="str">
        <f aca="false">IF('Registro de Comisión'!A234="","",'Registro de Comisión'!A234)</f>
        <v/>
      </c>
      <c r="B234" s="27" t="str">
        <f aca="false">IF(A234="","",TRIM(SUBSTITUTE(SUBSTITUTE(SUBSTITUTE(SUBSTITUTE(SUBSTITUTE(SUBSTITUTE(UPPER('Registro de Comisión'!B234),"Á","A"),"É","E"),"Í","I"),"Ó","O"),"Ú","U"),"Ü","U")))</f>
        <v/>
      </c>
      <c r="C234" s="27" t="str">
        <f aca="false">IF(A234="","",TRIM(SUBSTITUTE(SUBSTITUTE(SUBSTITUTE(SUBSTITUTE(SUBSTITUTE(SUBSTITUTE(UPPER('Registro de Comisión'!I234),"Á","A"),"É","E"),"Í","I"),"Ó","O"),"Ú","U"),"Ü","U")))</f>
        <v/>
      </c>
      <c r="D234" s="28" t="str">
        <f aca="false">IF(A234="","",'Registro de Comisión'!J234)</f>
        <v/>
      </c>
      <c r="E234" s="28" t="str">
        <f aca="false">IF(A234="","",'Registro de Comisión'!K234)</f>
        <v/>
      </c>
      <c r="F234" s="29" t="str">
        <f aca="false">IF(A234="","",E234-D234+1)</f>
        <v/>
      </c>
      <c r="G234" s="27" t="str">
        <f aca="false">IF(A234="","",COUNTIFS($A$5:A234,A234))</f>
        <v/>
      </c>
      <c r="H234" s="27" t="str">
        <f aca="false">IF(A234="","",IF(E234=_xlfn.MAXIFS($E$5:$E$304,$A$5:$A$304,A234),1,0))</f>
        <v/>
      </c>
      <c r="I234" s="27" t="str">
        <f aca="false">IF(A234="","",A234&amp;"-"&amp;H234)</f>
        <v/>
      </c>
    </row>
    <row r="235" customFormat="false" ht="15" hidden="false" customHeight="false" outlineLevel="0" collapsed="false">
      <c r="A235" s="27" t="str">
        <f aca="false">IF('Registro de Comisión'!A235="","",'Registro de Comisión'!A235)</f>
        <v/>
      </c>
      <c r="B235" s="27" t="str">
        <f aca="false">IF(A235="","",TRIM(SUBSTITUTE(SUBSTITUTE(SUBSTITUTE(SUBSTITUTE(SUBSTITUTE(SUBSTITUTE(UPPER('Registro de Comisión'!B235),"Á","A"),"É","E"),"Í","I"),"Ó","O"),"Ú","U"),"Ü","U")))</f>
        <v/>
      </c>
      <c r="C235" s="27" t="str">
        <f aca="false">IF(A235="","",TRIM(SUBSTITUTE(SUBSTITUTE(SUBSTITUTE(SUBSTITUTE(SUBSTITUTE(SUBSTITUTE(UPPER('Registro de Comisión'!I235),"Á","A"),"É","E"),"Í","I"),"Ó","O"),"Ú","U"),"Ü","U")))</f>
        <v/>
      </c>
      <c r="D235" s="28" t="str">
        <f aca="false">IF(A235="","",'Registro de Comisión'!J235)</f>
        <v/>
      </c>
      <c r="E235" s="28" t="str">
        <f aca="false">IF(A235="","",'Registro de Comisión'!K235)</f>
        <v/>
      </c>
      <c r="F235" s="29" t="str">
        <f aca="false">IF(A235="","",E235-D235+1)</f>
        <v/>
      </c>
      <c r="G235" s="27" t="str">
        <f aca="false">IF(A235="","",COUNTIFS($A$5:A235,A235))</f>
        <v/>
      </c>
      <c r="H235" s="27" t="str">
        <f aca="false">IF(A235="","",IF(E235=_xlfn.MAXIFS($E$5:$E$304,$A$5:$A$304,A235),1,0))</f>
        <v/>
      </c>
      <c r="I235" s="27" t="str">
        <f aca="false">IF(A235="","",A235&amp;"-"&amp;H235)</f>
        <v/>
      </c>
    </row>
    <row r="236" customFormat="false" ht="15" hidden="false" customHeight="false" outlineLevel="0" collapsed="false">
      <c r="A236" s="27" t="str">
        <f aca="false">IF('Registro de Comisión'!A236="","",'Registro de Comisión'!A236)</f>
        <v/>
      </c>
      <c r="B236" s="27" t="str">
        <f aca="false">IF(A236="","",TRIM(SUBSTITUTE(SUBSTITUTE(SUBSTITUTE(SUBSTITUTE(SUBSTITUTE(SUBSTITUTE(UPPER('Registro de Comisión'!B236),"Á","A"),"É","E"),"Í","I"),"Ó","O"),"Ú","U"),"Ü","U")))</f>
        <v/>
      </c>
      <c r="C236" s="27" t="str">
        <f aca="false">IF(A236="","",TRIM(SUBSTITUTE(SUBSTITUTE(SUBSTITUTE(SUBSTITUTE(SUBSTITUTE(SUBSTITUTE(UPPER('Registro de Comisión'!I236),"Á","A"),"É","E"),"Í","I"),"Ó","O"),"Ú","U"),"Ü","U")))</f>
        <v/>
      </c>
      <c r="D236" s="28" t="str">
        <f aca="false">IF(A236="","",'Registro de Comisión'!J236)</f>
        <v/>
      </c>
      <c r="E236" s="28" t="str">
        <f aca="false">IF(A236="","",'Registro de Comisión'!K236)</f>
        <v/>
      </c>
      <c r="F236" s="29" t="str">
        <f aca="false">IF(A236="","",E236-D236+1)</f>
        <v/>
      </c>
      <c r="G236" s="27" t="str">
        <f aca="false">IF(A236="","",COUNTIFS($A$5:A236,A236))</f>
        <v/>
      </c>
      <c r="H236" s="27" t="str">
        <f aca="false">IF(A236="","",IF(E236=_xlfn.MAXIFS($E$5:$E$304,$A$5:$A$304,A236),1,0))</f>
        <v/>
      </c>
      <c r="I236" s="27" t="str">
        <f aca="false">IF(A236="","",A236&amp;"-"&amp;H236)</f>
        <v/>
      </c>
    </row>
    <row r="237" customFormat="false" ht="15" hidden="false" customHeight="false" outlineLevel="0" collapsed="false">
      <c r="A237" s="27" t="str">
        <f aca="false">IF('Registro de Comisión'!A237="","",'Registro de Comisión'!A237)</f>
        <v/>
      </c>
      <c r="B237" s="27" t="str">
        <f aca="false">IF(A237="","",TRIM(SUBSTITUTE(SUBSTITUTE(SUBSTITUTE(SUBSTITUTE(SUBSTITUTE(SUBSTITUTE(UPPER('Registro de Comisión'!B237),"Á","A"),"É","E"),"Í","I"),"Ó","O"),"Ú","U"),"Ü","U")))</f>
        <v/>
      </c>
      <c r="C237" s="27" t="str">
        <f aca="false">IF(A237="","",TRIM(SUBSTITUTE(SUBSTITUTE(SUBSTITUTE(SUBSTITUTE(SUBSTITUTE(SUBSTITUTE(UPPER('Registro de Comisión'!I237),"Á","A"),"É","E"),"Í","I"),"Ó","O"),"Ú","U"),"Ü","U")))</f>
        <v/>
      </c>
      <c r="D237" s="28" t="str">
        <f aca="false">IF(A237="","",'Registro de Comisión'!J237)</f>
        <v/>
      </c>
      <c r="E237" s="28" t="str">
        <f aca="false">IF(A237="","",'Registro de Comisión'!K237)</f>
        <v/>
      </c>
      <c r="F237" s="29" t="str">
        <f aca="false">IF(A237="","",E237-D237+1)</f>
        <v/>
      </c>
      <c r="G237" s="27" t="str">
        <f aca="false">IF(A237="","",COUNTIFS($A$5:A237,A237))</f>
        <v/>
      </c>
      <c r="H237" s="27" t="str">
        <f aca="false">IF(A237="","",IF(E237=_xlfn.MAXIFS($E$5:$E$304,$A$5:$A$304,A237),1,0))</f>
        <v/>
      </c>
      <c r="I237" s="27" t="str">
        <f aca="false">IF(A237="","",A237&amp;"-"&amp;H237)</f>
        <v/>
      </c>
    </row>
    <row r="238" customFormat="false" ht="15" hidden="false" customHeight="false" outlineLevel="0" collapsed="false">
      <c r="A238" s="27" t="str">
        <f aca="false">IF('Registro de Comisión'!A238="","",'Registro de Comisión'!A238)</f>
        <v/>
      </c>
      <c r="B238" s="27" t="str">
        <f aca="false">IF(A238="","",TRIM(SUBSTITUTE(SUBSTITUTE(SUBSTITUTE(SUBSTITUTE(SUBSTITUTE(SUBSTITUTE(UPPER('Registro de Comisión'!B238),"Á","A"),"É","E"),"Í","I"),"Ó","O"),"Ú","U"),"Ü","U")))</f>
        <v/>
      </c>
      <c r="C238" s="27" t="str">
        <f aca="false">IF(A238="","",TRIM(SUBSTITUTE(SUBSTITUTE(SUBSTITUTE(SUBSTITUTE(SUBSTITUTE(SUBSTITUTE(UPPER('Registro de Comisión'!I238),"Á","A"),"É","E"),"Í","I"),"Ó","O"),"Ú","U"),"Ü","U")))</f>
        <v/>
      </c>
      <c r="D238" s="28" t="str">
        <f aca="false">IF(A238="","",'Registro de Comisión'!J238)</f>
        <v/>
      </c>
      <c r="E238" s="28" t="str">
        <f aca="false">IF(A238="","",'Registro de Comisión'!K238)</f>
        <v/>
      </c>
      <c r="F238" s="29" t="str">
        <f aca="false">IF(A238="","",E238-D238+1)</f>
        <v/>
      </c>
      <c r="G238" s="27" t="str">
        <f aca="false">IF(A238="","",COUNTIFS($A$5:A238,A238))</f>
        <v/>
      </c>
      <c r="H238" s="27" t="str">
        <f aca="false">IF(A238="","",IF(E238=_xlfn.MAXIFS($E$5:$E$304,$A$5:$A$304,A238),1,0))</f>
        <v/>
      </c>
      <c r="I238" s="27" t="str">
        <f aca="false">IF(A238="","",A238&amp;"-"&amp;H238)</f>
        <v/>
      </c>
    </row>
    <row r="239" customFormat="false" ht="15" hidden="false" customHeight="false" outlineLevel="0" collapsed="false">
      <c r="A239" s="27" t="str">
        <f aca="false">IF('Registro de Comisión'!A239="","",'Registro de Comisión'!A239)</f>
        <v/>
      </c>
      <c r="B239" s="27" t="str">
        <f aca="false">IF(A239="","",TRIM(SUBSTITUTE(SUBSTITUTE(SUBSTITUTE(SUBSTITUTE(SUBSTITUTE(SUBSTITUTE(UPPER('Registro de Comisión'!B239),"Á","A"),"É","E"),"Í","I"),"Ó","O"),"Ú","U"),"Ü","U")))</f>
        <v/>
      </c>
      <c r="C239" s="27" t="str">
        <f aca="false">IF(A239="","",TRIM(SUBSTITUTE(SUBSTITUTE(SUBSTITUTE(SUBSTITUTE(SUBSTITUTE(SUBSTITUTE(UPPER('Registro de Comisión'!I239),"Á","A"),"É","E"),"Í","I"),"Ó","O"),"Ú","U"),"Ü","U")))</f>
        <v/>
      </c>
      <c r="D239" s="28" t="str">
        <f aca="false">IF(A239="","",'Registro de Comisión'!J239)</f>
        <v/>
      </c>
      <c r="E239" s="28" t="str">
        <f aca="false">IF(A239="","",'Registro de Comisión'!K239)</f>
        <v/>
      </c>
      <c r="F239" s="29" t="str">
        <f aca="false">IF(A239="","",E239-D239+1)</f>
        <v/>
      </c>
      <c r="G239" s="27" t="str">
        <f aca="false">IF(A239="","",COUNTIFS($A$5:A239,A239))</f>
        <v/>
      </c>
      <c r="H239" s="27" t="str">
        <f aca="false">IF(A239="","",IF(E239=_xlfn.MAXIFS($E$5:$E$304,$A$5:$A$304,A239),1,0))</f>
        <v/>
      </c>
      <c r="I239" s="27" t="str">
        <f aca="false">IF(A239="","",A239&amp;"-"&amp;H239)</f>
        <v/>
      </c>
    </row>
    <row r="240" customFormat="false" ht="15" hidden="false" customHeight="false" outlineLevel="0" collapsed="false">
      <c r="A240" s="27" t="str">
        <f aca="false">IF('Registro de Comisión'!A240="","",'Registro de Comisión'!A240)</f>
        <v/>
      </c>
      <c r="B240" s="27" t="str">
        <f aca="false">IF(A240="","",TRIM(SUBSTITUTE(SUBSTITUTE(SUBSTITUTE(SUBSTITUTE(SUBSTITUTE(SUBSTITUTE(UPPER('Registro de Comisión'!B240),"Á","A"),"É","E"),"Í","I"),"Ó","O"),"Ú","U"),"Ü","U")))</f>
        <v/>
      </c>
      <c r="C240" s="27" t="str">
        <f aca="false">IF(A240="","",TRIM(SUBSTITUTE(SUBSTITUTE(SUBSTITUTE(SUBSTITUTE(SUBSTITUTE(SUBSTITUTE(UPPER('Registro de Comisión'!I240),"Á","A"),"É","E"),"Í","I"),"Ó","O"),"Ú","U"),"Ü","U")))</f>
        <v/>
      </c>
      <c r="D240" s="28" t="str">
        <f aca="false">IF(A240="","",'Registro de Comisión'!J240)</f>
        <v/>
      </c>
      <c r="E240" s="28" t="str">
        <f aca="false">IF(A240="","",'Registro de Comisión'!K240)</f>
        <v/>
      </c>
      <c r="F240" s="29" t="str">
        <f aca="false">IF(A240="","",E240-D240+1)</f>
        <v/>
      </c>
      <c r="G240" s="27" t="str">
        <f aca="false">IF(A240="","",COUNTIFS($A$5:A240,A240))</f>
        <v/>
      </c>
      <c r="H240" s="27" t="str">
        <f aca="false">IF(A240="","",IF(E240=_xlfn.MAXIFS($E$5:$E$304,$A$5:$A$304,A240),1,0))</f>
        <v/>
      </c>
      <c r="I240" s="27" t="str">
        <f aca="false">IF(A240="","",A240&amp;"-"&amp;H240)</f>
        <v/>
      </c>
    </row>
    <row r="241" customFormat="false" ht="15" hidden="false" customHeight="false" outlineLevel="0" collapsed="false">
      <c r="A241" s="27" t="str">
        <f aca="false">IF('Registro de Comisión'!A241="","",'Registro de Comisión'!A241)</f>
        <v/>
      </c>
      <c r="B241" s="27" t="str">
        <f aca="false">IF(A241="","",TRIM(SUBSTITUTE(SUBSTITUTE(SUBSTITUTE(SUBSTITUTE(SUBSTITUTE(SUBSTITUTE(UPPER('Registro de Comisión'!B241),"Á","A"),"É","E"),"Í","I"),"Ó","O"),"Ú","U"),"Ü","U")))</f>
        <v/>
      </c>
      <c r="C241" s="27" t="str">
        <f aca="false">IF(A241="","",TRIM(SUBSTITUTE(SUBSTITUTE(SUBSTITUTE(SUBSTITUTE(SUBSTITUTE(SUBSTITUTE(UPPER('Registro de Comisión'!I241),"Á","A"),"É","E"),"Í","I"),"Ó","O"),"Ú","U"),"Ü","U")))</f>
        <v/>
      </c>
      <c r="D241" s="28" t="str">
        <f aca="false">IF(A241="","",'Registro de Comisión'!J241)</f>
        <v/>
      </c>
      <c r="E241" s="28" t="str">
        <f aca="false">IF(A241="","",'Registro de Comisión'!K241)</f>
        <v/>
      </c>
      <c r="F241" s="29" t="str">
        <f aca="false">IF(A241="","",E241-D241+1)</f>
        <v/>
      </c>
      <c r="G241" s="27" t="str">
        <f aca="false">IF(A241="","",COUNTIFS($A$5:A241,A241))</f>
        <v/>
      </c>
      <c r="H241" s="27" t="str">
        <f aca="false">IF(A241="","",IF(E241=_xlfn.MAXIFS($E$5:$E$304,$A$5:$A$304,A241),1,0))</f>
        <v/>
      </c>
      <c r="I241" s="27" t="str">
        <f aca="false">IF(A241="","",A241&amp;"-"&amp;H241)</f>
        <v/>
      </c>
    </row>
    <row r="242" customFormat="false" ht="15" hidden="false" customHeight="false" outlineLevel="0" collapsed="false">
      <c r="A242" s="27" t="str">
        <f aca="false">IF('Registro de Comisión'!A242="","",'Registro de Comisión'!A242)</f>
        <v/>
      </c>
      <c r="B242" s="27" t="str">
        <f aca="false">IF(A242="","",TRIM(SUBSTITUTE(SUBSTITUTE(SUBSTITUTE(SUBSTITUTE(SUBSTITUTE(SUBSTITUTE(UPPER('Registro de Comisión'!B242),"Á","A"),"É","E"),"Í","I"),"Ó","O"),"Ú","U"),"Ü","U")))</f>
        <v/>
      </c>
      <c r="C242" s="27" t="str">
        <f aca="false">IF(A242="","",TRIM(SUBSTITUTE(SUBSTITUTE(SUBSTITUTE(SUBSTITUTE(SUBSTITUTE(SUBSTITUTE(UPPER('Registro de Comisión'!I242),"Á","A"),"É","E"),"Í","I"),"Ó","O"),"Ú","U"),"Ü","U")))</f>
        <v/>
      </c>
      <c r="D242" s="28" t="str">
        <f aca="false">IF(A242="","",'Registro de Comisión'!J242)</f>
        <v/>
      </c>
      <c r="E242" s="28" t="str">
        <f aca="false">IF(A242="","",'Registro de Comisión'!K242)</f>
        <v/>
      </c>
      <c r="F242" s="29" t="str">
        <f aca="false">IF(A242="","",E242-D242+1)</f>
        <v/>
      </c>
      <c r="G242" s="27" t="str">
        <f aca="false">IF(A242="","",COUNTIFS($A$5:A242,A242))</f>
        <v/>
      </c>
      <c r="H242" s="27" t="str">
        <f aca="false">IF(A242="","",IF(E242=_xlfn.MAXIFS($E$5:$E$304,$A$5:$A$304,A242),1,0))</f>
        <v/>
      </c>
      <c r="I242" s="27" t="str">
        <f aca="false">IF(A242="","",A242&amp;"-"&amp;H242)</f>
        <v/>
      </c>
    </row>
    <row r="243" customFormat="false" ht="15" hidden="false" customHeight="false" outlineLevel="0" collapsed="false">
      <c r="A243" s="27" t="str">
        <f aca="false">IF('Registro de Comisión'!A243="","",'Registro de Comisión'!A243)</f>
        <v/>
      </c>
      <c r="B243" s="27" t="str">
        <f aca="false">IF(A243="","",TRIM(SUBSTITUTE(SUBSTITUTE(SUBSTITUTE(SUBSTITUTE(SUBSTITUTE(SUBSTITUTE(UPPER('Registro de Comisión'!B243),"Á","A"),"É","E"),"Í","I"),"Ó","O"),"Ú","U"),"Ü","U")))</f>
        <v/>
      </c>
      <c r="C243" s="27" t="str">
        <f aca="false">IF(A243="","",TRIM(SUBSTITUTE(SUBSTITUTE(SUBSTITUTE(SUBSTITUTE(SUBSTITUTE(SUBSTITUTE(UPPER('Registro de Comisión'!I243),"Á","A"),"É","E"),"Í","I"),"Ó","O"),"Ú","U"),"Ü","U")))</f>
        <v/>
      </c>
      <c r="D243" s="28" t="str">
        <f aca="false">IF(A243="","",'Registro de Comisión'!J243)</f>
        <v/>
      </c>
      <c r="E243" s="28" t="str">
        <f aca="false">IF(A243="","",'Registro de Comisión'!K243)</f>
        <v/>
      </c>
      <c r="F243" s="29" t="str">
        <f aca="false">IF(A243="","",E243-D243+1)</f>
        <v/>
      </c>
      <c r="G243" s="27" t="str">
        <f aca="false">IF(A243="","",COUNTIFS($A$5:A243,A243))</f>
        <v/>
      </c>
      <c r="H243" s="27" t="str">
        <f aca="false">IF(A243="","",IF(E243=_xlfn.MAXIFS($E$5:$E$304,$A$5:$A$304,A243),1,0))</f>
        <v/>
      </c>
      <c r="I243" s="27" t="str">
        <f aca="false">IF(A243="","",A243&amp;"-"&amp;H243)</f>
        <v/>
      </c>
    </row>
    <row r="244" customFormat="false" ht="15" hidden="false" customHeight="false" outlineLevel="0" collapsed="false">
      <c r="A244" s="27" t="str">
        <f aca="false">IF('Registro de Comisión'!A244="","",'Registro de Comisión'!A244)</f>
        <v/>
      </c>
      <c r="B244" s="27" t="str">
        <f aca="false">IF(A244="","",TRIM(SUBSTITUTE(SUBSTITUTE(SUBSTITUTE(SUBSTITUTE(SUBSTITUTE(SUBSTITUTE(UPPER('Registro de Comisión'!B244),"Á","A"),"É","E"),"Í","I"),"Ó","O"),"Ú","U"),"Ü","U")))</f>
        <v/>
      </c>
      <c r="C244" s="27" t="str">
        <f aca="false">IF(A244="","",TRIM(SUBSTITUTE(SUBSTITUTE(SUBSTITUTE(SUBSTITUTE(SUBSTITUTE(SUBSTITUTE(UPPER('Registro de Comisión'!I244),"Á","A"),"É","E"),"Í","I"),"Ó","O"),"Ú","U"),"Ü","U")))</f>
        <v/>
      </c>
      <c r="D244" s="28" t="str">
        <f aca="false">IF(A244="","",'Registro de Comisión'!J244)</f>
        <v/>
      </c>
      <c r="E244" s="28" t="str">
        <f aca="false">IF(A244="","",'Registro de Comisión'!K244)</f>
        <v/>
      </c>
      <c r="F244" s="29" t="str">
        <f aca="false">IF(A244="","",E244-D244+1)</f>
        <v/>
      </c>
      <c r="G244" s="27" t="str">
        <f aca="false">IF(A244="","",COUNTIFS($A$5:A244,A244))</f>
        <v/>
      </c>
      <c r="H244" s="27" t="str">
        <f aca="false">IF(A244="","",IF(E244=_xlfn.MAXIFS($E$5:$E$304,$A$5:$A$304,A244),1,0))</f>
        <v/>
      </c>
      <c r="I244" s="27" t="str">
        <f aca="false">IF(A244="","",A244&amp;"-"&amp;H244)</f>
        <v/>
      </c>
    </row>
    <row r="245" customFormat="false" ht="15" hidden="false" customHeight="false" outlineLevel="0" collapsed="false">
      <c r="A245" s="27" t="str">
        <f aca="false">IF('Registro de Comisión'!A245="","",'Registro de Comisión'!A245)</f>
        <v/>
      </c>
      <c r="B245" s="27" t="str">
        <f aca="false">IF(A245="","",TRIM(SUBSTITUTE(SUBSTITUTE(SUBSTITUTE(SUBSTITUTE(SUBSTITUTE(SUBSTITUTE(UPPER('Registro de Comisión'!B245),"Á","A"),"É","E"),"Í","I"),"Ó","O"),"Ú","U"),"Ü","U")))</f>
        <v/>
      </c>
      <c r="C245" s="27" t="str">
        <f aca="false">IF(A245="","",TRIM(SUBSTITUTE(SUBSTITUTE(SUBSTITUTE(SUBSTITUTE(SUBSTITUTE(SUBSTITUTE(UPPER('Registro de Comisión'!I245),"Á","A"),"É","E"),"Í","I"),"Ó","O"),"Ú","U"),"Ü","U")))</f>
        <v/>
      </c>
      <c r="D245" s="28" t="str">
        <f aca="false">IF(A245="","",'Registro de Comisión'!J245)</f>
        <v/>
      </c>
      <c r="E245" s="28" t="str">
        <f aca="false">IF(A245="","",'Registro de Comisión'!K245)</f>
        <v/>
      </c>
      <c r="F245" s="29" t="str">
        <f aca="false">IF(A245="","",E245-D245+1)</f>
        <v/>
      </c>
      <c r="G245" s="27" t="str">
        <f aca="false">IF(A245="","",COUNTIFS($A$5:A245,A245))</f>
        <v/>
      </c>
      <c r="H245" s="27" t="str">
        <f aca="false">IF(A245="","",IF(E245=_xlfn.MAXIFS($E$5:$E$304,$A$5:$A$304,A245),1,0))</f>
        <v/>
      </c>
      <c r="I245" s="27" t="str">
        <f aca="false">IF(A245="","",A245&amp;"-"&amp;H245)</f>
        <v/>
      </c>
    </row>
    <row r="246" customFormat="false" ht="15" hidden="false" customHeight="false" outlineLevel="0" collapsed="false">
      <c r="A246" s="27" t="str">
        <f aca="false">IF('Registro de Comisión'!A246="","",'Registro de Comisión'!A246)</f>
        <v/>
      </c>
      <c r="B246" s="27" t="str">
        <f aca="false">IF(A246="","",TRIM(SUBSTITUTE(SUBSTITUTE(SUBSTITUTE(SUBSTITUTE(SUBSTITUTE(SUBSTITUTE(UPPER('Registro de Comisión'!B246),"Á","A"),"É","E"),"Í","I"),"Ó","O"),"Ú","U"),"Ü","U")))</f>
        <v/>
      </c>
      <c r="C246" s="27" t="str">
        <f aca="false">IF(A246="","",TRIM(SUBSTITUTE(SUBSTITUTE(SUBSTITUTE(SUBSTITUTE(SUBSTITUTE(SUBSTITUTE(UPPER('Registro de Comisión'!I246),"Á","A"),"É","E"),"Í","I"),"Ó","O"),"Ú","U"),"Ü","U")))</f>
        <v/>
      </c>
      <c r="D246" s="28" t="str">
        <f aca="false">IF(A246="","",'Registro de Comisión'!J246)</f>
        <v/>
      </c>
      <c r="E246" s="28" t="str">
        <f aca="false">IF(A246="","",'Registro de Comisión'!K246)</f>
        <v/>
      </c>
      <c r="F246" s="29" t="str">
        <f aca="false">IF(A246="","",E246-D246+1)</f>
        <v/>
      </c>
      <c r="G246" s="27" t="str">
        <f aca="false">IF(A246="","",COUNTIFS($A$5:A246,A246))</f>
        <v/>
      </c>
      <c r="H246" s="27" t="str">
        <f aca="false">IF(A246="","",IF(E246=_xlfn.MAXIFS($E$5:$E$304,$A$5:$A$304,A246),1,0))</f>
        <v/>
      </c>
      <c r="I246" s="27" t="str">
        <f aca="false">IF(A246="","",A246&amp;"-"&amp;H246)</f>
        <v/>
      </c>
    </row>
    <row r="247" customFormat="false" ht="15" hidden="false" customHeight="false" outlineLevel="0" collapsed="false">
      <c r="A247" s="27" t="str">
        <f aca="false">IF('Registro de Comisión'!A247="","",'Registro de Comisión'!A247)</f>
        <v/>
      </c>
      <c r="B247" s="27" t="str">
        <f aca="false">IF(A247="","",TRIM(SUBSTITUTE(SUBSTITUTE(SUBSTITUTE(SUBSTITUTE(SUBSTITUTE(SUBSTITUTE(UPPER('Registro de Comisión'!B247),"Á","A"),"É","E"),"Í","I"),"Ó","O"),"Ú","U"),"Ü","U")))</f>
        <v/>
      </c>
      <c r="C247" s="27" t="str">
        <f aca="false">IF(A247="","",TRIM(SUBSTITUTE(SUBSTITUTE(SUBSTITUTE(SUBSTITUTE(SUBSTITUTE(SUBSTITUTE(UPPER('Registro de Comisión'!I247),"Á","A"),"É","E"),"Í","I"),"Ó","O"),"Ú","U"),"Ü","U")))</f>
        <v/>
      </c>
      <c r="D247" s="28" t="str">
        <f aca="false">IF(A247="","",'Registro de Comisión'!J247)</f>
        <v/>
      </c>
      <c r="E247" s="28" t="str">
        <f aca="false">IF(A247="","",'Registro de Comisión'!K247)</f>
        <v/>
      </c>
      <c r="F247" s="29" t="str">
        <f aca="false">IF(A247="","",E247-D247+1)</f>
        <v/>
      </c>
      <c r="G247" s="27" t="str">
        <f aca="false">IF(A247="","",COUNTIFS($A$5:A247,A247))</f>
        <v/>
      </c>
      <c r="H247" s="27" t="str">
        <f aca="false">IF(A247="","",IF(E247=_xlfn.MAXIFS($E$5:$E$304,$A$5:$A$304,A247),1,0))</f>
        <v/>
      </c>
      <c r="I247" s="27" t="str">
        <f aca="false">IF(A247="","",A247&amp;"-"&amp;H247)</f>
        <v/>
      </c>
    </row>
    <row r="248" customFormat="false" ht="15" hidden="false" customHeight="false" outlineLevel="0" collapsed="false">
      <c r="A248" s="27" t="str">
        <f aca="false">IF('Registro de Comisión'!A248="","",'Registro de Comisión'!A248)</f>
        <v/>
      </c>
      <c r="B248" s="27" t="str">
        <f aca="false">IF(A248="","",TRIM(SUBSTITUTE(SUBSTITUTE(SUBSTITUTE(SUBSTITUTE(SUBSTITUTE(SUBSTITUTE(UPPER('Registro de Comisión'!B248),"Á","A"),"É","E"),"Í","I"),"Ó","O"),"Ú","U"),"Ü","U")))</f>
        <v/>
      </c>
      <c r="C248" s="27" t="str">
        <f aca="false">IF(A248="","",TRIM(SUBSTITUTE(SUBSTITUTE(SUBSTITUTE(SUBSTITUTE(SUBSTITUTE(SUBSTITUTE(UPPER('Registro de Comisión'!I248),"Á","A"),"É","E"),"Í","I"),"Ó","O"),"Ú","U"),"Ü","U")))</f>
        <v/>
      </c>
      <c r="D248" s="28" t="str">
        <f aca="false">IF(A248="","",'Registro de Comisión'!J248)</f>
        <v/>
      </c>
      <c r="E248" s="28" t="str">
        <f aca="false">IF(A248="","",'Registro de Comisión'!K248)</f>
        <v/>
      </c>
      <c r="F248" s="29" t="str">
        <f aca="false">IF(A248="","",E248-D248+1)</f>
        <v/>
      </c>
      <c r="G248" s="27" t="str">
        <f aca="false">IF(A248="","",COUNTIFS($A$5:A248,A248))</f>
        <v/>
      </c>
      <c r="H248" s="27" t="str">
        <f aca="false">IF(A248="","",IF(E248=_xlfn.MAXIFS($E$5:$E$304,$A$5:$A$304,A248),1,0))</f>
        <v/>
      </c>
      <c r="I248" s="27" t="str">
        <f aca="false">IF(A248="","",A248&amp;"-"&amp;H248)</f>
        <v/>
      </c>
    </row>
    <row r="249" customFormat="false" ht="15" hidden="false" customHeight="false" outlineLevel="0" collapsed="false">
      <c r="A249" s="27" t="str">
        <f aca="false">IF('Registro de Comisión'!A249="","",'Registro de Comisión'!A249)</f>
        <v/>
      </c>
      <c r="B249" s="27" t="str">
        <f aca="false">IF(A249="","",TRIM(SUBSTITUTE(SUBSTITUTE(SUBSTITUTE(SUBSTITUTE(SUBSTITUTE(SUBSTITUTE(UPPER('Registro de Comisión'!B249),"Á","A"),"É","E"),"Í","I"),"Ó","O"),"Ú","U"),"Ü","U")))</f>
        <v/>
      </c>
      <c r="C249" s="27" t="str">
        <f aca="false">IF(A249="","",TRIM(SUBSTITUTE(SUBSTITUTE(SUBSTITUTE(SUBSTITUTE(SUBSTITUTE(SUBSTITUTE(UPPER('Registro de Comisión'!I249),"Á","A"),"É","E"),"Í","I"),"Ó","O"),"Ú","U"),"Ü","U")))</f>
        <v/>
      </c>
      <c r="D249" s="28" t="str">
        <f aca="false">IF(A249="","",'Registro de Comisión'!J249)</f>
        <v/>
      </c>
      <c r="E249" s="28" t="str">
        <f aca="false">IF(A249="","",'Registro de Comisión'!K249)</f>
        <v/>
      </c>
      <c r="F249" s="29" t="str">
        <f aca="false">IF(A249="","",E249-D249+1)</f>
        <v/>
      </c>
      <c r="G249" s="27" t="str">
        <f aca="false">IF(A249="","",COUNTIFS($A$5:A249,A249))</f>
        <v/>
      </c>
      <c r="H249" s="27" t="str">
        <f aca="false">IF(A249="","",IF(E249=_xlfn.MAXIFS($E$5:$E$304,$A$5:$A$304,A249),1,0))</f>
        <v/>
      </c>
      <c r="I249" s="27" t="str">
        <f aca="false">IF(A249="","",A249&amp;"-"&amp;H249)</f>
        <v/>
      </c>
    </row>
    <row r="250" customFormat="false" ht="15" hidden="false" customHeight="false" outlineLevel="0" collapsed="false">
      <c r="A250" s="27" t="str">
        <f aca="false">IF('Registro de Comisión'!A250="","",'Registro de Comisión'!A250)</f>
        <v/>
      </c>
      <c r="B250" s="27" t="str">
        <f aca="false">IF(A250="","",TRIM(SUBSTITUTE(SUBSTITUTE(SUBSTITUTE(SUBSTITUTE(SUBSTITUTE(SUBSTITUTE(UPPER('Registro de Comisión'!B250),"Á","A"),"É","E"),"Í","I"),"Ó","O"),"Ú","U"),"Ü","U")))</f>
        <v/>
      </c>
      <c r="C250" s="27" t="str">
        <f aca="false">IF(A250="","",TRIM(SUBSTITUTE(SUBSTITUTE(SUBSTITUTE(SUBSTITUTE(SUBSTITUTE(SUBSTITUTE(UPPER('Registro de Comisión'!I250),"Á","A"),"É","E"),"Í","I"),"Ó","O"),"Ú","U"),"Ü","U")))</f>
        <v/>
      </c>
      <c r="D250" s="28" t="str">
        <f aca="false">IF(A250="","",'Registro de Comisión'!J250)</f>
        <v/>
      </c>
      <c r="E250" s="28" t="str">
        <f aca="false">IF(A250="","",'Registro de Comisión'!K250)</f>
        <v/>
      </c>
      <c r="F250" s="29" t="str">
        <f aca="false">IF(A250="","",E250-D250+1)</f>
        <v/>
      </c>
      <c r="G250" s="27" t="str">
        <f aca="false">IF(A250="","",COUNTIFS($A$5:A250,A250))</f>
        <v/>
      </c>
      <c r="H250" s="27" t="str">
        <f aca="false">IF(A250="","",IF(E250=_xlfn.MAXIFS($E$5:$E$304,$A$5:$A$304,A250),1,0))</f>
        <v/>
      </c>
      <c r="I250" s="27" t="str">
        <f aca="false">IF(A250="","",A250&amp;"-"&amp;H250)</f>
        <v/>
      </c>
    </row>
    <row r="251" customFormat="false" ht="15" hidden="false" customHeight="false" outlineLevel="0" collapsed="false">
      <c r="A251" s="27" t="str">
        <f aca="false">IF('Registro de Comisión'!A251="","",'Registro de Comisión'!A251)</f>
        <v/>
      </c>
      <c r="B251" s="27" t="str">
        <f aca="false">IF(A251="","",TRIM(SUBSTITUTE(SUBSTITUTE(SUBSTITUTE(SUBSTITUTE(SUBSTITUTE(SUBSTITUTE(UPPER('Registro de Comisión'!B251),"Á","A"),"É","E"),"Í","I"),"Ó","O"),"Ú","U"),"Ü","U")))</f>
        <v/>
      </c>
      <c r="C251" s="27" t="str">
        <f aca="false">IF(A251="","",TRIM(SUBSTITUTE(SUBSTITUTE(SUBSTITUTE(SUBSTITUTE(SUBSTITUTE(SUBSTITUTE(UPPER('Registro de Comisión'!I251),"Á","A"),"É","E"),"Í","I"),"Ó","O"),"Ú","U"),"Ü","U")))</f>
        <v/>
      </c>
      <c r="D251" s="28" t="str">
        <f aca="false">IF(A251="","",'Registro de Comisión'!J251)</f>
        <v/>
      </c>
      <c r="E251" s="28" t="str">
        <f aca="false">IF(A251="","",'Registro de Comisión'!K251)</f>
        <v/>
      </c>
      <c r="F251" s="29" t="str">
        <f aca="false">IF(A251="","",E251-D251+1)</f>
        <v/>
      </c>
      <c r="G251" s="27" t="str">
        <f aca="false">IF(A251="","",COUNTIFS($A$5:A251,A251))</f>
        <v/>
      </c>
      <c r="H251" s="27" t="str">
        <f aca="false">IF(A251="","",IF(E251=_xlfn.MAXIFS($E$5:$E$304,$A$5:$A$304,A251),1,0))</f>
        <v/>
      </c>
      <c r="I251" s="27" t="str">
        <f aca="false">IF(A251="","",A251&amp;"-"&amp;H251)</f>
        <v/>
      </c>
    </row>
    <row r="252" customFormat="false" ht="15" hidden="false" customHeight="false" outlineLevel="0" collapsed="false">
      <c r="A252" s="27" t="str">
        <f aca="false">IF('Registro de Comisión'!A252="","",'Registro de Comisión'!A252)</f>
        <v/>
      </c>
      <c r="B252" s="27" t="str">
        <f aca="false">IF(A252="","",TRIM(SUBSTITUTE(SUBSTITUTE(SUBSTITUTE(SUBSTITUTE(SUBSTITUTE(SUBSTITUTE(UPPER('Registro de Comisión'!B252),"Á","A"),"É","E"),"Í","I"),"Ó","O"),"Ú","U"),"Ü","U")))</f>
        <v/>
      </c>
      <c r="C252" s="27" t="str">
        <f aca="false">IF(A252="","",TRIM(SUBSTITUTE(SUBSTITUTE(SUBSTITUTE(SUBSTITUTE(SUBSTITUTE(SUBSTITUTE(UPPER('Registro de Comisión'!I252),"Á","A"),"É","E"),"Í","I"),"Ó","O"),"Ú","U"),"Ü","U")))</f>
        <v/>
      </c>
      <c r="D252" s="28" t="str">
        <f aca="false">IF(A252="","",'Registro de Comisión'!J252)</f>
        <v/>
      </c>
      <c r="E252" s="28" t="str">
        <f aca="false">IF(A252="","",'Registro de Comisión'!K252)</f>
        <v/>
      </c>
      <c r="F252" s="29" t="str">
        <f aca="false">IF(A252="","",E252-D252+1)</f>
        <v/>
      </c>
      <c r="G252" s="27" t="str">
        <f aca="false">IF(A252="","",COUNTIFS($A$5:A252,A252))</f>
        <v/>
      </c>
      <c r="H252" s="27" t="str">
        <f aca="false">IF(A252="","",IF(E252=_xlfn.MAXIFS($E$5:$E$304,$A$5:$A$304,A252),1,0))</f>
        <v/>
      </c>
      <c r="I252" s="27" t="str">
        <f aca="false">IF(A252="","",A252&amp;"-"&amp;H252)</f>
        <v/>
      </c>
    </row>
    <row r="253" customFormat="false" ht="15" hidden="false" customHeight="false" outlineLevel="0" collapsed="false">
      <c r="A253" s="27" t="str">
        <f aca="false">IF('Registro de Comisión'!A253="","",'Registro de Comisión'!A253)</f>
        <v/>
      </c>
      <c r="B253" s="27" t="str">
        <f aca="false">IF(A253="","",TRIM(SUBSTITUTE(SUBSTITUTE(SUBSTITUTE(SUBSTITUTE(SUBSTITUTE(SUBSTITUTE(UPPER('Registro de Comisión'!B253),"Á","A"),"É","E"),"Í","I"),"Ó","O"),"Ú","U"),"Ü","U")))</f>
        <v/>
      </c>
      <c r="C253" s="27" t="str">
        <f aca="false">IF(A253="","",TRIM(SUBSTITUTE(SUBSTITUTE(SUBSTITUTE(SUBSTITUTE(SUBSTITUTE(SUBSTITUTE(UPPER('Registro de Comisión'!I253),"Á","A"),"É","E"),"Í","I"),"Ó","O"),"Ú","U"),"Ü","U")))</f>
        <v/>
      </c>
      <c r="D253" s="28" t="str">
        <f aca="false">IF(A253="","",'Registro de Comisión'!J253)</f>
        <v/>
      </c>
      <c r="E253" s="28" t="str">
        <f aca="false">IF(A253="","",'Registro de Comisión'!K253)</f>
        <v/>
      </c>
      <c r="F253" s="29" t="str">
        <f aca="false">IF(A253="","",E253-D253+1)</f>
        <v/>
      </c>
      <c r="G253" s="27" t="str">
        <f aca="false">IF(A253="","",COUNTIFS($A$5:A253,A253))</f>
        <v/>
      </c>
      <c r="H253" s="27" t="str">
        <f aca="false">IF(A253="","",IF(E253=_xlfn.MAXIFS($E$5:$E$304,$A$5:$A$304,A253),1,0))</f>
        <v/>
      </c>
      <c r="I253" s="27" t="str">
        <f aca="false">IF(A253="","",A253&amp;"-"&amp;H253)</f>
        <v/>
      </c>
    </row>
    <row r="254" customFormat="false" ht="15" hidden="false" customHeight="false" outlineLevel="0" collapsed="false">
      <c r="A254" s="27" t="str">
        <f aca="false">IF('Registro de Comisión'!A254="","",'Registro de Comisión'!A254)</f>
        <v/>
      </c>
      <c r="B254" s="27" t="str">
        <f aca="false">IF(A254="","",TRIM(SUBSTITUTE(SUBSTITUTE(SUBSTITUTE(SUBSTITUTE(SUBSTITUTE(SUBSTITUTE(UPPER('Registro de Comisión'!B254),"Á","A"),"É","E"),"Í","I"),"Ó","O"),"Ú","U"),"Ü","U")))</f>
        <v/>
      </c>
      <c r="C254" s="27" t="str">
        <f aca="false">IF(A254="","",TRIM(SUBSTITUTE(SUBSTITUTE(SUBSTITUTE(SUBSTITUTE(SUBSTITUTE(SUBSTITUTE(UPPER('Registro de Comisión'!I254),"Á","A"),"É","E"),"Í","I"),"Ó","O"),"Ú","U"),"Ü","U")))</f>
        <v/>
      </c>
      <c r="D254" s="28" t="str">
        <f aca="false">IF(A254="","",'Registro de Comisión'!J254)</f>
        <v/>
      </c>
      <c r="E254" s="28" t="str">
        <f aca="false">IF(A254="","",'Registro de Comisión'!K254)</f>
        <v/>
      </c>
      <c r="F254" s="29" t="str">
        <f aca="false">IF(A254="","",E254-D254+1)</f>
        <v/>
      </c>
      <c r="G254" s="27" t="str">
        <f aca="false">IF(A254="","",COUNTIFS($A$5:A254,A254))</f>
        <v/>
      </c>
      <c r="H254" s="27" t="str">
        <f aca="false">IF(A254="","",IF(E254=_xlfn.MAXIFS($E$5:$E$304,$A$5:$A$304,A254),1,0))</f>
        <v/>
      </c>
      <c r="I254" s="27" t="str">
        <f aca="false">IF(A254="","",A254&amp;"-"&amp;H254)</f>
        <v/>
      </c>
    </row>
    <row r="255" customFormat="false" ht="15" hidden="false" customHeight="false" outlineLevel="0" collapsed="false">
      <c r="A255" s="27" t="str">
        <f aca="false">IF('Registro de Comisión'!A255="","",'Registro de Comisión'!A255)</f>
        <v/>
      </c>
      <c r="B255" s="27" t="str">
        <f aca="false">IF(A255="","",TRIM(SUBSTITUTE(SUBSTITUTE(SUBSTITUTE(SUBSTITUTE(SUBSTITUTE(SUBSTITUTE(UPPER('Registro de Comisión'!B255),"Á","A"),"É","E"),"Í","I"),"Ó","O"),"Ú","U"),"Ü","U")))</f>
        <v/>
      </c>
      <c r="C255" s="27" t="str">
        <f aca="false">IF(A255="","",TRIM(SUBSTITUTE(SUBSTITUTE(SUBSTITUTE(SUBSTITUTE(SUBSTITUTE(SUBSTITUTE(UPPER('Registro de Comisión'!I255),"Á","A"),"É","E"),"Í","I"),"Ó","O"),"Ú","U"),"Ü","U")))</f>
        <v/>
      </c>
      <c r="D255" s="28" t="str">
        <f aca="false">IF(A255="","",'Registro de Comisión'!J255)</f>
        <v/>
      </c>
      <c r="E255" s="28" t="str">
        <f aca="false">IF(A255="","",'Registro de Comisión'!K255)</f>
        <v/>
      </c>
      <c r="F255" s="29" t="str">
        <f aca="false">IF(A255="","",E255-D255+1)</f>
        <v/>
      </c>
      <c r="G255" s="27" t="str">
        <f aca="false">IF(A255="","",COUNTIFS($A$5:A255,A255))</f>
        <v/>
      </c>
      <c r="H255" s="27" t="str">
        <f aca="false">IF(A255="","",IF(E255=_xlfn.MAXIFS($E$5:$E$304,$A$5:$A$304,A255),1,0))</f>
        <v/>
      </c>
      <c r="I255" s="27" t="str">
        <f aca="false">IF(A255="","",A255&amp;"-"&amp;H255)</f>
        <v/>
      </c>
    </row>
    <row r="256" customFormat="false" ht="15" hidden="false" customHeight="false" outlineLevel="0" collapsed="false">
      <c r="A256" s="27" t="str">
        <f aca="false">IF('Registro de Comisión'!A256="","",'Registro de Comisión'!A256)</f>
        <v/>
      </c>
      <c r="B256" s="27" t="str">
        <f aca="false">IF(A256="","",TRIM(SUBSTITUTE(SUBSTITUTE(SUBSTITUTE(SUBSTITUTE(SUBSTITUTE(SUBSTITUTE(UPPER('Registro de Comisión'!B256),"Á","A"),"É","E"),"Í","I"),"Ó","O"),"Ú","U"),"Ü","U")))</f>
        <v/>
      </c>
      <c r="C256" s="27" t="str">
        <f aca="false">IF(A256="","",TRIM(SUBSTITUTE(SUBSTITUTE(SUBSTITUTE(SUBSTITUTE(SUBSTITUTE(SUBSTITUTE(UPPER('Registro de Comisión'!I256),"Á","A"),"É","E"),"Í","I"),"Ó","O"),"Ú","U"),"Ü","U")))</f>
        <v/>
      </c>
      <c r="D256" s="28" t="str">
        <f aca="false">IF(A256="","",'Registro de Comisión'!J256)</f>
        <v/>
      </c>
      <c r="E256" s="28" t="str">
        <f aca="false">IF(A256="","",'Registro de Comisión'!K256)</f>
        <v/>
      </c>
      <c r="F256" s="29" t="str">
        <f aca="false">IF(A256="","",E256-D256+1)</f>
        <v/>
      </c>
      <c r="G256" s="27" t="str">
        <f aca="false">IF(A256="","",COUNTIFS($A$5:A256,A256))</f>
        <v/>
      </c>
      <c r="H256" s="27" t="str">
        <f aca="false">IF(A256="","",IF(E256=_xlfn.MAXIFS($E$5:$E$304,$A$5:$A$304,A256),1,0))</f>
        <v/>
      </c>
      <c r="I256" s="27" t="str">
        <f aca="false">IF(A256="","",A256&amp;"-"&amp;H256)</f>
        <v/>
      </c>
    </row>
    <row r="257" customFormat="false" ht="15" hidden="false" customHeight="false" outlineLevel="0" collapsed="false">
      <c r="A257" s="27" t="str">
        <f aca="false">IF('Registro de Comisión'!A257="","",'Registro de Comisión'!A257)</f>
        <v/>
      </c>
      <c r="B257" s="27" t="str">
        <f aca="false">IF(A257="","",TRIM(SUBSTITUTE(SUBSTITUTE(SUBSTITUTE(SUBSTITUTE(SUBSTITUTE(SUBSTITUTE(UPPER('Registro de Comisión'!B257),"Á","A"),"É","E"),"Í","I"),"Ó","O"),"Ú","U"),"Ü","U")))</f>
        <v/>
      </c>
      <c r="C257" s="27" t="str">
        <f aca="false">IF(A257="","",TRIM(SUBSTITUTE(SUBSTITUTE(SUBSTITUTE(SUBSTITUTE(SUBSTITUTE(SUBSTITUTE(UPPER('Registro de Comisión'!I257),"Á","A"),"É","E"),"Í","I"),"Ó","O"),"Ú","U"),"Ü","U")))</f>
        <v/>
      </c>
      <c r="D257" s="28" t="str">
        <f aca="false">IF(A257="","",'Registro de Comisión'!J257)</f>
        <v/>
      </c>
      <c r="E257" s="28" t="str">
        <f aca="false">IF(A257="","",'Registro de Comisión'!K257)</f>
        <v/>
      </c>
      <c r="F257" s="29" t="str">
        <f aca="false">IF(A257="","",E257-D257+1)</f>
        <v/>
      </c>
      <c r="G257" s="27" t="str">
        <f aca="false">IF(A257="","",COUNTIFS($A$5:A257,A257))</f>
        <v/>
      </c>
      <c r="H257" s="27" t="str">
        <f aca="false">IF(A257="","",IF(E257=_xlfn.MAXIFS($E$5:$E$304,$A$5:$A$304,A257),1,0))</f>
        <v/>
      </c>
      <c r="I257" s="27" t="str">
        <f aca="false">IF(A257="","",A257&amp;"-"&amp;H257)</f>
        <v/>
      </c>
    </row>
    <row r="258" customFormat="false" ht="15" hidden="false" customHeight="false" outlineLevel="0" collapsed="false">
      <c r="A258" s="27" t="str">
        <f aca="false">IF('Registro de Comisión'!A258="","",'Registro de Comisión'!A258)</f>
        <v/>
      </c>
      <c r="B258" s="27" t="str">
        <f aca="false">IF(A258="","",TRIM(SUBSTITUTE(SUBSTITUTE(SUBSTITUTE(SUBSTITUTE(SUBSTITUTE(SUBSTITUTE(UPPER('Registro de Comisión'!B258),"Á","A"),"É","E"),"Í","I"),"Ó","O"),"Ú","U"),"Ü","U")))</f>
        <v/>
      </c>
      <c r="C258" s="27" t="str">
        <f aca="false">IF(A258="","",TRIM(SUBSTITUTE(SUBSTITUTE(SUBSTITUTE(SUBSTITUTE(SUBSTITUTE(SUBSTITUTE(UPPER('Registro de Comisión'!I258),"Á","A"),"É","E"),"Í","I"),"Ó","O"),"Ú","U"),"Ü","U")))</f>
        <v/>
      </c>
      <c r="D258" s="28" t="str">
        <f aca="false">IF(A258="","",'Registro de Comisión'!J258)</f>
        <v/>
      </c>
      <c r="E258" s="28" t="str">
        <f aca="false">IF(A258="","",'Registro de Comisión'!K258)</f>
        <v/>
      </c>
      <c r="F258" s="29" t="str">
        <f aca="false">IF(A258="","",E258-D258+1)</f>
        <v/>
      </c>
      <c r="G258" s="27" t="str">
        <f aca="false">IF(A258="","",COUNTIFS($A$5:A258,A258))</f>
        <v/>
      </c>
      <c r="H258" s="27" t="str">
        <f aca="false">IF(A258="","",IF(E258=_xlfn.MAXIFS($E$5:$E$304,$A$5:$A$304,A258),1,0))</f>
        <v/>
      </c>
      <c r="I258" s="27" t="str">
        <f aca="false">IF(A258="","",A258&amp;"-"&amp;H258)</f>
        <v/>
      </c>
    </row>
    <row r="259" customFormat="false" ht="15" hidden="false" customHeight="false" outlineLevel="0" collapsed="false">
      <c r="A259" s="27" t="str">
        <f aca="false">IF('Registro de Comisión'!A259="","",'Registro de Comisión'!A259)</f>
        <v/>
      </c>
      <c r="B259" s="27" t="str">
        <f aca="false">IF(A259="","",TRIM(SUBSTITUTE(SUBSTITUTE(SUBSTITUTE(SUBSTITUTE(SUBSTITUTE(SUBSTITUTE(UPPER('Registro de Comisión'!B259),"Á","A"),"É","E"),"Í","I"),"Ó","O"),"Ú","U"),"Ü","U")))</f>
        <v/>
      </c>
      <c r="C259" s="27" t="str">
        <f aca="false">IF(A259="","",TRIM(SUBSTITUTE(SUBSTITUTE(SUBSTITUTE(SUBSTITUTE(SUBSTITUTE(SUBSTITUTE(UPPER('Registro de Comisión'!I259),"Á","A"),"É","E"),"Í","I"),"Ó","O"),"Ú","U"),"Ü","U")))</f>
        <v/>
      </c>
      <c r="D259" s="28" t="str">
        <f aca="false">IF(A259="","",'Registro de Comisión'!J259)</f>
        <v/>
      </c>
      <c r="E259" s="28" t="str">
        <f aca="false">IF(A259="","",'Registro de Comisión'!K259)</f>
        <v/>
      </c>
      <c r="F259" s="29" t="str">
        <f aca="false">IF(A259="","",E259-D259+1)</f>
        <v/>
      </c>
      <c r="G259" s="27" t="str">
        <f aca="false">IF(A259="","",COUNTIFS($A$5:A259,A259))</f>
        <v/>
      </c>
      <c r="H259" s="27" t="str">
        <f aca="false">IF(A259="","",IF(E259=_xlfn.MAXIFS($E$5:$E$304,$A$5:$A$304,A259),1,0))</f>
        <v/>
      </c>
      <c r="I259" s="27" t="str">
        <f aca="false">IF(A259="","",A259&amp;"-"&amp;H259)</f>
        <v/>
      </c>
    </row>
    <row r="260" customFormat="false" ht="15" hidden="false" customHeight="false" outlineLevel="0" collapsed="false">
      <c r="A260" s="27" t="str">
        <f aca="false">IF('Registro de Comisión'!A260="","",'Registro de Comisión'!A260)</f>
        <v/>
      </c>
      <c r="B260" s="27" t="str">
        <f aca="false">IF(A260="","",TRIM(SUBSTITUTE(SUBSTITUTE(SUBSTITUTE(SUBSTITUTE(SUBSTITUTE(SUBSTITUTE(UPPER('Registro de Comisión'!B260),"Á","A"),"É","E"),"Í","I"),"Ó","O"),"Ú","U"),"Ü","U")))</f>
        <v/>
      </c>
      <c r="C260" s="27" t="str">
        <f aca="false">IF(A260="","",TRIM(SUBSTITUTE(SUBSTITUTE(SUBSTITUTE(SUBSTITUTE(SUBSTITUTE(SUBSTITUTE(UPPER('Registro de Comisión'!I260),"Á","A"),"É","E"),"Í","I"),"Ó","O"),"Ú","U"),"Ü","U")))</f>
        <v/>
      </c>
      <c r="D260" s="28" t="str">
        <f aca="false">IF(A260="","",'Registro de Comisión'!J260)</f>
        <v/>
      </c>
      <c r="E260" s="28" t="str">
        <f aca="false">IF(A260="","",'Registro de Comisión'!K260)</f>
        <v/>
      </c>
      <c r="F260" s="29" t="str">
        <f aca="false">IF(A260="","",E260-D260+1)</f>
        <v/>
      </c>
      <c r="G260" s="27" t="str">
        <f aca="false">IF(A260="","",COUNTIFS($A$5:A260,A260))</f>
        <v/>
      </c>
      <c r="H260" s="27" t="str">
        <f aca="false">IF(A260="","",IF(E260=_xlfn.MAXIFS($E$5:$E$304,$A$5:$A$304,A260),1,0))</f>
        <v/>
      </c>
      <c r="I260" s="27" t="str">
        <f aca="false">IF(A260="","",A260&amp;"-"&amp;H260)</f>
        <v/>
      </c>
    </row>
    <row r="261" customFormat="false" ht="15" hidden="false" customHeight="false" outlineLevel="0" collapsed="false">
      <c r="A261" s="27" t="str">
        <f aca="false">IF('Registro de Comisión'!A261="","",'Registro de Comisión'!A261)</f>
        <v/>
      </c>
      <c r="B261" s="27" t="str">
        <f aca="false">IF(A261="","",TRIM(SUBSTITUTE(SUBSTITUTE(SUBSTITUTE(SUBSTITUTE(SUBSTITUTE(SUBSTITUTE(UPPER('Registro de Comisión'!B261),"Á","A"),"É","E"),"Í","I"),"Ó","O"),"Ú","U"),"Ü","U")))</f>
        <v/>
      </c>
      <c r="C261" s="27" t="str">
        <f aca="false">IF(A261="","",TRIM(SUBSTITUTE(SUBSTITUTE(SUBSTITUTE(SUBSTITUTE(SUBSTITUTE(SUBSTITUTE(UPPER('Registro de Comisión'!I261),"Á","A"),"É","E"),"Í","I"),"Ó","O"),"Ú","U"),"Ü","U")))</f>
        <v/>
      </c>
      <c r="D261" s="28" t="str">
        <f aca="false">IF(A261="","",'Registro de Comisión'!J261)</f>
        <v/>
      </c>
      <c r="E261" s="28" t="str">
        <f aca="false">IF(A261="","",'Registro de Comisión'!K261)</f>
        <v/>
      </c>
      <c r="F261" s="29" t="str">
        <f aca="false">IF(A261="","",E261-D261+1)</f>
        <v/>
      </c>
      <c r="G261" s="27" t="str">
        <f aca="false">IF(A261="","",COUNTIFS($A$5:A261,A261))</f>
        <v/>
      </c>
      <c r="H261" s="27" t="str">
        <f aca="false">IF(A261="","",IF(E261=_xlfn.MAXIFS($E$5:$E$304,$A$5:$A$304,A261),1,0))</f>
        <v/>
      </c>
      <c r="I261" s="27" t="str">
        <f aca="false">IF(A261="","",A261&amp;"-"&amp;H261)</f>
        <v/>
      </c>
    </row>
    <row r="262" customFormat="false" ht="15" hidden="false" customHeight="false" outlineLevel="0" collapsed="false">
      <c r="A262" s="27" t="str">
        <f aca="false">IF('Registro de Comisión'!A262="","",'Registro de Comisión'!A262)</f>
        <v/>
      </c>
      <c r="B262" s="27" t="str">
        <f aca="false">IF(A262="","",TRIM(SUBSTITUTE(SUBSTITUTE(SUBSTITUTE(SUBSTITUTE(SUBSTITUTE(SUBSTITUTE(UPPER('Registro de Comisión'!B262),"Á","A"),"É","E"),"Í","I"),"Ó","O"),"Ú","U"),"Ü","U")))</f>
        <v/>
      </c>
      <c r="C262" s="27" t="str">
        <f aca="false">IF(A262="","",TRIM(SUBSTITUTE(SUBSTITUTE(SUBSTITUTE(SUBSTITUTE(SUBSTITUTE(SUBSTITUTE(UPPER('Registro de Comisión'!I262),"Á","A"),"É","E"),"Í","I"),"Ó","O"),"Ú","U"),"Ü","U")))</f>
        <v/>
      </c>
      <c r="D262" s="28" t="str">
        <f aca="false">IF(A262="","",'Registro de Comisión'!J262)</f>
        <v/>
      </c>
      <c r="E262" s="28" t="str">
        <f aca="false">IF(A262="","",'Registro de Comisión'!K262)</f>
        <v/>
      </c>
      <c r="F262" s="29" t="str">
        <f aca="false">IF(A262="","",E262-D262+1)</f>
        <v/>
      </c>
      <c r="G262" s="27" t="str">
        <f aca="false">IF(A262="","",COUNTIFS($A$5:A262,A262))</f>
        <v/>
      </c>
      <c r="H262" s="27" t="str">
        <f aca="false">IF(A262="","",IF(E262=_xlfn.MAXIFS($E$5:$E$304,$A$5:$A$304,A262),1,0))</f>
        <v/>
      </c>
      <c r="I262" s="27" t="str">
        <f aca="false">IF(A262="","",A262&amp;"-"&amp;H262)</f>
        <v/>
      </c>
    </row>
    <row r="263" customFormat="false" ht="15" hidden="false" customHeight="false" outlineLevel="0" collapsed="false">
      <c r="A263" s="27" t="str">
        <f aca="false">IF('Registro de Comisión'!A263="","",'Registro de Comisión'!A263)</f>
        <v/>
      </c>
      <c r="B263" s="27" t="str">
        <f aca="false">IF(A263="","",TRIM(SUBSTITUTE(SUBSTITUTE(SUBSTITUTE(SUBSTITUTE(SUBSTITUTE(SUBSTITUTE(UPPER('Registro de Comisión'!B263),"Á","A"),"É","E"),"Í","I"),"Ó","O"),"Ú","U"),"Ü","U")))</f>
        <v/>
      </c>
      <c r="C263" s="27" t="str">
        <f aca="false">IF(A263="","",TRIM(SUBSTITUTE(SUBSTITUTE(SUBSTITUTE(SUBSTITUTE(SUBSTITUTE(SUBSTITUTE(UPPER('Registro de Comisión'!I263),"Á","A"),"É","E"),"Í","I"),"Ó","O"),"Ú","U"),"Ü","U")))</f>
        <v/>
      </c>
      <c r="D263" s="28" t="str">
        <f aca="false">IF(A263="","",'Registro de Comisión'!J263)</f>
        <v/>
      </c>
      <c r="E263" s="28" t="str">
        <f aca="false">IF(A263="","",'Registro de Comisión'!K263)</f>
        <v/>
      </c>
      <c r="F263" s="29" t="str">
        <f aca="false">IF(A263="","",E263-D263+1)</f>
        <v/>
      </c>
      <c r="G263" s="27" t="str">
        <f aca="false">IF(A263="","",COUNTIFS($A$5:A263,A263))</f>
        <v/>
      </c>
      <c r="H263" s="27" t="str">
        <f aca="false">IF(A263="","",IF(E263=_xlfn.MAXIFS($E$5:$E$304,$A$5:$A$304,A263),1,0))</f>
        <v/>
      </c>
      <c r="I263" s="27" t="str">
        <f aca="false">IF(A263="","",A263&amp;"-"&amp;H263)</f>
        <v/>
      </c>
    </row>
    <row r="264" customFormat="false" ht="15" hidden="false" customHeight="false" outlineLevel="0" collapsed="false">
      <c r="A264" s="27" t="str">
        <f aca="false">IF('Registro de Comisión'!A264="","",'Registro de Comisión'!A264)</f>
        <v/>
      </c>
      <c r="B264" s="27" t="str">
        <f aca="false">IF(A264="","",TRIM(SUBSTITUTE(SUBSTITUTE(SUBSTITUTE(SUBSTITUTE(SUBSTITUTE(SUBSTITUTE(UPPER('Registro de Comisión'!B264),"Á","A"),"É","E"),"Í","I"),"Ó","O"),"Ú","U"),"Ü","U")))</f>
        <v/>
      </c>
      <c r="C264" s="27" t="str">
        <f aca="false">IF(A264="","",TRIM(SUBSTITUTE(SUBSTITUTE(SUBSTITUTE(SUBSTITUTE(SUBSTITUTE(SUBSTITUTE(UPPER('Registro de Comisión'!I264),"Á","A"),"É","E"),"Í","I"),"Ó","O"),"Ú","U"),"Ü","U")))</f>
        <v/>
      </c>
      <c r="D264" s="28" t="str">
        <f aca="false">IF(A264="","",'Registro de Comisión'!J264)</f>
        <v/>
      </c>
      <c r="E264" s="28" t="str">
        <f aca="false">IF(A264="","",'Registro de Comisión'!K264)</f>
        <v/>
      </c>
      <c r="F264" s="29" t="str">
        <f aca="false">IF(A264="","",E264-D264+1)</f>
        <v/>
      </c>
      <c r="G264" s="27" t="str">
        <f aca="false">IF(A264="","",COUNTIFS($A$5:A264,A264))</f>
        <v/>
      </c>
      <c r="H264" s="27" t="str">
        <f aca="false">IF(A264="","",IF(E264=_xlfn.MAXIFS($E$5:$E$304,$A$5:$A$304,A264),1,0))</f>
        <v/>
      </c>
      <c r="I264" s="27" t="str">
        <f aca="false">IF(A264="","",A264&amp;"-"&amp;H264)</f>
        <v/>
      </c>
    </row>
    <row r="265" customFormat="false" ht="15" hidden="false" customHeight="false" outlineLevel="0" collapsed="false">
      <c r="A265" s="27" t="str">
        <f aca="false">IF('Registro de Comisión'!A265="","",'Registro de Comisión'!A265)</f>
        <v/>
      </c>
      <c r="B265" s="27" t="str">
        <f aca="false">IF(A265="","",TRIM(SUBSTITUTE(SUBSTITUTE(SUBSTITUTE(SUBSTITUTE(SUBSTITUTE(SUBSTITUTE(UPPER('Registro de Comisión'!B265),"Á","A"),"É","E"),"Í","I"),"Ó","O"),"Ú","U"),"Ü","U")))</f>
        <v/>
      </c>
      <c r="C265" s="27" t="str">
        <f aca="false">IF(A265="","",TRIM(SUBSTITUTE(SUBSTITUTE(SUBSTITUTE(SUBSTITUTE(SUBSTITUTE(SUBSTITUTE(UPPER('Registro de Comisión'!I265),"Á","A"),"É","E"),"Í","I"),"Ó","O"),"Ú","U"),"Ü","U")))</f>
        <v/>
      </c>
      <c r="D265" s="28" t="str">
        <f aca="false">IF(A265="","",'Registro de Comisión'!J265)</f>
        <v/>
      </c>
      <c r="E265" s="28" t="str">
        <f aca="false">IF(A265="","",'Registro de Comisión'!K265)</f>
        <v/>
      </c>
      <c r="F265" s="29" t="str">
        <f aca="false">IF(A265="","",E265-D265+1)</f>
        <v/>
      </c>
      <c r="G265" s="27" t="str">
        <f aca="false">IF(A265="","",COUNTIFS($A$5:A265,A265))</f>
        <v/>
      </c>
      <c r="H265" s="27" t="str">
        <f aca="false">IF(A265="","",IF(E265=_xlfn.MAXIFS($E$5:$E$304,$A$5:$A$304,A265),1,0))</f>
        <v/>
      </c>
      <c r="I265" s="27" t="str">
        <f aca="false">IF(A265="","",A265&amp;"-"&amp;H265)</f>
        <v/>
      </c>
    </row>
    <row r="266" customFormat="false" ht="15" hidden="false" customHeight="false" outlineLevel="0" collapsed="false">
      <c r="A266" s="27" t="str">
        <f aca="false">IF('Registro de Comisión'!A266="","",'Registro de Comisión'!A266)</f>
        <v/>
      </c>
      <c r="B266" s="27" t="str">
        <f aca="false">IF(A266="","",TRIM(SUBSTITUTE(SUBSTITUTE(SUBSTITUTE(SUBSTITUTE(SUBSTITUTE(SUBSTITUTE(UPPER('Registro de Comisión'!B266),"Á","A"),"É","E"),"Í","I"),"Ó","O"),"Ú","U"),"Ü","U")))</f>
        <v/>
      </c>
      <c r="C266" s="27" t="str">
        <f aca="false">IF(A266="","",TRIM(SUBSTITUTE(SUBSTITUTE(SUBSTITUTE(SUBSTITUTE(SUBSTITUTE(SUBSTITUTE(UPPER('Registro de Comisión'!I266),"Á","A"),"É","E"),"Í","I"),"Ó","O"),"Ú","U"),"Ü","U")))</f>
        <v/>
      </c>
      <c r="D266" s="28" t="str">
        <f aca="false">IF(A266="","",'Registro de Comisión'!J266)</f>
        <v/>
      </c>
      <c r="E266" s="28" t="str">
        <f aca="false">IF(A266="","",'Registro de Comisión'!K266)</f>
        <v/>
      </c>
      <c r="F266" s="29" t="str">
        <f aca="false">IF(A266="","",E266-D266+1)</f>
        <v/>
      </c>
      <c r="G266" s="27" t="str">
        <f aca="false">IF(A266="","",COUNTIFS($A$5:A266,A266))</f>
        <v/>
      </c>
      <c r="H266" s="27" t="str">
        <f aca="false">IF(A266="","",IF(E266=_xlfn.MAXIFS($E$5:$E$304,$A$5:$A$304,A266),1,0))</f>
        <v/>
      </c>
      <c r="I266" s="27" t="str">
        <f aca="false">IF(A266="","",A266&amp;"-"&amp;H266)</f>
        <v/>
      </c>
    </row>
    <row r="267" customFormat="false" ht="15" hidden="false" customHeight="false" outlineLevel="0" collapsed="false">
      <c r="A267" s="27" t="str">
        <f aca="false">IF('Registro de Comisión'!A267="","",'Registro de Comisión'!A267)</f>
        <v/>
      </c>
      <c r="B267" s="27" t="str">
        <f aca="false">IF(A267="","",TRIM(SUBSTITUTE(SUBSTITUTE(SUBSTITUTE(SUBSTITUTE(SUBSTITUTE(SUBSTITUTE(UPPER('Registro de Comisión'!B267),"Á","A"),"É","E"),"Í","I"),"Ó","O"),"Ú","U"),"Ü","U")))</f>
        <v/>
      </c>
      <c r="C267" s="27" t="str">
        <f aca="false">IF(A267="","",TRIM(SUBSTITUTE(SUBSTITUTE(SUBSTITUTE(SUBSTITUTE(SUBSTITUTE(SUBSTITUTE(UPPER('Registro de Comisión'!I267),"Á","A"),"É","E"),"Í","I"),"Ó","O"),"Ú","U"),"Ü","U")))</f>
        <v/>
      </c>
      <c r="D267" s="28" t="str">
        <f aca="false">IF(A267="","",'Registro de Comisión'!J267)</f>
        <v/>
      </c>
      <c r="E267" s="28" t="str">
        <f aca="false">IF(A267="","",'Registro de Comisión'!K267)</f>
        <v/>
      </c>
      <c r="F267" s="29" t="str">
        <f aca="false">IF(A267="","",E267-D267+1)</f>
        <v/>
      </c>
      <c r="G267" s="27" t="str">
        <f aca="false">IF(A267="","",COUNTIFS($A$5:A267,A267))</f>
        <v/>
      </c>
      <c r="H267" s="27" t="str">
        <f aca="false">IF(A267="","",IF(E267=_xlfn.MAXIFS($E$5:$E$304,$A$5:$A$304,A267),1,0))</f>
        <v/>
      </c>
      <c r="I267" s="27" t="str">
        <f aca="false">IF(A267="","",A267&amp;"-"&amp;H267)</f>
        <v/>
      </c>
    </row>
    <row r="268" customFormat="false" ht="15" hidden="false" customHeight="false" outlineLevel="0" collapsed="false">
      <c r="A268" s="27" t="str">
        <f aca="false">IF('Registro de Comisión'!A268="","",'Registro de Comisión'!A268)</f>
        <v/>
      </c>
      <c r="B268" s="27" t="str">
        <f aca="false">IF(A268="","",TRIM(SUBSTITUTE(SUBSTITUTE(SUBSTITUTE(SUBSTITUTE(SUBSTITUTE(SUBSTITUTE(UPPER('Registro de Comisión'!B268),"Á","A"),"É","E"),"Í","I"),"Ó","O"),"Ú","U"),"Ü","U")))</f>
        <v/>
      </c>
      <c r="C268" s="27" t="str">
        <f aca="false">IF(A268="","",TRIM(SUBSTITUTE(SUBSTITUTE(SUBSTITUTE(SUBSTITUTE(SUBSTITUTE(SUBSTITUTE(UPPER('Registro de Comisión'!I268),"Á","A"),"É","E"),"Í","I"),"Ó","O"),"Ú","U"),"Ü","U")))</f>
        <v/>
      </c>
      <c r="D268" s="28" t="str">
        <f aca="false">IF(A268="","",'Registro de Comisión'!J268)</f>
        <v/>
      </c>
      <c r="E268" s="28" t="str">
        <f aca="false">IF(A268="","",'Registro de Comisión'!K268)</f>
        <v/>
      </c>
      <c r="F268" s="29" t="str">
        <f aca="false">IF(A268="","",E268-D268+1)</f>
        <v/>
      </c>
      <c r="G268" s="27" t="str">
        <f aca="false">IF(A268="","",COUNTIFS($A$5:A268,A268))</f>
        <v/>
      </c>
      <c r="H268" s="27" t="str">
        <f aca="false">IF(A268="","",IF(E268=_xlfn.MAXIFS($E$5:$E$304,$A$5:$A$304,A268),1,0))</f>
        <v/>
      </c>
      <c r="I268" s="27" t="str">
        <f aca="false">IF(A268="","",A268&amp;"-"&amp;H268)</f>
        <v/>
      </c>
    </row>
    <row r="269" customFormat="false" ht="15" hidden="false" customHeight="false" outlineLevel="0" collapsed="false">
      <c r="A269" s="27" t="str">
        <f aca="false">IF('Registro de Comisión'!A269="","",'Registro de Comisión'!A269)</f>
        <v/>
      </c>
      <c r="B269" s="27" t="str">
        <f aca="false">IF(A269="","",TRIM(SUBSTITUTE(SUBSTITUTE(SUBSTITUTE(SUBSTITUTE(SUBSTITUTE(SUBSTITUTE(UPPER('Registro de Comisión'!B269),"Á","A"),"É","E"),"Í","I"),"Ó","O"),"Ú","U"),"Ü","U")))</f>
        <v/>
      </c>
      <c r="C269" s="27" t="str">
        <f aca="false">IF(A269="","",TRIM(SUBSTITUTE(SUBSTITUTE(SUBSTITUTE(SUBSTITUTE(SUBSTITUTE(SUBSTITUTE(UPPER('Registro de Comisión'!I269),"Á","A"),"É","E"),"Í","I"),"Ó","O"),"Ú","U"),"Ü","U")))</f>
        <v/>
      </c>
      <c r="D269" s="28" t="str">
        <f aca="false">IF(A269="","",'Registro de Comisión'!J269)</f>
        <v/>
      </c>
      <c r="E269" s="28" t="str">
        <f aca="false">IF(A269="","",'Registro de Comisión'!K269)</f>
        <v/>
      </c>
      <c r="F269" s="29" t="str">
        <f aca="false">IF(A269="","",E269-D269+1)</f>
        <v/>
      </c>
      <c r="G269" s="27" t="str">
        <f aca="false">IF(A269="","",COUNTIFS($A$5:A269,A269))</f>
        <v/>
      </c>
      <c r="H269" s="27" t="str">
        <f aca="false">IF(A269="","",IF(E269=_xlfn.MAXIFS($E$5:$E$304,$A$5:$A$304,A269),1,0))</f>
        <v/>
      </c>
      <c r="I269" s="27" t="str">
        <f aca="false">IF(A269="","",A269&amp;"-"&amp;H269)</f>
        <v/>
      </c>
    </row>
    <row r="270" customFormat="false" ht="15" hidden="false" customHeight="false" outlineLevel="0" collapsed="false">
      <c r="A270" s="27" t="str">
        <f aca="false">IF('Registro de Comisión'!A270="","",'Registro de Comisión'!A270)</f>
        <v/>
      </c>
      <c r="B270" s="27" t="str">
        <f aca="false">IF(A270="","",TRIM(SUBSTITUTE(SUBSTITUTE(SUBSTITUTE(SUBSTITUTE(SUBSTITUTE(SUBSTITUTE(UPPER('Registro de Comisión'!B270),"Á","A"),"É","E"),"Í","I"),"Ó","O"),"Ú","U"),"Ü","U")))</f>
        <v/>
      </c>
      <c r="C270" s="27" t="str">
        <f aca="false">IF(A270="","",TRIM(SUBSTITUTE(SUBSTITUTE(SUBSTITUTE(SUBSTITUTE(SUBSTITUTE(SUBSTITUTE(UPPER('Registro de Comisión'!I270),"Á","A"),"É","E"),"Í","I"),"Ó","O"),"Ú","U"),"Ü","U")))</f>
        <v/>
      </c>
      <c r="D270" s="28" t="str">
        <f aca="false">IF(A270="","",'Registro de Comisión'!J270)</f>
        <v/>
      </c>
      <c r="E270" s="28" t="str">
        <f aca="false">IF(A270="","",'Registro de Comisión'!K270)</f>
        <v/>
      </c>
      <c r="F270" s="29" t="str">
        <f aca="false">IF(A270="","",E270-D270+1)</f>
        <v/>
      </c>
      <c r="G270" s="27" t="str">
        <f aca="false">IF(A270="","",COUNTIFS($A$5:A270,A270))</f>
        <v/>
      </c>
      <c r="H270" s="27" t="str">
        <f aca="false">IF(A270="","",IF(E270=_xlfn.MAXIFS($E$5:$E$304,$A$5:$A$304,A270),1,0))</f>
        <v/>
      </c>
      <c r="I270" s="27" t="str">
        <f aca="false">IF(A270="","",A270&amp;"-"&amp;H270)</f>
        <v/>
      </c>
    </row>
    <row r="271" customFormat="false" ht="15" hidden="false" customHeight="false" outlineLevel="0" collapsed="false">
      <c r="A271" s="27" t="str">
        <f aca="false">IF('Registro de Comisión'!A271="","",'Registro de Comisión'!A271)</f>
        <v/>
      </c>
      <c r="B271" s="27" t="str">
        <f aca="false">IF(A271="","",TRIM(SUBSTITUTE(SUBSTITUTE(SUBSTITUTE(SUBSTITUTE(SUBSTITUTE(SUBSTITUTE(UPPER('Registro de Comisión'!B271),"Á","A"),"É","E"),"Í","I"),"Ó","O"),"Ú","U"),"Ü","U")))</f>
        <v/>
      </c>
      <c r="C271" s="27" t="str">
        <f aca="false">IF(A271="","",TRIM(SUBSTITUTE(SUBSTITUTE(SUBSTITUTE(SUBSTITUTE(SUBSTITUTE(SUBSTITUTE(UPPER('Registro de Comisión'!I271),"Á","A"),"É","E"),"Í","I"),"Ó","O"),"Ú","U"),"Ü","U")))</f>
        <v/>
      </c>
      <c r="D271" s="28" t="str">
        <f aca="false">IF(A271="","",'Registro de Comisión'!J271)</f>
        <v/>
      </c>
      <c r="E271" s="28" t="str">
        <f aca="false">IF(A271="","",'Registro de Comisión'!K271)</f>
        <v/>
      </c>
      <c r="F271" s="29" t="str">
        <f aca="false">IF(A271="","",E271-D271+1)</f>
        <v/>
      </c>
      <c r="G271" s="27" t="str">
        <f aca="false">IF(A271="","",COUNTIFS($A$5:A271,A271))</f>
        <v/>
      </c>
      <c r="H271" s="27" t="str">
        <f aca="false">IF(A271="","",IF(E271=_xlfn.MAXIFS($E$5:$E$304,$A$5:$A$304,A271),1,0))</f>
        <v/>
      </c>
      <c r="I271" s="27" t="str">
        <f aca="false">IF(A271="","",A271&amp;"-"&amp;H271)</f>
        <v/>
      </c>
    </row>
    <row r="272" customFormat="false" ht="15" hidden="false" customHeight="false" outlineLevel="0" collapsed="false">
      <c r="A272" s="27" t="str">
        <f aca="false">IF('Registro de Comisión'!A272="","",'Registro de Comisión'!A272)</f>
        <v/>
      </c>
      <c r="B272" s="27" t="str">
        <f aca="false">IF(A272="","",TRIM(SUBSTITUTE(SUBSTITUTE(SUBSTITUTE(SUBSTITUTE(SUBSTITUTE(SUBSTITUTE(UPPER('Registro de Comisión'!B272),"Á","A"),"É","E"),"Í","I"),"Ó","O"),"Ú","U"),"Ü","U")))</f>
        <v/>
      </c>
      <c r="C272" s="27" t="str">
        <f aca="false">IF(A272="","",TRIM(SUBSTITUTE(SUBSTITUTE(SUBSTITUTE(SUBSTITUTE(SUBSTITUTE(SUBSTITUTE(UPPER('Registro de Comisión'!I272),"Á","A"),"É","E"),"Í","I"),"Ó","O"),"Ú","U"),"Ü","U")))</f>
        <v/>
      </c>
      <c r="D272" s="28" t="str">
        <f aca="false">IF(A272="","",'Registro de Comisión'!J272)</f>
        <v/>
      </c>
      <c r="E272" s="28" t="str">
        <f aca="false">IF(A272="","",'Registro de Comisión'!K272)</f>
        <v/>
      </c>
      <c r="F272" s="29" t="str">
        <f aca="false">IF(A272="","",E272-D272+1)</f>
        <v/>
      </c>
      <c r="G272" s="27" t="str">
        <f aca="false">IF(A272="","",COUNTIFS($A$5:A272,A272))</f>
        <v/>
      </c>
      <c r="H272" s="27" t="str">
        <f aca="false">IF(A272="","",IF(E272=_xlfn.MAXIFS($E$5:$E$304,$A$5:$A$304,A272),1,0))</f>
        <v/>
      </c>
      <c r="I272" s="27" t="str">
        <f aca="false">IF(A272="","",A272&amp;"-"&amp;H272)</f>
        <v/>
      </c>
    </row>
    <row r="273" customFormat="false" ht="15" hidden="false" customHeight="false" outlineLevel="0" collapsed="false">
      <c r="A273" s="27" t="str">
        <f aca="false">IF('Registro de Comisión'!A273="","",'Registro de Comisión'!A273)</f>
        <v/>
      </c>
      <c r="B273" s="27" t="str">
        <f aca="false">IF(A273="","",TRIM(SUBSTITUTE(SUBSTITUTE(SUBSTITUTE(SUBSTITUTE(SUBSTITUTE(SUBSTITUTE(UPPER('Registro de Comisión'!B273),"Á","A"),"É","E"),"Í","I"),"Ó","O"),"Ú","U"),"Ü","U")))</f>
        <v/>
      </c>
      <c r="C273" s="27" t="str">
        <f aca="false">IF(A273="","",TRIM(SUBSTITUTE(SUBSTITUTE(SUBSTITUTE(SUBSTITUTE(SUBSTITUTE(SUBSTITUTE(UPPER('Registro de Comisión'!I273),"Á","A"),"É","E"),"Í","I"),"Ó","O"),"Ú","U"),"Ü","U")))</f>
        <v/>
      </c>
      <c r="D273" s="28" t="str">
        <f aca="false">IF(A273="","",'Registro de Comisión'!J273)</f>
        <v/>
      </c>
      <c r="E273" s="28" t="str">
        <f aca="false">IF(A273="","",'Registro de Comisión'!K273)</f>
        <v/>
      </c>
      <c r="F273" s="29" t="str">
        <f aca="false">IF(A273="","",E273-D273+1)</f>
        <v/>
      </c>
      <c r="G273" s="27" t="str">
        <f aca="false">IF(A273="","",COUNTIFS($A$5:A273,A273))</f>
        <v/>
      </c>
      <c r="H273" s="27" t="str">
        <f aca="false">IF(A273="","",IF(E273=_xlfn.MAXIFS($E$5:$E$304,$A$5:$A$304,A273),1,0))</f>
        <v/>
      </c>
      <c r="I273" s="27" t="str">
        <f aca="false">IF(A273="","",A273&amp;"-"&amp;H273)</f>
        <v/>
      </c>
    </row>
    <row r="274" customFormat="false" ht="15" hidden="false" customHeight="false" outlineLevel="0" collapsed="false">
      <c r="A274" s="27" t="str">
        <f aca="false">IF('Registro de Comisión'!A274="","",'Registro de Comisión'!A274)</f>
        <v/>
      </c>
      <c r="B274" s="27" t="str">
        <f aca="false">IF(A274="","",TRIM(SUBSTITUTE(SUBSTITUTE(SUBSTITUTE(SUBSTITUTE(SUBSTITUTE(SUBSTITUTE(UPPER('Registro de Comisión'!B274),"Á","A"),"É","E"),"Í","I"),"Ó","O"),"Ú","U"),"Ü","U")))</f>
        <v/>
      </c>
      <c r="C274" s="27" t="str">
        <f aca="false">IF(A274="","",TRIM(SUBSTITUTE(SUBSTITUTE(SUBSTITUTE(SUBSTITUTE(SUBSTITUTE(SUBSTITUTE(UPPER('Registro de Comisión'!I274),"Á","A"),"É","E"),"Í","I"),"Ó","O"),"Ú","U"),"Ü","U")))</f>
        <v/>
      </c>
      <c r="D274" s="28" t="str">
        <f aca="false">IF(A274="","",'Registro de Comisión'!J274)</f>
        <v/>
      </c>
      <c r="E274" s="28" t="str">
        <f aca="false">IF(A274="","",'Registro de Comisión'!K274)</f>
        <v/>
      </c>
      <c r="F274" s="29" t="str">
        <f aca="false">IF(A274="","",E274-D274+1)</f>
        <v/>
      </c>
      <c r="G274" s="27" t="str">
        <f aca="false">IF(A274="","",COUNTIFS($A$5:A274,A274))</f>
        <v/>
      </c>
      <c r="H274" s="27" t="str">
        <f aca="false">IF(A274="","",IF(E274=_xlfn.MAXIFS($E$5:$E$304,$A$5:$A$304,A274),1,0))</f>
        <v/>
      </c>
      <c r="I274" s="27" t="str">
        <f aca="false">IF(A274="","",A274&amp;"-"&amp;H274)</f>
        <v/>
      </c>
    </row>
    <row r="275" customFormat="false" ht="15" hidden="false" customHeight="false" outlineLevel="0" collapsed="false">
      <c r="A275" s="27" t="str">
        <f aca="false">IF('Registro de Comisión'!A275="","",'Registro de Comisión'!A275)</f>
        <v/>
      </c>
      <c r="B275" s="27" t="str">
        <f aca="false">IF(A275="","",TRIM(SUBSTITUTE(SUBSTITUTE(SUBSTITUTE(SUBSTITUTE(SUBSTITUTE(SUBSTITUTE(UPPER('Registro de Comisión'!B275),"Á","A"),"É","E"),"Í","I"),"Ó","O"),"Ú","U"),"Ü","U")))</f>
        <v/>
      </c>
      <c r="C275" s="27" t="str">
        <f aca="false">IF(A275="","",TRIM(SUBSTITUTE(SUBSTITUTE(SUBSTITUTE(SUBSTITUTE(SUBSTITUTE(SUBSTITUTE(UPPER('Registro de Comisión'!I275),"Á","A"),"É","E"),"Í","I"),"Ó","O"),"Ú","U"),"Ü","U")))</f>
        <v/>
      </c>
      <c r="D275" s="28" t="str">
        <f aca="false">IF(A275="","",'Registro de Comisión'!J275)</f>
        <v/>
      </c>
      <c r="E275" s="28" t="str">
        <f aca="false">IF(A275="","",'Registro de Comisión'!K275)</f>
        <v/>
      </c>
      <c r="F275" s="29" t="str">
        <f aca="false">IF(A275="","",E275-D275+1)</f>
        <v/>
      </c>
      <c r="G275" s="27" t="str">
        <f aca="false">IF(A275="","",COUNTIFS($A$5:A275,A275))</f>
        <v/>
      </c>
      <c r="H275" s="27" t="str">
        <f aca="false">IF(A275="","",IF(E275=_xlfn.MAXIFS($E$5:$E$304,$A$5:$A$304,A275),1,0))</f>
        <v/>
      </c>
      <c r="I275" s="27" t="str">
        <f aca="false">IF(A275="","",A275&amp;"-"&amp;H275)</f>
        <v/>
      </c>
    </row>
    <row r="276" customFormat="false" ht="15" hidden="false" customHeight="false" outlineLevel="0" collapsed="false">
      <c r="A276" s="27" t="str">
        <f aca="false">IF('Registro de Comisión'!A276="","",'Registro de Comisión'!A276)</f>
        <v/>
      </c>
      <c r="B276" s="27" t="str">
        <f aca="false">IF(A276="","",TRIM(SUBSTITUTE(SUBSTITUTE(SUBSTITUTE(SUBSTITUTE(SUBSTITUTE(SUBSTITUTE(UPPER('Registro de Comisión'!B276),"Á","A"),"É","E"),"Í","I"),"Ó","O"),"Ú","U"),"Ü","U")))</f>
        <v/>
      </c>
      <c r="C276" s="27" t="str">
        <f aca="false">IF(A276="","",TRIM(SUBSTITUTE(SUBSTITUTE(SUBSTITUTE(SUBSTITUTE(SUBSTITUTE(SUBSTITUTE(UPPER('Registro de Comisión'!I276),"Á","A"),"É","E"),"Í","I"),"Ó","O"),"Ú","U"),"Ü","U")))</f>
        <v/>
      </c>
      <c r="D276" s="28" t="str">
        <f aca="false">IF(A276="","",'Registro de Comisión'!J276)</f>
        <v/>
      </c>
      <c r="E276" s="28" t="str">
        <f aca="false">IF(A276="","",'Registro de Comisión'!K276)</f>
        <v/>
      </c>
      <c r="F276" s="29" t="str">
        <f aca="false">IF(A276="","",E276-D276+1)</f>
        <v/>
      </c>
      <c r="G276" s="27" t="str">
        <f aca="false">IF(A276="","",COUNTIFS($A$5:A276,A276))</f>
        <v/>
      </c>
      <c r="H276" s="27" t="str">
        <f aca="false">IF(A276="","",IF(E276=_xlfn.MAXIFS($E$5:$E$304,$A$5:$A$304,A276),1,0))</f>
        <v/>
      </c>
      <c r="I276" s="27" t="str">
        <f aca="false">IF(A276="","",A276&amp;"-"&amp;H276)</f>
        <v/>
      </c>
    </row>
    <row r="277" customFormat="false" ht="15" hidden="false" customHeight="false" outlineLevel="0" collapsed="false">
      <c r="A277" s="27" t="str">
        <f aca="false">IF('Registro de Comisión'!A277="","",'Registro de Comisión'!A277)</f>
        <v/>
      </c>
      <c r="B277" s="27" t="str">
        <f aca="false">IF(A277="","",TRIM(SUBSTITUTE(SUBSTITUTE(SUBSTITUTE(SUBSTITUTE(SUBSTITUTE(SUBSTITUTE(UPPER('Registro de Comisión'!B277),"Á","A"),"É","E"),"Í","I"),"Ó","O"),"Ú","U"),"Ü","U")))</f>
        <v/>
      </c>
      <c r="C277" s="27" t="str">
        <f aca="false">IF(A277="","",TRIM(SUBSTITUTE(SUBSTITUTE(SUBSTITUTE(SUBSTITUTE(SUBSTITUTE(SUBSTITUTE(UPPER('Registro de Comisión'!I277),"Á","A"),"É","E"),"Í","I"),"Ó","O"),"Ú","U"),"Ü","U")))</f>
        <v/>
      </c>
      <c r="D277" s="28" t="str">
        <f aca="false">IF(A277="","",'Registro de Comisión'!J277)</f>
        <v/>
      </c>
      <c r="E277" s="28" t="str">
        <f aca="false">IF(A277="","",'Registro de Comisión'!K277)</f>
        <v/>
      </c>
      <c r="F277" s="29" t="str">
        <f aca="false">IF(A277="","",E277-D277+1)</f>
        <v/>
      </c>
      <c r="G277" s="27" t="str">
        <f aca="false">IF(A277="","",COUNTIFS($A$5:A277,A277))</f>
        <v/>
      </c>
      <c r="H277" s="27" t="str">
        <f aca="false">IF(A277="","",IF(E277=_xlfn.MAXIFS($E$5:$E$304,$A$5:$A$304,A277),1,0))</f>
        <v/>
      </c>
      <c r="I277" s="27" t="str">
        <f aca="false">IF(A277="","",A277&amp;"-"&amp;H277)</f>
        <v/>
      </c>
    </row>
    <row r="278" customFormat="false" ht="15" hidden="false" customHeight="false" outlineLevel="0" collapsed="false">
      <c r="A278" s="27" t="str">
        <f aca="false">IF('Registro de Comisión'!A278="","",'Registro de Comisión'!A278)</f>
        <v/>
      </c>
      <c r="B278" s="27" t="str">
        <f aca="false">IF(A278="","",TRIM(SUBSTITUTE(SUBSTITUTE(SUBSTITUTE(SUBSTITUTE(SUBSTITUTE(SUBSTITUTE(UPPER('Registro de Comisión'!B278),"Á","A"),"É","E"),"Í","I"),"Ó","O"),"Ú","U"),"Ü","U")))</f>
        <v/>
      </c>
      <c r="C278" s="27" t="str">
        <f aca="false">IF(A278="","",TRIM(SUBSTITUTE(SUBSTITUTE(SUBSTITUTE(SUBSTITUTE(SUBSTITUTE(SUBSTITUTE(UPPER('Registro de Comisión'!I278),"Á","A"),"É","E"),"Í","I"),"Ó","O"),"Ú","U"),"Ü","U")))</f>
        <v/>
      </c>
      <c r="D278" s="28" t="str">
        <f aca="false">IF(A278="","",'Registro de Comisión'!J278)</f>
        <v/>
      </c>
      <c r="E278" s="28" t="str">
        <f aca="false">IF(A278="","",'Registro de Comisión'!K278)</f>
        <v/>
      </c>
      <c r="F278" s="29" t="str">
        <f aca="false">IF(A278="","",E278-D278+1)</f>
        <v/>
      </c>
      <c r="G278" s="27" t="str">
        <f aca="false">IF(A278="","",COUNTIFS($A$5:A278,A278))</f>
        <v/>
      </c>
      <c r="H278" s="27" t="str">
        <f aca="false">IF(A278="","",IF(E278=_xlfn.MAXIFS($E$5:$E$304,$A$5:$A$304,A278),1,0))</f>
        <v/>
      </c>
      <c r="I278" s="27" t="str">
        <f aca="false">IF(A278="","",A278&amp;"-"&amp;H278)</f>
        <v/>
      </c>
    </row>
    <row r="279" customFormat="false" ht="15" hidden="false" customHeight="false" outlineLevel="0" collapsed="false">
      <c r="A279" s="27" t="str">
        <f aca="false">IF('Registro de Comisión'!A279="","",'Registro de Comisión'!A279)</f>
        <v/>
      </c>
      <c r="B279" s="27" t="str">
        <f aca="false">IF(A279="","",TRIM(SUBSTITUTE(SUBSTITUTE(SUBSTITUTE(SUBSTITUTE(SUBSTITUTE(SUBSTITUTE(UPPER('Registro de Comisión'!B279),"Á","A"),"É","E"),"Í","I"),"Ó","O"),"Ú","U"),"Ü","U")))</f>
        <v/>
      </c>
      <c r="C279" s="27" t="str">
        <f aca="false">IF(A279="","",TRIM(SUBSTITUTE(SUBSTITUTE(SUBSTITUTE(SUBSTITUTE(SUBSTITUTE(SUBSTITUTE(UPPER('Registro de Comisión'!I279),"Á","A"),"É","E"),"Í","I"),"Ó","O"),"Ú","U"),"Ü","U")))</f>
        <v/>
      </c>
      <c r="D279" s="28" t="str">
        <f aca="false">IF(A279="","",'Registro de Comisión'!J279)</f>
        <v/>
      </c>
      <c r="E279" s="28" t="str">
        <f aca="false">IF(A279="","",'Registro de Comisión'!K279)</f>
        <v/>
      </c>
      <c r="F279" s="29" t="str">
        <f aca="false">IF(A279="","",E279-D279+1)</f>
        <v/>
      </c>
      <c r="G279" s="27" t="str">
        <f aca="false">IF(A279="","",COUNTIFS($A$5:A279,A279))</f>
        <v/>
      </c>
      <c r="H279" s="27" t="str">
        <f aca="false">IF(A279="","",IF(E279=_xlfn.MAXIFS($E$5:$E$304,$A$5:$A$304,A279),1,0))</f>
        <v/>
      </c>
      <c r="I279" s="27" t="str">
        <f aca="false">IF(A279="","",A279&amp;"-"&amp;H279)</f>
        <v/>
      </c>
    </row>
    <row r="280" customFormat="false" ht="15" hidden="false" customHeight="false" outlineLevel="0" collapsed="false">
      <c r="A280" s="27" t="str">
        <f aca="false">IF('Registro de Comisión'!A280="","",'Registro de Comisión'!A280)</f>
        <v/>
      </c>
      <c r="B280" s="27" t="str">
        <f aca="false">IF(A280="","",TRIM(SUBSTITUTE(SUBSTITUTE(SUBSTITUTE(SUBSTITUTE(SUBSTITUTE(SUBSTITUTE(UPPER('Registro de Comisión'!B280),"Á","A"),"É","E"),"Í","I"),"Ó","O"),"Ú","U"),"Ü","U")))</f>
        <v/>
      </c>
      <c r="C280" s="27" t="str">
        <f aca="false">IF(A280="","",TRIM(SUBSTITUTE(SUBSTITUTE(SUBSTITUTE(SUBSTITUTE(SUBSTITUTE(SUBSTITUTE(UPPER('Registro de Comisión'!I280),"Á","A"),"É","E"),"Í","I"),"Ó","O"),"Ú","U"),"Ü","U")))</f>
        <v/>
      </c>
      <c r="D280" s="28" t="str">
        <f aca="false">IF(A280="","",'Registro de Comisión'!J280)</f>
        <v/>
      </c>
      <c r="E280" s="28" t="str">
        <f aca="false">IF(A280="","",'Registro de Comisión'!K280)</f>
        <v/>
      </c>
      <c r="F280" s="29" t="str">
        <f aca="false">IF(A280="","",E280-D280+1)</f>
        <v/>
      </c>
      <c r="G280" s="27" t="str">
        <f aca="false">IF(A280="","",COUNTIFS($A$5:A280,A280))</f>
        <v/>
      </c>
      <c r="H280" s="27" t="str">
        <f aca="false">IF(A280="","",IF(E280=_xlfn.MAXIFS($E$5:$E$304,$A$5:$A$304,A280),1,0))</f>
        <v/>
      </c>
      <c r="I280" s="27" t="str">
        <f aca="false">IF(A280="","",A280&amp;"-"&amp;H280)</f>
        <v/>
      </c>
    </row>
    <row r="281" customFormat="false" ht="15" hidden="false" customHeight="false" outlineLevel="0" collapsed="false">
      <c r="A281" s="27" t="str">
        <f aca="false">IF('Registro de Comisión'!A281="","",'Registro de Comisión'!A281)</f>
        <v/>
      </c>
      <c r="B281" s="27" t="str">
        <f aca="false">IF(A281="","",TRIM(SUBSTITUTE(SUBSTITUTE(SUBSTITUTE(SUBSTITUTE(SUBSTITUTE(SUBSTITUTE(UPPER('Registro de Comisión'!B281),"Á","A"),"É","E"),"Í","I"),"Ó","O"),"Ú","U"),"Ü","U")))</f>
        <v/>
      </c>
      <c r="C281" s="27" t="str">
        <f aca="false">IF(A281="","",TRIM(SUBSTITUTE(SUBSTITUTE(SUBSTITUTE(SUBSTITUTE(SUBSTITUTE(SUBSTITUTE(UPPER('Registro de Comisión'!I281),"Á","A"),"É","E"),"Í","I"),"Ó","O"),"Ú","U"),"Ü","U")))</f>
        <v/>
      </c>
      <c r="D281" s="28" t="str">
        <f aca="false">IF(A281="","",'Registro de Comisión'!J281)</f>
        <v/>
      </c>
      <c r="E281" s="28" t="str">
        <f aca="false">IF(A281="","",'Registro de Comisión'!K281)</f>
        <v/>
      </c>
      <c r="F281" s="29" t="str">
        <f aca="false">IF(A281="","",E281-D281+1)</f>
        <v/>
      </c>
      <c r="G281" s="27" t="str">
        <f aca="false">IF(A281="","",COUNTIFS($A$5:A281,A281))</f>
        <v/>
      </c>
      <c r="H281" s="27" t="str">
        <f aca="false">IF(A281="","",IF(E281=_xlfn.MAXIFS($E$5:$E$304,$A$5:$A$304,A281),1,0))</f>
        <v/>
      </c>
      <c r="I281" s="27" t="str">
        <f aca="false">IF(A281="","",A281&amp;"-"&amp;H281)</f>
        <v/>
      </c>
    </row>
    <row r="282" customFormat="false" ht="15" hidden="false" customHeight="false" outlineLevel="0" collapsed="false">
      <c r="A282" s="27" t="str">
        <f aca="false">IF('Registro de Comisión'!A282="","",'Registro de Comisión'!A282)</f>
        <v/>
      </c>
      <c r="B282" s="27" t="str">
        <f aca="false">IF(A282="","",TRIM(SUBSTITUTE(SUBSTITUTE(SUBSTITUTE(SUBSTITUTE(SUBSTITUTE(SUBSTITUTE(UPPER('Registro de Comisión'!B282),"Á","A"),"É","E"),"Í","I"),"Ó","O"),"Ú","U"),"Ü","U")))</f>
        <v/>
      </c>
      <c r="C282" s="27" t="str">
        <f aca="false">IF(A282="","",TRIM(SUBSTITUTE(SUBSTITUTE(SUBSTITUTE(SUBSTITUTE(SUBSTITUTE(SUBSTITUTE(UPPER('Registro de Comisión'!I282),"Á","A"),"É","E"),"Í","I"),"Ó","O"),"Ú","U"),"Ü","U")))</f>
        <v/>
      </c>
      <c r="D282" s="28" t="str">
        <f aca="false">IF(A282="","",'Registro de Comisión'!J282)</f>
        <v/>
      </c>
      <c r="E282" s="28" t="str">
        <f aca="false">IF(A282="","",'Registro de Comisión'!K282)</f>
        <v/>
      </c>
      <c r="F282" s="29" t="str">
        <f aca="false">IF(A282="","",E282-D282+1)</f>
        <v/>
      </c>
      <c r="G282" s="27" t="str">
        <f aca="false">IF(A282="","",COUNTIFS($A$5:A282,A282))</f>
        <v/>
      </c>
      <c r="H282" s="27" t="str">
        <f aca="false">IF(A282="","",IF(E282=_xlfn.MAXIFS($E$5:$E$304,$A$5:$A$304,A282),1,0))</f>
        <v/>
      </c>
      <c r="I282" s="27" t="str">
        <f aca="false">IF(A282="","",A282&amp;"-"&amp;H282)</f>
        <v/>
      </c>
    </row>
    <row r="283" customFormat="false" ht="15" hidden="false" customHeight="false" outlineLevel="0" collapsed="false">
      <c r="A283" s="27" t="str">
        <f aca="false">IF('Registro de Comisión'!A283="","",'Registro de Comisión'!A283)</f>
        <v/>
      </c>
      <c r="B283" s="27" t="str">
        <f aca="false">IF(A283="","",TRIM(SUBSTITUTE(SUBSTITUTE(SUBSTITUTE(SUBSTITUTE(SUBSTITUTE(SUBSTITUTE(UPPER('Registro de Comisión'!B283),"Á","A"),"É","E"),"Í","I"),"Ó","O"),"Ú","U"),"Ü","U")))</f>
        <v/>
      </c>
      <c r="C283" s="27" t="str">
        <f aca="false">IF(A283="","",TRIM(SUBSTITUTE(SUBSTITUTE(SUBSTITUTE(SUBSTITUTE(SUBSTITUTE(SUBSTITUTE(UPPER('Registro de Comisión'!I283),"Á","A"),"É","E"),"Í","I"),"Ó","O"),"Ú","U"),"Ü","U")))</f>
        <v/>
      </c>
      <c r="D283" s="28" t="str">
        <f aca="false">IF(A283="","",'Registro de Comisión'!J283)</f>
        <v/>
      </c>
      <c r="E283" s="28" t="str">
        <f aca="false">IF(A283="","",'Registro de Comisión'!K283)</f>
        <v/>
      </c>
      <c r="F283" s="29" t="str">
        <f aca="false">IF(A283="","",E283-D283+1)</f>
        <v/>
      </c>
      <c r="G283" s="27" t="str">
        <f aca="false">IF(A283="","",COUNTIFS($A$5:A283,A283))</f>
        <v/>
      </c>
      <c r="H283" s="27" t="str">
        <f aca="false">IF(A283="","",IF(E283=_xlfn.MAXIFS($E$5:$E$304,$A$5:$A$304,A283),1,0))</f>
        <v/>
      </c>
      <c r="I283" s="27" t="str">
        <f aca="false">IF(A283="","",A283&amp;"-"&amp;H283)</f>
        <v/>
      </c>
    </row>
    <row r="284" customFormat="false" ht="15" hidden="false" customHeight="false" outlineLevel="0" collapsed="false">
      <c r="A284" s="27" t="str">
        <f aca="false">IF('Registro de Comisión'!A284="","",'Registro de Comisión'!A284)</f>
        <v/>
      </c>
      <c r="B284" s="27" t="str">
        <f aca="false">IF(A284="","",TRIM(SUBSTITUTE(SUBSTITUTE(SUBSTITUTE(SUBSTITUTE(SUBSTITUTE(SUBSTITUTE(UPPER('Registro de Comisión'!B284),"Á","A"),"É","E"),"Í","I"),"Ó","O"),"Ú","U"),"Ü","U")))</f>
        <v/>
      </c>
      <c r="C284" s="27" t="str">
        <f aca="false">IF(A284="","",TRIM(SUBSTITUTE(SUBSTITUTE(SUBSTITUTE(SUBSTITUTE(SUBSTITUTE(SUBSTITUTE(UPPER('Registro de Comisión'!I284),"Á","A"),"É","E"),"Í","I"),"Ó","O"),"Ú","U"),"Ü","U")))</f>
        <v/>
      </c>
      <c r="D284" s="28" t="str">
        <f aca="false">IF(A284="","",'Registro de Comisión'!J284)</f>
        <v/>
      </c>
      <c r="E284" s="28" t="str">
        <f aca="false">IF(A284="","",'Registro de Comisión'!K284)</f>
        <v/>
      </c>
      <c r="F284" s="29" t="str">
        <f aca="false">IF(A284="","",E284-D284+1)</f>
        <v/>
      </c>
      <c r="G284" s="27" t="str">
        <f aca="false">IF(A284="","",COUNTIFS($A$5:A284,A284))</f>
        <v/>
      </c>
      <c r="H284" s="27" t="str">
        <f aca="false">IF(A284="","",IF(E284=_xlfn.MAXIFS($E$5:$E$304,$A$5:$A$304,A284),1,0))</f>
        <v/>
      </c>
      <c r="I284" s="27" t="str">
        <f aca="false">IF(A284="","",A284&amp;"-"&amp;H284)</f>
        <v/>
      </c>
    </row>
    <row r="285" customFormat="false" ht="15" hidden="false" customHeight="false" outlineLevel="0" collapsed="false">
      <c r="A285" s="27" t="str">
        <f aca="false">IF('Registro de Comisión'!A285="","",'Registro de Comisión'!A285)</f>
        <v/>
      </c>
      <c r="B285" s="27" t="str">
        <f aca="false">IF(A285="","",TRIM(SUBSTITUTE(SUBSTITUTE(SUBSTITUTE(SUBSTITUTE(SUBSTITUTE(SUBSTITUTE(UPPER('Registro de Comisión'!B285),"Á","A"),"É","E"),"Í","I"),"Ó","O"),"Ú","U"),"Ü","U")))</f>
        <v/>
      </c>
      <c r="C285" s="27" t="str">
        <f aca="false">IF(A285="","",TRIM(SUBSTITUTE(SUBSTITUTE(SUBSTITUTE(SUBSTITUTE(SUBSTITUTE(SUBSTITUTE(UPPER('Registro de Comisión'!I285),"Á","A"),"É","E"),"Í","I"),"Ó","O"),"Ú","U"),"Ü","U")))</f>
        <v/>
      </c>
      <c r="D285" s="28" t="str">
        <f aca="false">IF(A285="","",'Registro de Comisión'!J285)</f>
        <v/>
      </c>
      <c r="E285" s="28" t="str">
        <f aca="false">IF(A285="","",'Registro de Comisión'!K285)</f>
        <v/>
      </c>
      <c r="F285" s="29" t="str">
        <f aca="false">IF(A285="","",E285-D285+1)</f>
        <v/>
      </c>
      <c r="G285" s="27" t="str">
        <f aca="false">IF(A285="","",COUNTIFS($A$5:A285,A285))</f>
        <v/>
      </c>
      <c r="H285" s="27" t="str">
        <f aca="false">IF(A285="","",IF(E285=_xlfn.MAXIFS($E$5:$E$304,$A$5:$A$304,A285),1,0))</f>
        <v/>
      </c>
      <c r="I285" s="27" t="str">
        <f aca="false">IF(A285="","",A285&amp;"-"&amp;H285)</f>
        <v/>
      </c>
    </row>
    <row r="286" customFormat="false" ht="15" hidden="false" customHeight="false" outlineLevel="0" collapsed="false">
      <c r="A286" s="27" t="str">
        <f aca="false">IF('Registro de Comisión'!A286="","",'Registro de Comisión'!A286)</f>
        <v/>
      </c>
      <c r="B286" s="27" t="str">
        <f aca="false">IF(A286="","",TRIM(SUBSTITUTE(SUBSTITUTE(SUBSTITUTE(SUBSTITUTE(SUBSTITUTE(SUBSTITUTE(UPPER('Registro de Comisión'!B286),"Á","A"),"É","E"),"Í","I"),"Ó","O"),"Ú","U"),"Ü","U")))</f>
        <v/>
      </c>
      <c r="C286" s="27" t="str">
        <f aca="false">IF(A286="","",TRIM(SUBSTITUTE(SUBSTITUTE(SUBSTITUTE(SUBSTITUTE(SUBSTITUTE(SUBSTITUTE(UPPER('Registro de Comisión'!I286),"Á","A"),"É","E"),"Í","I"),"Ó","O"),"Ú","U"),"Ü","U")))</f>
        <v/>
      </c>
      <c r="D286" s="28" t="str">
        <f aca="false">IF(A286="","",'Registro de Comisión'!J286)</f>
        <v/>
      </c>
      <c r="E286" s="28" t="str">
        <f aca="false">IF(A286="","",'Registro de Comisión'!K286)</f>
        <v/>
      </c>
      <c r="F286" s="29" t="str">
        <f aca="false">IF(A286="","",E286-D286+1)</f>
        <v/>
      </c>
      <c r="G286" s="27" t="str">
        <f aca="false">IF(A286="","",COUNTIFS($A$5:A286,A286))</f>
        <v/>
      </c>
      <c r="H286" s="27" t="str">
        <f aca="false">IF(A286="","",IF(E286=_xlfn.MAXIFS($E$5:$E$304,$A$5:$A$304,A286),1,0))</f>
        <v/>
      </c>
      <c r="I286" s="27" t="str">
        <f aca="false">IF(A286="","",A286&amp;"-"&amp;H286)</f>
        <v/>
      </c>
    </row>
    <row r="287" customFormat="false" ht="15" hidden="false" customHeight="false" outlineLevel="0" collapsed="false">
      <c r="A287" s="27" t="str">
        <f aca="false">IF('Registro de Comisión'!A287="","",'Registro de Comisión'!A287)</f>
        <v/>
      </c>
      <c r="B287" s="27" t="str">
        <f aca="false">IF(A287="","",TRIM(SUBSTITUTE(SUBSTITUTE(SUBSTITUTE(SUBSTITUTE(SUBSTITUTE(SUBSTITUTE(UPPER('Registro de Comisión'!B287),"Á","A"),"É","E"),"Í","I"),"Ó","O"),"Ú","U"),"Ü","U")))</f>
        <v/>
      </c>
      <c r="C287" s="27" t="str">
        <f aca="false">IF(A287="","",TRIM(SUBSTITUTE(SUBSTITUTE(SUBSTITUTE(SUBSTITUTE(SUBSTITUTE(SUBSTITUTE(UPPER('Registro de Comisión'!I287),"Á","A"),"É","E"),"Í","I"),"Ó","O"),"Ú","U"),"Ü","U")))</f>
        <v/>
      </c>
      <c r="D287" s="28" t="str">
        <f aca="false">IF(A287="","",'Registro de Comisión'!J287)</f>
        <v/>
      </c>
      <c r="E287" s="28" t="str">
        <f aca="false">IF(A287="","",'Registro de Comisión'!K287)</f>
        <v/>
      </c>
      <c r="F287" s="29" t="str">
        <f aca="false">IF(A287="","",E287-D287+1)</f>
        <v/>
      </c>
      <c r="G287" s="27" t="str">
        <f aca="false">IF(A287="","",COUNTIFS($A$5:A287,A287))</f>
        <v/>
      </c>
      <c r="H287" s="27" t="str">
        <f aca="false">IF(A287="","",IF(E287=_xlfn.MAXIFS($E$5:$E$304,$A$5:$A$304,A287),1,0))</f>
        <v/>
      </c>
      <c r="I287" s="27" t="str">
        <f aca="false">IF(A287="","",A287&amp;"-"&amp;H287)</f>
        <v/>
      </c>
    </row>
    <row r="288" customFormat="false" ht="15" hidden="false" customHeight="false" outlineLevel="0" collapsed="false">
      <c r="A288" s="27" t="str">
        <f aca="false">IF('Registro de Comisión'!A288="","",'Registro de Comisión'!A288)</f>
        <v/>
      </c>
      <c r="B288" s="27" t="str">
        <f aca="false">IF(A288="","",TRIM(SUBSTITUTE(SUBSTITUTE(SUBSTITUTE(SUBSTITUTE(SUBSTITUTE(SUBSTITUTE(UPPER('Registro de Comisión'!B288),"Á","A"),"É","E"),"Í","I"),"Ó","O"),"Ú","U"),"Ü","U")))</f>
        <v/>
      </c>
      <c r="C288" s="27" t="str">
        <f aca="false">IF(A288="","",TRIM(SUBSTITUTE(SUBSTITUTE(SUBSTITUTE(SUBSTITUTE(SUBSTITUTE(SUBSTITUTE(UPPER('Registro de Comisión'!I288),"Á","A"),"É","E"),"Í","I"),"Ó","O"),"Ú","U"),"Ü","U")))</f>
        <v/>
      </c>
      <c r="D288" s="28" t="str">
        <f aca="false">IF(A288="","",'Registro de Comisión'!J288)</f>
        <v/>
      </c>
      <c r="E288" s="28" t="str">
        <f aca="false">IF(A288="","",'Registro de Comisión'!K288)</f>
        <v/>
      </c>
      <c r="F288" s="29" t="str">
        <f aca="false">IF(A288="","",E288-D288+1)</f>
        <v/>
      </c>
      <c r="G288" s="27" t="str">
        <f aca="false">IF(A288="","",COUNTIFS($A$5:A288,A288))</f>
        <v/>
      </c>
      <c r="H288" s="27" t="str">
        <f aca="false">IF(A288="","",IF(E288=_xlfn.MAXIFS($E$5:$E$304,$A$5:$A$304,A288),1,0))</f>
        <v/>
      </c>
      <c r="I288" s="27" t="str">
        <f aca="false">IF(A288="","",A288&amp;"-"&amp;H288)</f>
        <v/>
      </c>
    </row>
    <row r="289" customFormat="false" ht="15" hidden="false" customHeight="false" outlineLevel="0" collapsed="false">
      <c r="A289" s="27" t="str">
        <f aca="false">IF('Registro de Comisión'!A289="","",'Registro de Comisión'!A289)</f>
        <v/>
      </c>
      <c r="B289" s="27" t="str">
        <f aca="false">IF(A289="","",TRIM(SUBSTITUTE(SUBSTITUTE(SUBSTITUTE(SUBSTITUTE(SUBSTITUTE(SUBSTITUTE(UPPER('Registro de Comisión'!B289),"Á","A"),"É","E"),"Í","I"),"Ó","O"),"Ú","U"),"Ü","U")))</f>
        <v/>
      </c>
      <c r="C289" s="27" t="str">
        <f aca="false">IF(A289="","",TRIM(SUBSTITUTE(SUBSTITUTE(SUBSTITUTE(SUBSTITUTE(SUBSTITUTE(SUBSTITUTE(UPPER('Registro de Comisión'!I289),"Á","A"),"É","E"),"Í","I"),"Ó","O"),"Ú","U"),"Ü","U")))</f>
        <v/>
      </c>
      <c r="D289" s="28" t="str">
        <f aca="false">IF(A289="","",'Registro de Comisión'!J289)</f>
        <v/>
      </c>
      <c r="E289" s="28" t="str">
        <f aca="false">IF(A289="","",'Registro de Comisión'!K289)</f>
        <v/>
      </c>
      <c r="F289" s="29" t="str">
        <f aca="false">IF(A289="","",E289-D289+1)</f>
        <v/>
      </c>
      <c r="G289" s="27" t="str">
        <f aca="false">IF(A289="","",COUNTIFS($A$5:A289,A289))</f>
        <v/>
      </c>
      <c r="H289" s="27" t="str">
        <f aca="false">IF(A289="","",IF(E289=_xlfn.MAXIFS($E$5:$E$304,$A$5:$A$304,A289),1,0))</f>
        <v/>
      </c>
      <c r="I289" s="27" t="str">
        <f aca="false">IF(A289="","",A289&amp;"-"&amp;H289)</f>
        <v/>
      </c>
    </row>
    <row r="290" customFormat="false" ht="15" hidden="false" customHeight="false" outlineLevel="0" collapsed="false">
      <c r="A290" s="27" t="str">
        <f aca="false">IF('Registro de Comisión'!A290="","",'Registro de Comisión'!A290)</f>
        <v/>
      </c>
      <c r="B290" s="27" t="str">
        <f aca="false">IF(A290="","",TRIM(SUBSTITUTE(SUBSTITUTE(SUBSTITUTE(SUBSTITUTE(SUBSTITUTE(SUBSTITUTE(UPPER('Registro de Comisión'!B290),"Á","A"),"É","E"),"Í","I"),"Ó","O"),"Ú","U"),"Ü","U")))</f>
        <v/>
      </c>
      <c r="C290" s="27" t="str">
        <f aca="false">IF(A290="","",TRIM(SUBSTITUTE(SUBSTITUTE(SUBSTITUTE(SUBSTITUTE(SUBSTITUTE(SUBSTITUTE(UPPER('Registro de Comisión'!I290),"Á","A"),"É","E"),"Í","I"),"Ó","O"),"Ú","U"),"Ü","U")))</f>
        <v/>
      </c>
      <c r="D290" s="28" t="str">
        <f aca="false">IF(A290="","",'Registro de Comisión'!J290)</f>
        <v/>
      </c>
      <c r="E290" s="28" t="str">
        <f aca="false">IF(A290="","",'Registro de Comisión'!K290)</f>
        <v/>
      </c>
      <c r="F290" s="29" t="str">
        <f aca="false">IF(A290="","",E290-D290+1)</f>
        <v/>
      </c>
      <c r="G290" s="27" t="str">
        <f aca="false">IF(A290="","",COUNTIFS($A$5:A290,A290))</f>
        <v/>
      </c>
      <c r="H290" s="27" t="str">
        <f aca="false">IF(A290="","",IF(E290=_xlfn.MAXIFS($E$5:$E$304,$A$5:$A$304,A290),1,0))</f>
        <v/>
      </c>
      <c r="I290" s="27" t="str">
        <f aca="false">IF(A290="","",A290&amp;"-"&amp;H290)</f>
        <v/>
      </c>
    </row>
    <row r="291" customFormat="false" ht="15" hidden="false" customHeight="false" outlineLevel="0" collapsed="false">
      <c r="A291" s="27" t="str">
        <f aca="false">IF('Registro de Comisión'!A291="","",'Registro de Comisión'!A291)</f>
        <v/>
      </c>
      <c r="B291" s="27" t="str">
        <f aca="false">IF(A291="","",TRIM(SUBSTITUTE(SUBSTITUTE(SUBSTITUTE(SUBSTITUTE(SUBSTITUTE(SUBSTITUTE(UPPER('Registro de Comisión'!B291),"Á","A"),"É","E"),"Í","I"),"Ó","O"),"Ú","U"),"Ü","U")))</f>
        <v/>
      </c>
      <c r="C291" s="27" t="str">
        <f aca="false">IF(A291="","",TRIM(SUBSTITUTE(SUBSTITUTE(SUBSTITUTE(SUBSTITUTE(SUBSTITUTE(SUBSTITUTE(UPPER('Registro de Comisión'!I291),"Á","A"),"É","E"),"Í","I"),"Ó","O"),"Ú","U"),"Ü","U")))</f>
        <v/>
      </c>
      <c r="D291" s="28" t="str">
        <f aca="false">IF(A291="","",'Registro de Comisión'!J291)</f>
        <v/>
      </c>
      <c r="E291" s="28" t="str">
        <f aca="false">IF(A291="","",'Registro de Comisión'!K291)</f>
        <v/>
      </c>
      <c r="F291" s="29" t="str">
        <f aca="false">IF(A291="","",E291-D291+1)</f>
        <v/>
      </c>
      <c r="G291" s="27" t="str">
        <f aca="false">IF(A291="","",COUNTIFS($A$5:A291,A291))</f>
        <v/>
      </c>
      <c r="H291" s="27" t="str">
        <f aca="false">IF(A291="","",IF(E291=_xlfn.MAXIFS($E$5:$E$304,$A$5:$A$304,A291),1,0))</f>
        <v/>
      </c>
      <c r="I291" s="27" t="str">
        <f aca="false">IF(A291="","",A291&amp;"-"&amp;H291)</f>
        <v/>
      </c>
    </row>
    <row r="292" customFormat="false" ht="15" hidden="false" customHeight="false" outlineLevel="0" collapsed="false">
      <c r="A292" s="27" t="str">
        <f aca="false">IF('Registro de Comisión'!A292="","",'Registro de Comisión'!A292)</f>
        <v/>
      </c>
      <c r="B292" s="27" t="str">
        <f aca="false">IF(A292="","",TRIM(SUBSTITUTE(SUBSTITUTE(SUBSTITUTE(SUBSTITUTE(SUBSTITUTE(SUBSTITUTE(UPPER('Registro de Comisión'!B292),"Á","A"),"É","E"),"Í","I"),"Ó","O"),"Ú","U"),"Ü","U")))</f>
        <v/>
      </c>
      <c r="C292" s="27" t="str">
        <f aca="false">IF(A292="","",TRIM(SUBSTITUTE(SUBSTITUTE(SUBSTITUTE(SUBSTITUTE(SUBSTITUTE(SUBSTITUTE(UPPER('Registro de Comisión'!I292),"Á","A"),"É","E"),"Í","I"),"Ó","O"),"Ú","U"),"Ü","U")))</f>
        <v/>
      </c>
      <c r="D292" s="28" t="str">
        <f aca="false">IF(A292="","",'Registro de Comisión'!J292)</f>
        <v/>
      </c>
      <c r="E292" s="28" t="str">
        <f aca="false">IF(A292="","",'Registro de Comisión'!K292)</f>
        <v/>
      </c>
      <c r="F292" s="29" t="str">
        <f aca="false">IF(A292="","",E292-D292+1)</f>
        <v/>
      </c>
      <c r="G292" s="27" t="str">
        <f aca="false">IF(A292="","",COUNTIFS($A$5:A292,A292))</f>
        <v/>
      </c>
      <c r="H292" s="27" t="str">
        <f aca="false">IF(A292="","",IF(E292=_xlfn.MAXIFS($E$5:$E$304,$A$5:$A$304,A292),1,0))</f>
        <v/>
      </c>
      <c r="I292" s="27" t="str">
        <f aca="false">IF(A292="","",A292&amp;"-"&amp;H292)</f>
        <v/>
      </c>
    </row>
    <row r="293" customFormat="false" ht="15" hidden="false" customHeight="false" outlineLevel="0" collapsed="false">
      <c r="A293" s="27" t="str">
        <f aca="false">IF('Registro de Comisión'!A293="","",'Registro de Comisión'!A293)</f>
        <v/>
      </c>
      <c r="B293" s="27" t="str">
        <f aca="false">IF(A293="","",TRIM(SUBSTITUTE(SUBSTITUTE(SUBSTITUTE(SUBSTITUTE(SUBSTITUTE(SUBSTITUTE(UPPER('Registro de Comisión'!B293),"Á","A"),"É","E"),"Í","I"),"Ó","O"),"Ú","U"),"Ü","U")))</f>
        <v/>
      </c>
      <c r="C293" s="27" t="str">
        <f aca="false">IF(A293="","",TRIM(SUBSTITUTE(SUBSTITUTE(SUBSTITUTE(SUBSTITUTE(SUBSTITUTE(SUBSTITUTE(UPPER('Registro de Comisión'!I293),"Á","A"),"É","E"),"Í","I"),"Ó","O"),"Ú","U"),"Ü","U")))</f>
        <v/>
      </c>
      <c r="D293" s="28" t="str">
        <f aca="false">IF(A293="","",'Registro de Comisión'!J293)</f>
        <v/>
      </c>
      <c r="E293" s="28" t="str">
        <f aca="false">IF(A293="","",'Registro de Comisión'!K293)</f>
        <v/>
      </c>
      <c r="F293" s="29" t="str">
        <f aca="false">IF(A293="","",E293-D293+1)</f>
        <v/>
      </c>
      <c r="G293" s="27" t="str">
        <f aca="false">IF(A293="","",COUNTIFS($A$5:A293,A293))</f>
        <v/>
      </c>
      <c r="H293" s="27" t="str">
        <f aca="false">IF(A293="","",IF(E293=_xlfn.MAXIFS($E$5:$E$304,$A$5:$A$304,A293),1,0))</f>
        <v/>
      </c>
      <c r="I293" s="27" t="str">
        <f aca="false">IF(A293="","",A293&amp;"-"&amp;H293)</f>
        <v/>
      </c>
    </row>
    <row r="294" customFormat="false" ht="15" hidden="false" customHeight="false" outlineLevel="0" collapsed="false">
      <c r="A294" s="27" t="str">
        <f aca="false">IF('Registro de Comisión'!A294="","",'Registro de Comisión'!A294)</f>
        <v/>
      </c>
      <c r="B294" s="27" t="str">
        <f aca="false">IF(A294="","",TRIM(SUBSTITUTE(SUBSTITUTE(SUBSTITUTE(SUBSTITUTE(SUBSTITUTE(SUBSTITUTE(UPPER('Registro de Comisión'!B294),"Á","A"),"É","E"),"Í","I"),"Ó","O"),"Ú","U"),"Ü","U")))</f>
        <v/>
      </c>
      <c r="C294" s="27" t="str">
        <f aca="false">IF(A294="","",TRIM(SUBSTITUTE(SUBSTITUTE(SUBSTITUTE(SUBSTITUTE(SUBSTITUTE(SUBSTITUTE(UPPER('Registro de Comisión'!I294),"Á","A"),"É","E"),"Í","I"),"Ó","O"),"Ú","U"),"Ü","U")))</f>
        <v/>
      </c>
      <c r="D294" s="28" t="str">
        <f aca="false">IF(A294="","",'Registro de Comisión'!J294)</f>
        <v/>
      </c>
      <c r="E294" s="28" t="str">
        <f aca="false">IF(A294="","",'Registro de Comisión'!K294)</f>
        <v/>
      </c>
      <c r="F294" s="29" t="str">
        <f aca="false">IF(A294="","",E294-D294+1)</f>
        <v/>
      </c>
      <c r="G294" s="27" t="str">
        <f aca="false">IF(A294="","",COUNTIFS($A$5:A294,A294))</f>
        <v/>
      </c>
      <c r="H294" s="27" t="str">
        <f aca="false">IF(A294="","",IF(E294=_xlfn.MAXIFS($E$5:$E$304,$A$5:$A$304,A294),1,0))</f>
        <v/>
      </c>
      <c r="I294" s="27" t="str">
        <f aca="false">IF(A294="","",A294&amp;"-"&amp;H294)</f>
        <v/>
      </c>
    </row>
    <row r="295" customFormat="false" ht="15" hidden="false" customHeight="false" outlineLevel="0" collapsed="false">
      <c r="A295" s="27" t="str">
        <f aca="false">IF('Registro de Comisión'!A295="","",'Registro de Comisión'!A295)</f>
        <v/>
      </c>
      <c r="B295" s="27" t="str">
        <f aca="false">IF(A295="","",TRIM(SUBSTITUTE(SUBSTITUTE(SUBSTITUTE(SUBSTITUTE(SUBSTITUTE(SUBSTITUTE(UPPER('Registro de Comisión'!B295),"Á","A"),"É","E"),"Í","I"),"Ó","O"),"Ú","U"),"Ü","U")))</f>
        <v/>
      </c>
      <c r="C295" s="27" t="str">
        <f aca="false">IF(A295="","",TRIM(SUBSTITUTE(SUBSTITUTE(SUBSTITUTE(SUBSTITUTE(SUBSTITUTE(SUBSTITUTE(UPPER('Registro de Comisión'!I295),"Á","A"),"É","E"),"Í","I"),"Ó","O"),"Ú","U"),"Ü","U")))</f>
        <v/>
      </c>
      <c r="D295" s="28" t="str">
        <f aca="false">IF(A295="","",'Registro de Comisión'!J295)</f>
        <v/>
      </c>
      <c r="E295" s="28" t="str">
        <f aca="false">IF(A295="","",'Registro de Comisión'!K295)</f>
        <v/>
      </c>
      <c r="F295" s="29" t="str">
        <f aca="false">IF(A295="","",E295-D295+1)</f>
        <v/>
      </c>
      <c r="G295" s="27" t="str">
        <f aca="false">IF(A295="","",COUNTIFS($A$5:A295,A295))</f>
        <v/>
      </c>
      <c r="H295" s="27" t="str">
        <f aca="false">IF(A295="","",IF(E295=_xlfn.MAXIFS($E$5:$E$304,$A$5:$A$304,A295),1,0))</f>
        <v/>
      </c>
      <c r="I295" s="27" t="str">
        <f aca="false">IF(A295="","",A295&amp;"-"&amp;H295)</f>
        <v/>
      </c>
    </row>
    <row r="296" customFormat="false" ht="15" hidden="false" customHeight="false" outlineLevel="0" collapsed="false">
      <c r="A296" s="27" t="str">
        <f aca="false">IF('Registro de Comisión'!A296="","",'Registro de Comisión'!A296)</f>
        <v/>
      </c>
      <c r="B296" s="27" t="str">
        <f aca="false">IF(A296="","",TRIM(SUBSTITUTE(SUBSTITUTE(SUBSTITUTE(SUBSTITUTE(SUBSTITUTE(SUBSTITUTE(UPPER('Registro de Comisión'!B296),"Á","A"),"É","E"),"Í","I"),"Ó","O"),"Ú","U"),"Ü","U")))</f>
        <v/>
      </c>
      <c r="C296" s="27" t="str">
        <f aca="false">IF(A296="","",TRIM(SUBSTITUTE(SUBSTITUTE(SUBSTITUTE(SUBSTITUTE(SUBSTITUTE(SUBSTITUTE(UPPER('Registro de Comisión'!I296),"Á","A"),"É","E"),"Í","I"),"Ó","O"),"Ú","U"),"Ü","U")))</f>
        <v/>
      </c>
      <c r="D296" s="28" t="str">
        <f aca="false">IF(A296="","",'Registro de Comisión'!J296)</f>
        <v/>
      </c>
      <c r="E296" s="28" t="str">
        <f aca="false">IF(A296="","",'Registro de Comisión'!K296)</f>
        <v/>
      </c>
      <c r="F296" s="29" t="str">
        <f aca="false">IF(A296="","",E296-D296+1)</f>
        <v/>
      </c>
      <c r="G296" s="27" t="str">
        <f aca="false">IF(A296="","",COUNTIFS($A$5:A296,A296))</f>
        <v/>
      </c>
      <c r="H296" s="27" t="str">
        <f aca="false">IF(A296="","",IF(E296=_xlfn.MAXIFS($E$5:$E$304,$A$5:$A$304,A296),1,0))</f>
        <v/>
      </c>
      <c r="I296" s="27" t="str">
        <f aca="false">IF(A296="","",A296&amp;"-"&amp;H296)</f>
        <v/>
      </c>
    </row>
    <row r="297" customFormat="false" ht="15" hidden="false" customHeight="false" outlineLevel="0" collapsed="false">
      <c r="A297" s="27" t="str">
        <f aca="false">IF('Registro de Comisión'!A297="","",'Registro de Comisión'!A297)</f>
        <v/>
      </c>
      <c r="B297" s="27" t="str">
        <f aca="false">IF(A297="","",TRIM(SUBSTITUTE(SUBSTITUTE(SUBSTITUTE(SUBSTITUTE(SUBSTITUTE(SUBSTITUTE(UPPER('Registro de Comisión'!B297),"Á","A"),"É","E"),"Í","I"),"Ó","O"),"Ú","U"),"Ü","U")))</f>
        <v/>
      </c>
      <c r="C297" s="27" t="str">
        <f aca="false">IF(A297="","",TRIM(SUBSTITUTE(SUBSTITUTE(SUBSTITUTE(SUBSTITUTE(SUBSTITUTE(SUBSTITUTE(UPPER('Registro de Comisión'!I297),"Á","A"),"É","E"),"Í","I"),"Ó","O"),"Ú","U"),"Ü","U")))</f>
        <v/>
      </c>
      <c r="D297" s="28" t="str">
        <f aca="false">IF(A297="","",'Registro de Comisión'!J297)</f>
        <v/>
      </c>
      <c r="E297" s="28" t="str">
        <f aca="false">IF(A297="","",'Registro de Comisión'!K297)</f>
        <v/>
      </c>
      <c r="F297" s="29" t="str">
        <f aca="false">IF(A297="","",E297-D297+1)</f>
        <v/>
      </c>
      <c r="G297" s="27" t="str">
        <f aca="false">IF(A297="","",COUNTIFS($A$5:A297,A297))</f>
        <v/>
      </c>
      <c r="H297" s="27" t="str">
        <f aca="false">IF(A297="","",IF(E297=_xlfn.MAXIFS($E$5:$E$304,$A$5:$A$304,A297),1,0))</f>
        <v/>
      </c>
      <c r="I297" s="27" t="str">
        <f aca="false">IF(A297="","",A297&amp;"-"&amp;H297)</f>
        <v/>
      </c>
    </row>
    <row r="298" customFormat="false" ht="15" hidden="false" customHeight="false" outlineLevel="0" collapsed="false">
      <c r="A298" s="27" t="str">
        <f aca="false">IF('Registro de Comisión'!A298="","",'Registro de Comisión'!A298)</f>
        <v/>
      </c>
      <c r="B298" s="27" t="str">
        <f aca="false">IF(A298="","",TRIM(SUBSTITUTE(SUBSTITUTE(SUBSTITUTE(SUBSTITUTE(SUBSTITUTE(SUBSTITUTE(UPPER('Registro de Comisión'!B298),"Á","A"),"É","E"),"Í","I"),"Ó","O"),"Ú","U"),"Ü","U")))</f>
        <v/>
      </c>
      <c r="C298" s="27" t="str">
        <f aca="false">IF(A298="","",TRIM(SUBSTITUTE(SUBSTITUTE(SUBSTITUTE(SUBSTITUTE(SUBSTITUTE(SUBSTITUTE(UPPER('Registro de Comisión'!I298),"Á","A"),"É","E"),"Í","I"),"Ó","O"),"Ú","U"),"Ü","U")))</f>
        <v/>
      </c>
      <c r="D298" s="28" t="str">
        <f aca="false">IF(A298="","",'Registro de Comisión'!J298)</f>
        <v/>
      </c>
      <c r="E298" s="28" t="str">
        <f aca="false">IF(A298="","",'Registro de Comisión'!K298)</f>
        <v/>
      </c>
      <c r="F298" s="29" t="str">
        <f aca="false">IF(A298="","",E298-D298+1)</f>
        <v/>
      </c>
      <c r="G298" s="27" t="str">
        <f aca="false">IF(A298="","",COUNTIFS($A$5:A298,A298))</f>
        <v/>
      </c>
      <c r="H298" s="27" t="str">
        <f aca="false">IF(A298="","",IF(E298=_xlfn.MAXIFS($E$5:$E$304,$A$5:$A$304,A298),1,0))</f>
        <v/>
      </c>
      <c r="I298" s="27" t="str">
        <f aca="false">IF(A298="","",A298&amp;"-"&amp;H298)</f>
        <v/>
      </c>
    </row>
    <row r="299" customFormat="false" ht="15" hidden="false" customHeight="false" outlineLevel="0" collapsed="false">
      <c r="A299" s="27" t="str">
        <f aca="false">IF('Registro de Comisión'!A299="","",'Registro de Comisión'!A299)</f>
        <v/>
      </c>
      <c r="B299" s="27" t="str">
        <f aca="false">IF(A299="","",TRIM(SUBSTITUTE(SUBSTITUTE(SUBSTITUTE(SUBSTITUTE(SUBSTITUTE(SUBSTITUTE(UPPER('Registro de Comisión'!B299),"Á","A"),"É","E"),"Í","I"),"Ó","O"),"Ú","U"),"Ü","U")))</f>
        <v/>
      </c>
      <c r="C299" s="27" t="str">
        <f aca="false">IF(A299="","",TRIM(SUBSTITUTE(SUBSTITUTE(SUBSTITUTE(SUBSTITUTE(SUBSTITUTE(SUBSTITUTE(UPPER('Registro de Comisión'!I299),"Á","A"),"É","E"),"Í","I"),"Ó","O"),"Ú","U"),"Ü","U")))</f>
        <v/>
      </c>
      <c r="D299" s="28" t="str">
        <f aca="false">IF(A299="","",'Registro de Comisión'!J299)</f>
        <v/>
      </c>
      <c r="E299" s="28" t="str">
        <f aca="false">IF(A299="","",'Registro de Comisión'!K299)</f>
        <v/>
      </c>
      <c r="F299" s="29" t="str">
        <f aca="false">IF(A299="","",E299-D299+1)</f>
        <v/>
      </c>
      <c r="G299" s="27" t="str">
        <f aca="false">IF(A299="","",COUNTIFS($A$5:A299,A299))</f>
        <v/>
      </c>
      <c r="H299" s="27" t="str">
        <f aca="false">IF(A299="","",IF(E299=_xlfn.MAXIFS($E$5:$E$304,$A$5:$A$304,A299),1,0))</f>
        <v/>
      </c>
      <c r="I299" s="27" t="str">
        <f aca="false">IF(A299="","",A299&amp;"-"&amp;H299)</f>
        <v/>
      </c>
    </row>
    <row r="300" customFormat="false" ht="15" hidden="false" customHeight="false" outlineLevel="0" collapsed="false">
      <c r="A300" s="27" t="str">
        <f aca="false">IF('Registro de Comisión'!A300="","",'Registro de Comisión'!A300)</f>
        <v/>
      </c>
      <c r="B300" s="27" t="str">
        <f aca="false">IF(A300="","",TRIM(SUBSTITUTE(SUBSTITUTE(SUBSTITUTE(SUBSTITUTE(SUBSTITUTE(SUBSTITUTE(UPPER('Registro de Comisión'!B300),"Á","A"),"É","E"),"Í","I"),"Ó","O"),"Ú","U"),"Ü","U")))</f>
        <v/>
      </c>
      <c r="C300" s="27" t="str">
        <f aca="false">IF(A300="","",TRIM(SUBSTITUTE(SUBSTITUTE(SUBSTITUTE(SUBSTITUTE(SUBSTITUTE(SUBSTITUTE(UPPER('Registro de Comisión'!I300),"Á","A"),"É","E"),"Í","I"),"Ó","O"),"Ú","U"),"Ü","U")))</f>
        <v/>
      </c>
      <c r="D300" s="28" t="str">
        <f aca="false">IF(A300="","",'Registro de Comisión'!J300)</f>
        <v/>
      </c>
      <c r="E300" s="28" t="str">
        <f aca="false">IF(A300="","",'Registro de Comisión'!K300)</f>
        <v/>
      </c>
      <c r="F300" s="29" t="str">
        <f aca="false">IF(A300="","",E300-D300+1)</f>
        <v/>
      </c>
      <c r="G300" s="27" t="str">
        <f aca="false">IF(A300="","",COUNTIFS($A$5:A300,A300))</f>
        <v/>
      </c>
      <c r="H300" s="27" t="str">
        <f aca="false">IF(A300="","",IF(E300=_xlfn.MAXIFS($E$5:$E$304,$A$5:$A$304,A300),1,0))</f>
        <v/>
      </c>
      <c r="I300" s="27" t="str">
        <f aca="false">IF(A300="","",A300&amp;"-"&amp;H300)</f>
        <v/>
      </c>
    </row>
    <row r="301" customFormat="false" ht="15" hidden="false" customHeight="false" outlineLevel="0" collapsed="false">
      <c r="A301" s="27" t="str">
        <f aca="false">IF('Registro de Comisión'!A301="","",'Registro de Comisión'!A301)</f>
        <v/>
      </c>
      <c r="B301" s="27" t="str">
        <f aca="false">IF(A301="","",TRIM(SUBSTITUTE(SUBSTITUTE(SUBSTITUTE(SUBSTITUTE(SUBSTITUTE(SUBSTITUTE(UPPER('Registro de Comisión'!B301),"Á","A"),"É","E"),"Í","I"),"Ó","O"),"Ú","U"),"Ü","U")))</f>
        <v/>
      </c>
      <c r="C301" s="27" t="str">
        <f aca="false">IF(A301="","",TRIM(SUBSTITUTE(SUBSTITUTE(SUBSTITUTE(SUBSTITUTE(SUBSTITUTE(SUBSTITUTE(UPPER('Registro de Comisión'!I301),"Á","A"),"É","E"),"Í","I"),"Ó","O"),"Ú","U"),"Ü","U")))</f>
        <v/>
      </c>
      <c r="D301" s="28" t="str">
        <f aca="false">IF(A301="","",'Registro de Comisión'!J301)</f>
        <v/>
      </c>
      <c r="E301" s="28" t="str">
        <f aca="false">IF(A301="","",'Registro de Comisión'!K301)</f>
        <v/>
      </c>
      <c r="F301" s="29" t="str">
        <f aca="false">IF(A301="","",E301-D301+1)</f>
        <v/>
      </c>
      <c r="G301" s="27" t="str">
        <f aca="false">IF(A301="","",COUNTIFS($A$5:A301,A301))</f>
        <v/>
      </c>
      <c r="H301" s="27" t="str">
        <f aca="false">IF(A301="","",IF(E301=_xlfn.MAXIFS($E$5:$E$304,$A$5:$A$304,A301),1,0))</f>
        <v/>
      </c>
      <c r="I301" s="27" t="str">
        <f aca="false">IF(A301="","",A301&amp;"-"&amp;H301)</f>
        <v/>
      </c>
    </row>
    <row r="302" customFormat="false" ht="15" hidden="false" customHeight="false" outlineLevel="0" collapsed="false">
      <c r="A302" s="27" t="str">
        <f aca="false">IF('Registro de Comisión'!A302="","",'Registro de Comisión'!A302)</f>
        <v/>
      </c>
      <c r="B302" s="27" t="str">
        <f aca="false">IF(A302="","",TRIM(SUBSTITUTE(SUBSTITUTE(SUBSTITUTE(SUBSTITUTE(SUBSTITUTE(SUBSTITUTE(UPPER('Registro de Comisión'!B302),"Á","A"),"É","E"),"Í","I"),"Ó","O"),"Ú","U"),"Ü","U")))</f>
        <v/>
      </c>
      <c r="C302" s="27" t="str">
        <f aca="false">IF(A302="","",TRIM(SUBSTITUTE(SUBSTITUTE(SUBSTITUTE(SUBSTITUTE(SUBSTITUTE(SUBSTITUTE(UPPER('Registro de Comisión'!I302),"Á","A"),"É","E"),"Í","I"),"Ó","O"),"Ú","U"),"Ü","U")))</f>
        <v/>
      </c>
      <c r="D302" s="28" t="str">
        <f aca="false">IF(A302="","",'Registro de Comisión'!J302)</f>
        <v/>
      </c>
      <c r="E302" s="28" t="str">
        <f aca="false">IF(A302="","",'Registro de Comisión'!K302)</f>
        <v/>
      </c>
      <c r="F302" s="29" t="str">
        <f aca="false">IF(A302="","",E302-D302+1)</f>
        <v/>
      </c>
      <c r="G302" s="27" t="str">
        <f aca="false">IF(A302="","",COUNTIFS($A$5:A302,A302))</f>
        <v/>
      </c>
      <c r="H302" s="27" t="str">
        <f aca="false">IF(A302="","",IF(E302=_xlfn.MAXIFS($E$5:$E$304,$A$5:$A$304,A302),1,0))</f>
        <v/>
      </c>
      <c r="I302" s="27" t="str">
        <f aca="false">IF(A302="","",A302&amp;"-"&amp;H302)</f>
        <v/>
      </c>
    </row>
    <row r="303" customFormat="false" ht="15" hidden="false" customHeight="false" outlineLevel="0" collapsed="false">
      <c r="A303" s="27" t="str">
        <f aca="false">IF('Registro de Comisión'!A303="","",'Registro de Comisión'!A303)</f>
        <v/>
      </c>
      <c r="B303" s="27" t="str">
        <f aca="false">IF(A303="","",TRIM(SUBSTITUTE(SUBSTITUTE(SUBSTITUTE(SUBSTITUTE(SUBSTITUTE(SUBSTITUTE(UPPER('Registro de Comisión'!B303),"Á","A"),"É","E"),"Í","I"),"Ó","O"),"Ú","U"),"Ü","U")))</f>
        <v/>
      </c>
      <c r="C303" s="27" t="str">
        <f aca="false">IF(A303="","",TRIM(SUBSTITUTE(SUBSTITUTE(SUBSTITUTE(SUBSTITUTE(SUBSTITUTE(SUBSTITUTE(UPPER('Registro de Comisión'!I303),"Á","A"),"É","E"),"Í","I"),"Ó","O"),"Ú","U"),"Ü","U")))</f>
        <v/>
      </c>
      <c r="D303" s="28" t="str">
        <f aca="false">IF(A303="","",'Registro de Comisión'!J303)</f>
        <v/>
      </c>
      <c r="E303" s="28" t="str">
        <f aca="false">IF(A303="","",'Registro de Comisión'!K303)</f>
        <v/>
      </c>
      <c r="F303" s="29" t="str">
        <f aca="false">IF(A303="","",E303-D303+1)</f>
        <v/>
      </c>
      <c r="G303" s="27" t="str">
        <f aca="false">IF(A303="","",COUNTIFS($A$5:A303,A303))</f>
        <v/>
      </c>
      <c r="H303" s="27" t="str">
        <f aca="false">IF(A303="","",IF(E303=_xlfn.MAXIFS($E$5:$E$304,$A$5:$A$304,A303),1,0))</f>
        <v/>
      </c>
      <c r="I303" s="27" t="str">
        <f aca="false">IF(A303="","",A303&amp;"-"&amp;H303)</f>
        <v/>
      </c>
    </row>
    <row r="304" customFormat="false" ht="15" hidden="false" customHeight="false" outlineLevel="0" collapsed="false">
      <c r="A304" s="27" t="str">
        <f aca="false">IF('Registro de Comisión'!A304="","",'Registro de Comisión'!A304)</f>
        <v/>
      </c>
      <c r="B304" s="27" t="str">
        <f aca="false">IF(A304="","",TRIM(SUBSTITUTE(SUBSTITUTE(SUBSTITUTE(SUBSTITUTE(SUBSTITUTE(SUBSTITUTE(UPPER('Registro de Comisión'!B304),"Á","A"),"É","E"),"Í","I"),"Ó","O"),"Ú","U"),"Ü","U")))</f>
        <v/>
      </c>
      <c r="C304" s="27" t="str">
        <f aca="false">IF(A304="","",TRIM(SUBSTITUTE(SUBSTITUTE(SUBSTITUTE(SUBSTITUTE(SUBSTITUTE(SUBSTITUTE(UPPER('Registro de Comisión'!I304),"Á","A"),"É","E"),"Í","I"),"Ó","O"),"Ú","U"),"Ü","U")))</f>
        <v/>
      </c>
      <c r="D304" s="28" t="str">
        <f aca="false">IF(A304="","",'Registro de Comisión'!J304)</f>
        <v/>
      </c>
      <c r="E304" s="28" t="str">
        <f aca="false">IF(A304="","",'Registro de Comisión'!K304)</f>
        <v/>
      </c>
      <c r="F304" s="29" t="str">
        <f aca="false">IF(A304="","",E304-D304+1)</f>
        <v/>
      </c>
      <c r="G304" s="27" t="str">
        <f aca="false">IF(A304="","",COUNTIFS($A$5:A304,A304))</f>
        <v/>
      </c>
      <c r="H304" s="27" t="str">
        <f aca="false">IF(A304="","",IF(E304=_xlfn.MAXIFS($E$5:$E$304,$A$5:$A$304,A304),1,0))</f>
        <v/>
      </c>
      <c r="I304" s="27" t="str">
        <f aca="false">IF(A304="","",A304&amp;"-"&amp;H304)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P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26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1" min="10" style="0" width="14"/>
    <col collapsed="false" customWidth="true" hidden="false" outlineLevel="0" max="12" min="12" style="0" width="28"/>
    <col collapsed="false" customWidth="true" hidden="true" outlineLevel="0" max="13" min="13" style="0" width="11"/>
    <col collapsed="false" customWidth="true" hidden="true" outlineLevel="0" max="14" min="14" style="0" width="14"/>
    <col collapsed="false" customWidth="true" hidden="true" outlineLevel="0" max="16" min="15" style="0" width="11"/>
  </cols>
  <sheetData>
    <row r="1" customFormat="false" ht="27.75" hidden="false" customHeight="true" outlineLevel="0" collapsed="false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3" t="s">
        <v>149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customFormat="false" ht="30" hidden="false" customHeight="true" outlineLevel="0" collapsed="false">
      <c r="A3" s="34" t="s">
        <v>150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customFormat="false" ht="33.75" hidden="false" customHeight="true" outlineLevel="0" collapsed="false">
      <c r="A4" s="12" t="s">
        <v>26</v>
      </c>
      <c r="B4" s="12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126</v>
      </c>
      <c r="J4" s="12" t="s">
        <v>127</v>
      </c>
      <c r="K4" s="12" t="s">
        <v>128</v>
      </c>
      <c r="L4" s="12" t="s">
        <v>151</v>
      </c>
      <c r="M4" s="12" t="s">
        <v>152</v>
      </c>
      <c r="N4" s="12" t="s">
        <v>153</v>
      </c>
      <c r="O4" s="12" t="s">
        <v>154</v>
      </c>
      <c r="P4" s="12" t="s">
        <v>155</v>
      </c>
    </row>
    <row r="5" customFormat="false" ht="57.45" hidden="false" customHeight="false" outlineLevel="0" collapsed="false">
      <c r="A5" s="35" t="s">
        <v>48</v>
      </c>
      <c r="B5" s="36" t="str">
        <f aca="false">IF($A5="","",TRIM(SUBSTITUTE(SUBSTITUTE(SUBSTITUTE(SUBSTITUTE(SUBSTITUTE(SUBSTITUTE(UPPER(IFERROR(INDEX('Base de Personas'!$C7:C21,MATCH($A5,'Base de Personas'!$B7:B21,0)),"")),"Á","A"),"É","E"),"Í","I"),"Ó","O"),"Ú","U"),"Ü","U")))</f>
        <v>DUQUE VINUEZA GIOVANNY XAVIER</v>
      </c>
      <c r="C5" s="37" t="str">
        <f aca="false">IF($A5="","",TRIM(SUBSTITUTE(SUBSTITUTE(SUBSTITUTE(SUBSTITUTE(SUBSTITUTE(SUBSTITUTE(UPPER(IFERROR(INDEX('Base de Personas'!$D7:D21,MATCH($A5,'Base de Personas'!$B7:B21,0)),"")),"Á","A"),"É","E"),"Í","I"),"Ó","O"),"Ú","U"),"Ü","U")))</f>
        <v>QUITO</v>
      </c>
      <c r="D5" s="36" t="str">
        <f aca="false">IF($A5="","",TRIM(SUBSTITUTE(SUBSTITUTE(SUBSTITUTE(SUBSTITUTE(SUBSTITUTE(SUBSTITUTE(UPPER(IFERROR(INDEX('Base de Personas'!$E7:E21,MATCH($A5,'Base de Personas'!$B7:B21,0)),"")),"Á","A"),"É","E"),"Í","I"),"Ó","O"),"Ú","U"),"Ü","U")))</f>
        <v>INTENDENTE NACIONAL DE SUPERVISION A ORGANIZACIONES DE LA ECONOMIA POPULAR Y SOLIDARIA</v>
      </c>
      <c r="E5" s="36" t="str">
        <f aca="false">IF($A5="","",TRIM(SUBSTITUTE(SUBSTITUTE(SUBSTITUTE(SUBSTITUTE(SUBSTITUTE(SUBSTITUTE(UPPER(IFERROR(INDEX('Base de Personas'!$F7:F21,MATCH($A5,'Base de Personas'!$B7:B21,0)),"")),"Á","A"),"É","E"),"Í","I"),"Ó","O"),"Ú","U"),"Ü","U")))</f>
        <v>DIRECCION NACIONAL LEGAL DE ORGANIZACIONES DE LA ECONOMIA POPULAR Y SOLIDARIA</v>
      </c>
      <c r="F5" s="36" t="str">
        <f aca="false">IF($A5="","",TRIM(SUBSTITUTE(SUBSTITUTE(SUBSTITUTE(SUBSTITUTE(SUBSTITUTE(SUBSTITUTE(UPPER(IFERROR(INDEX('Base de Personas'!$G7:G21,MATCH($A5,'Base de Personas'!$B7:B21,0)),"")),"Á","A"),"É","E"),"Í","I"),"Ó","O"),"Ú","U"),"Ü","U")))</f>
        <v>ANALISTA JURIDICO 2 DE LA EPS</v>
      </c>
      <c r="G5" s="37" t="str">
        <f aca="false">IF($A5="","",TRIM(SUBSTITUTE(SUBSTITUTE(SUBSTITUTE(SUBSTITUTE(SUBSTITUTE(SUBSTITUTE(UPPER(IFERROR(INDEX('Base de Personas'!$H7:H21,MATCH($A5,'Base de Personas'!$B7:B21,0)),"")),"Á","A"),"É","E"),"Í","I"),"Ó","O"),"Ú","U"),"Ü","U")))</f>
        <v>SERVIDOR PUBLICO 7</v>
      </c>
      <c r="H5" s="38" t="n">
        <f aca="false">IF($A5="","",IFERROR(INDEX('Base de Personas'!$I$7:$I$21,MATCH($A5,'Base de Personas'!$B$7:$B$21,0)),""))</f>
        <v>1676</v>
      </c>
      <c r="I5" s="39" t="s">
        <v>133</v>
      </c>
      <c r="J5" s="40" t="n">
        <v>44635</v>
      </c>
      <c r="K5" s="40" t="n">
        <v>45000</v>
      </c>
      <c r="L5" s="39"/>
      <c r="M5" s="41" t="n">
        <f aca="false">IF($A5="","",IF(K5=_xlfn.MAXIFS($K$5:$K$304,$A$5:$A$304,$A5),1,0))</f>
        <v>0</v>
      </c>
      <c r="N5" s="41" t="str">
        <f aca="false">IF($A5="","",IF(M5=1,$A5&amp;"-ACT",""))</f>
        <v/>
      </c>
      <c r="O5" s="41" t="n">
        <f aca="false">IF($A5="","",IF(AND(COUNTIF('Base de Personas'!$B$7:$B$21,$A5)=0,COUNTIF($A$5:A5,$A5)=1),1,0))</f>
        <v>0</v>
      </c>
      <c r="P5" s="41" t="str">
        <f aca="false">IF(O5=1,SUM($O$5:O5),"")</f>
        <v/>
      </c>
    </row>
    <row r="6" customFormat="false" ht="57.45" hidden="false" customHeight="false" outlineLevel="0" collapsed="false">
      <c r="A6" s="35" t="s">
        <v>48</v>
      </c>
      <c r="B6" s="36" t="str">
        <f aca="false">IF($A6="","",TRIM(SUBSTITUTE(SUBSTITUTE(SUBSTITUTE(SUBSTITUTE(SUBSTITUTE(SUBSTITUTE(UPPER(IFERROR(INDEX('Base de Personas'!$C7:C21,MATCH($A6,'Base de Personas'!$B7:B21,0)),IFERROR(INDEX($B$5:B5,MATCH($A6,$A$5:A5,0)),""))),"Á","A"),"É","E"),"Í","I"),"Ó","O"),"Ú","U"),"Ü","U")))</f>
        <v>DUQUE VINUEZA GIOVANNY XAVIER</v>
      </c>
      <c r="C6" s="37" t="str">
        <f aca="false">IF($A6="","",TRIM(SUBSTITUTE(SUBSTITUTE(SUBSTITUTE(SUBSTITUTE(SUBSTITUTE(SUBSTITUTE(UPPER(IFERROR(INDEX('Base de Personas'!$D7:D21,MATCH($A6,'Base de Personas'!$B7:B21,0)),IFERROR(INDEX($C$5:C5,MATCH($A6,$A$5:A5,0)),""))),"Á","A"),"É","E"),"Í","I"),"Ó","O"),"Ú","U"),"Ü","U")))</f>
        <v>QUITO</v>
      </c>
      <c r="D6" s="36" t="str">
        <f aca="false">IF($A6="","",TRIM(SUBSTITUTE(SUBSTITUTE(SUBSTITUTE(SUBSTITUTE(SUBSTITUTE(SUBSTITUTE(UPPER(IFERROR(INDEX('Base de Personas'!$E7:E21,MATCH($A6,'Base de Personas'!$B7:B21,0)),IFERROR(INDEX($D$5:D5,MATCH($A6,$A$5:A5,0)),""))),"Á","A"),"É","E"),"Í","I"),"Ó","O"),"Ú","U"),"Ü","U")))</f>
        <v>INTENDENTE NACIONAL DE SUPERVISION A ORGANIZACIONES DE LA ECONOMIA POPULAR Y SOLIDARIA</v>
      </c>
      <c r="E6" s="36" t="str">
        <f aca="false">IF($A6="","",TRIM(SUBSTITUTE(SUBSTITUTE(SUBSTITUTE(SUBSTITUTE(SUBSTITUTE(SUBSTITUTE(UPPER(IFERROR(INDEX('Base de Personas'!$F7:F21,MATCH($A6,'Base de Personas'!$B7:B21,0)),IFERROR(INDEX($E$5:E5,MATCH($A6,$A$5:A5,0)),""))),"Á","A"),"É","E"),"Í","I"),"Ó","O"),"Ú","U"),"Ü","U")))</f>
        <v>DIRECCION NACIONAL LEGAL DE ORGANIZACIONES DE LA ECONOMIA POPULAR Y SOLIDARIA</v>
      </c>
      <c r="F6" s="36" t="str">
        <f aca="false">IF($A6="","",TRIM(SUBSTITUTE(SUBSTITUTE(SUBSTITUTE(SUBSTITUTE(SUBSTITUTE(SUBSTITUTE(UPPER(IFERROR(INDEX('Base de Personas'!$G7:G21,MATCH($A6,'Base de Personas'!$B7:B21,0)),IFERROR(INDEX($F$5:F5,MATCH($A6,$A$5:A5,0)),""))),"Á","A"),"É","E"),"Í","I"),"Ó","O"),"Ú","U"),"Ü","U")))</f>
        <v>ANALISTA JURIDICO 2 DE LA EPS</v>
      </c>
      <c r="G6" s="37" t="str">
        <f aca="false">IF($A6="","",TRIM(SUBSTITUTE(SUBSTITUTE(SUBSTITUTE(SUBSTITUTE(SUBSTITUTE(SUBSTITUTE(UPPER(IFERROR(INDEX('Base de Personas'!$H7:H21,MATCH($A6,'Base de Personas'!$B7:B21,0)),IFERROR(INDEX($G$5:G5,MATCH($A6,$A$5:A5,0)),""))),"Á","A"),"É","E"),"Í","I"),"Ó","O"),"Ú","U"),"Ü","U")))</f>
        <v>SERVIDOR PUBLICO 7</v>
      </c>
      <c r="H6" s="38" t="n">
        <f aca="false">IF($A6="","",IFERROR(INDEX('Base de Personas'!$I$7:$I$21,MATCH($A6,'Base de Personas'!$B$7:$B$21,0)),IFERROR(INDEX($H$5:H5,MATCH($A6,$A$5:A5,0)),"")))</f>
        <v>1676</v>
      </c>
      <c r="I6" s="39" t="s">
        <v>133</v>
      </c>
      <c r="J6" s="40" t="n">
        <v>45000</v>
      </c>
      <c r="K6" s="40" t="n">
        <v>45365</v>
      </c>
      <c r="L6" s="39"/>
      <c r="M6" s="41" t="n">
        <f aca="false">IF($A6="","",IF(K6=_xlfn.MAXIFS($K$5:$K$304,$A$5:$A$304,$A6),1,0))</f>
        <v>0</v>
      </c>
      <c r="N6" s="41" t="str">
        <f aca="false">IF($A6="","",IF(M6=1,$A6&amp;"-ACT",""))</f>
        <v/>
      </c>
      <c r="O6" s="41" t="n">
        <f aca="false">IF($A6="","",IF(AND(COUNTIF('Base de Personas'!$B$7:$B$21,$A6)=0,COUNTIF($A$5:A6,$A6)=1),1,0))</f>
        <v>0</v>
      </c>
      <c r="P6" s="41" t="str">
        <f aca="false">IF(O6=1,SUM($O$5:O6),"")</f>
        <v/>
      </c>
    </row>
    <row r="7" customFormat="false" ht="57.45" hidden="false" customHeight="false" outlineLevel="0" collapsed="false">
      <c r="A7" s="35" t="s">
        <v>48</v>
      </c>
      <c r="B7" s="36" t="str">
        <f aca="false">IF($A7="","",TRIM(SUBSTITUTE(SUBSTITUTE(SUBSTITUTE(SUBSTITUTE(SUBSTITUTE(SUBSTITUTE(UPPER(IFERROR(INDEX('Base de Personas'!$C7:C21,MATCH($A7,'Base de Personas'!$B7:B21,0)),IFERROR(INDEX($B$5:B6,MATCH($A7,$A$5:A6,0)),""))),"Á","A"),"É","E"),"Í","I"),"Ó","O"),"Ú","U"),"Ü","U")))</f>
        <v>DUQUE VINUEZA GIOVANNY XAVIER</v>
      </c>
      <c r="C7" s="37" t="str">
        <f aca="false">IF($A7="","",TRIM(SUBSTITUTE(SUBSTITUTE(SUBSTITUTE(SUBSTITUTE(SUBSTITUTE(SUBSTITUTE(UPPER(IFERROR(INDEX('Base de Personas'!$D7:D21,MATCH($A7,'Base de Personas'!$B7:B21,0)),IFERROR(INDEX($C$5:C6,MATCH($A7,$A$5:A6,0)),""))),"Á","A"),"É","E"),"Í","I"),"Ó","O"),"Ú","U"),"Ü","U")))</f>
        <v>QUITO</v>
      </c>
      <c r="D7" s="36" t="str">
        <f aca="false">IF($A7="","",TRIM(SUBSTITUTE(SUBSTITUTE(SUBSTITUTE(SUBSTITUTE(SUBSTITUTE(SUBSTITUTE(UPPER(IFERROR(INDEX('Base de Personas'!$E7:E21,MATCH($A7,'Base de Personas'!$B7:B21,0)),IFERROR(INDEX($D$5:D6,MATCH($A7,$A$5:A6,0)),""))),"Á","A"),"É","E"),"Í","I"),"Ó","O"),"Ú","U"),"Ü","U")))</f>
        <v>INTENDENTE NACIONAL DE SUPERVISION A ORGANIZACIONES DE LA ECONOMIA POPULAR Y SOLIDARIA</v>
      </c>
      <c r="E7" s="36" t="str">
        <f aca="false">IF($A7="","",TRIM(SUBSTITUTE(SUBSTITUTE(SUBSTITUTE(SUBSTITUTE(SUBSTITUTE(SUBSTITUTE(UPPER(IFERROR(INDEX('Base de Personas'!$F7:F21,MATCH($A7,'Base de Personas'!$B7:B21,0)),IFERROR(INDEX($E$5:E6,MATCH($A7,$A$5:A6,0)),""))),"Á","A"),"É","E"),"Í","I"),"Ó","O"),"Ú","U"),"Ü","U")))</f>
        <v>DIRECCION NACIONAL LEGAL DE ORGANIZACIONES DE LA ECONOMIA POPULAR Y SOLIDARIA</v>
      </c>
      <c r="F7" s="36" t="str">
        <f aca="false">IF($A7="","",TRIM(SUBSTITUTE(SUBSTITUTE(SUBSTITUTE(SUBSTITUTE(SUBSTITUTE(SUBSTITUTE(UPPER(IFERROR(INDEX('Base de Personas'!$G7:G21,MATCH($A7,'Base de Personas'!$B7:B21,0)),IFERROR(INDEX($F$5:F6,MATCH($A7,$A$5:A6,0)),""))),"Á","A"),"É","E"),"Í","I"),"Ó","O"),"Ú","U"),"Ü","U")))</f>
        <v>ANALISTA JURIDICO 2 DE LA EPS</v>
      </c>
      <c r="G7" s="37" t="str">
        <f aca="false">IF($A7="","",TRIM(SUBSTITUTE(SUBSTITUTE(SUBSTITUTE(SUBSTITUTE(SUBSTITUTE(SUBSTITUTE(UPPER(IFERROR(INDEX('Base de Personas'!$H7:H21,MATCH($A7,'Base de Personas'!$B7:B21,0)),IFERROR(INDEX($G$5:G6,MATCH($A7,$A$5:A6,0)),""))),"Á","A"),"É","E"),"Í","I"),"Ó","O"),"Ú","U"),"Ü","U")))</f>
        <v>SERVIDOR PUBLICO 7</v>
      </c>
      <c r="H7" s="38" t="n">
        <f aca="false">IF($A7="","",IFERROR(INDEX('Base de Personas'!$I$7:$I$21,MATCH($A7,'Base de Personas'!$B$7:$B$21,0)),IFERROR(INDEX($H$5:H6,MATCH($A7,$A$5:A6,0)),"")))</f>
        <v>1676</v>
      </c>
      <c r="I7" s="39" t="s">
        <v>133</v>
      </c>
      <c r="J7" s="40" t="n">
        <v>45366</v>
      </c>
      <c r="K7" s="40" t="n">
        <v>45730</v>
      </c>
      <c r="L7" s="39"/>
      <c r="M7" s="41" t="n">
        <f aca="false">IF($A7="","",IF(K7=_xlfn.MAXIFS($K$5:$K$304,$A$5:$A$304,$A7),1,0))</f>
        <v>0</v>
      </c>
      <c r="N7" s="41" t="str">
        <f aca="false">IF($A7="","",IF(M7=1,$A7&amp;"-ACT",""))</f>
        <v/>
      </c>
      <c r="O7" s="41" t="n">
        <f aca="false">IF($A7="","",IF(AND(COUNTIF('Base de Personas'!$B$7:$B$21,$A7)=0,COUNTIF($A$5:A7,$A7)=1),1,0))</f>
        <v>0</v>
      </c>
      <c r="P7" s="41" t="str">
        <f aca="false">IF(O7=1,SUM($O$5:O7),"")</f>
        <v/>
      </c>
    </row>
    <row r="8" customFormat="false" ht="57.45" hidden="false" customHeight="false" outlineLevel="0" collapsed="false">
      <c r="A8" s="35" t="s">
        <v>48</v>
      </c>
      <c r="B8" s="36" t="str">
        <f aca="false">IF($A8="","",TRIM(SUBSTITUTE(SUBSTITUTE(SUBSTITUTE(SUBSTITUTE(SUBSTITUTE(SUBSTITUTE(UPPER(IFERROR(INDEX('Base de Personas'!$C7:C21,MATCH($A8,'Base de Personas'!$B7:B21,0)),IFERROR(INDEX($B$5:B7,MATCH($A8,$A$5:A7,0)),""))),"Á","A"),"É","E"),"Í","I"),"Ó","O"),"Ú","U"),"Ü","U")))</f>
        <v>DUQUE VINUEZA GIOVANNY XAVIER</v>
      </c>
      <c r="C8" s="37" t="str">
        <f aca="false">IF($A8="","",TRIM(SUBSTITUTE(SUBSTITUTE(SUBSTITUTE(SUBSTITUTE(SUBSTITUTE(SUBSTITUTE(UPPER(IFERROR(INDEX('Base de Personas'!$D7:D21,MATCH($A8,'Base de Personas'!$B7:B21,0)),IFERROR(INDEX($C$5:C7,MATCH($A8,$A$5:A7,0)),""))),"Á","A"),"É","E"),"Í","I"),"Ó","O"),"Ú","U"),"Ü","U")))</f>
        <v>QUITO</v>
      </c>
      <c r="D8" s="36" t="str">
        <f aca="false">IF($A8="","",TRIM(SUBSTITUTE(SUBSTITUTE(SUBSTITUTE(SUBSTITUTE(SUBSTITUTE(SUBSTITUTE(UPPER(IFERROR(INDEX('Base de Personas'!$E7:E21,MATCH($A8,'Base de Personas'!$B7:B21,0)),IFERROR(INDEX($D$5:D7,MATCH($A8,$A$5:A7,0)),""))),"Á","A"),"É","E"),"Í","I"),"Ó","O"),"Ú","U"),"Ü","U")))</f>
        <v>INTENDENTE NACIONAL DE SUPERVISION A ORGANIZACIONES DE LA ECONOMIA POPULAR Y SOLIDARIA</v>
      </c>
      <c r="E8" s="36" t="str">
        <f aca="false">IF($A8="","",TRIM(SUBSTITUTE(SUBSTITUTE(SUBSTITUTE(SUBSTITUTE(SUBSTITUTE(SUBSTITUTE(UPPER(IFERROR(INDEX('Base de Personas'!$F7:F21,MATCH($A8,'Base de Personas'!$B7:B21,0)),IFERROR(INDEX($E$5:E7,MATCH($A8,$A$5:A7,0)),""))),"Á","A"),"É","E"),"Í","I"),"Ó","O"),"Ú","U"),"Ü","U")))</f>
        <v>DIRECCION NACIONAL LEGAL DE ORGANIZACIONES DE LA ECONOMIA POPULAR Y SOLIDARIA</v>
      </c>
      <c r="F8" s="36" t="str">
        <f aca="false">IF($A8="","",TRIM(SUBSTITUTE(SUBSTITUTE(SUBSTITUTE(SUBSTITUTE(SUBSTITUTE(SUBSTITUTE(UPPER(IFERROR(INDEX('Base de Personas'!$G7:G21,MATCH($A8,'Base de Personas'!$B7:B21,0)),IFERROR(INDEX($F$5:F7,MATCH($A8,$A$5:A7,0)),""))),"Á","A"),"É","E"),"Í","I"),"Ó","O"),"Ú","U"),"Ü","U")))</f>
        <v>ANALISTA JURIDICO 2 DE LA EPS</v>
      </c>
      <c r="G8" s="37" t="str">
        <f aca="false">IF($A8="","",TRIM(SUBSTITUTE(SUBSTITUTE(SUBSTITUTE(SUBSTITUTE(SUBSTITUTE(SUBSTITUTE(UPPER(IFERROR(INDEX('Base de Personas'!$H7:H21,MATCH($A8,'Base de Personas'!$B7:B21,0)),IFERROR(INDEX($G$5:G7,MATCH($A8,$A$5:A7,0)),""))),"Á","A"),"É","E"),"Í","I"),"Ó","O"),"Ú","U"),"Ü","U")))</f>
        <v>SERVIDOR PUBLICO 7</v>
      </c>
      <c r="H8" s="38" t="n">
        <f aca="false">IF($A8="","",IFERROR(INDEX('Base de Personas'!$I$7:$I$21,MATCH($A8,'Base de Personas'!$B$7:$B$21,0)),IFERROR(INDEX($H$5:H7,MATCH($A8,$A$5:A7,0)),"")))</f>
        <v>1676</v>
      </c>
      <c r="I8" s="39" t="s">
        <v>133</v>
      </c>
      <c r="J8" s="40" t="n">
        <v>45731</v>
      </c>
      <c r="K8" s="40" t="n">
        <v>46460</v>
      </c>
      <c r="L8" s="39" t="s">
        <v>156</v>
      </c>
      <c r="M8" s="41" t="n">
        <f aca="false">IF($A8="","",IF(K8=_xlfn.MAXIFS($K$5:$K$304,$A$5:$A$304,$A8),1,0))</f>
        <v>1</v>
      </c>
      <c r="N8" s="41" t="str">
        <f aca="false">IF($A8="","",IF(M8=1,$A8&amp;"-ACT",""))</f>
        <v>1713260295-ACT</v>
      </c>
      <c r="O8" s="41" t="n">
        <f aca="false">IF($A8="","",IF(AND(COUNTIF('Base de Personas'!$B$7:$B$21,$A8)=0,COUNTIF($A$5:A8,$A8)=1),1,0))</f>
        <v>0</v>
      </c>
      <c r="P8" s="41" t="str">
        <f aca="false">IF(O8=1,SUM($O$5:O8),"")</f>
        <v/>
      </c>
    </row>
    <row r="9" customFormat="false" ht="35.05" hidden="false" customHeight="false" outlineLevel="0" collapsed="false">
      <c r="A9" s="35" t="s">
        <v>56</v>
      </c>
      <c r="B9" s="36" t="str">
        <f aca="false">IF($A9="","",TRIM(SUBSTITUTE(SUBSTITUTE(SUBSTITUTE(SUBSTITUTE(SUBSTITUTE(SUBSTITUTE(UPPER(IFERROR(INDEX('Base de Personas'!$C7:C21,MATCH($A9,'Base de Personas'!$B7:B21,0)),IFERROR(INDEX($B$5:B8,MATCH($A9,$A$5:A8,0)),""))),"Á","A"),"É","E"),"Í","I"),"Ó","O"),"Ú","U"),"Ü","U")))</f>
        <v>BARAHONA LOPEZ IVAN PATRICIO</v>
      </c>
      <c r="C9" s="37" t="str">
        <f aca="false">IF($A9="","",TRIM(SUBSTITUTE(SUBSTITUTE(SUBSTITUTE(SUBSTITUTE(SUBSTITUTE(SUBSTITUTE(UPPER(IFERROR(INDEX('Base de Personas'!$D7:D21,MATCH($A9,'Base de Personas'!$B7:B21,0)),IFERROR(INDEX($C$5:C8,MATCH($A9,$A$5:A8,0)),""))),"Á","A"),"É","E"),"Í","I"),"Ó","O"),"Ú","U"),"Ü","U")))</f>
        <v>QUITO</v>
      </c>
      <c r="D9" s="36" t="str">
        <f aca="false">IF($A9="","",TRIM(SUBSTITUTE(SUBSTITUTE(SUBSTITUTE(SUBSTITUTE(SUBSTITUTE(SUBSTITUTE(UPPER(IFERROR(INDEX('Base de Personas'!$E7:E21,MATCH($A9,'Base de Personas'!$B7:B21,0)),IFERROR(INDEX($D$5:D8,MATCH($A9,$A$5:A8,0)),""))),"Á","A"),"É","E"),"Í","I"),"Ó","O"),"Ú","U"),"Ü","U")))</f>
        <v>SECRETARIA GENERAL</v>
      </c>
      <c r="E9" s="36" t="str">
        <f aca="false">IF($A9="","",TRIM(SUBSTITUTE(SUBSTITUTE(SUBSTITUTE(SUBSTITUTE(SUBSTITUTE(SUBSTITUTE(UPPER(IFERROR(INDEX('Base de Personas'!$F7:F21,MATCH($A9,'Base de Personas'!$B7:B21,0)),IFERROR(INDEX($E$5:E8,MATCH($A9,$A$5:A8,0)),""))),"Á","A"),"É","E"),"Í","I"),"Ó","O"),"Ú","U"),"Ü","U")))</f>
        <v>DIRECCION NACIONAL DE GESTION DOCUMENTAL Y ARCHIVO</v>
      </c>
      <c r="F9" s="36" t="str">
        <f aca="false">IF($A9="","",TRIM(SUBSTITUTE(SUBSTITUTE(SUBSTITUTE(SUBSTITUTE(SUBSTITUTE(SUBSTITUTE(UPPER(IFERROR(INDEX('Base de Personas'!$G7:G21,MATCH($A9,'Base de Personas'!$B7:B21,0)),IFERROR(INDEX($F$5:F8,MATCH($A9,$A$5:A8,0)),""))),"Á","A"),"É","E"),"Í","I"),"Ó","O"),"Ú","U"),"Ü","U")))</f>
        <v>ASISTENTE TECNICO DE GESTION DOCUMENTAL</v>
      </c>
      <c r="G9" s="37" t="str">
        <f aca="false">IF($A9="","",TRIM(SUBSTITUTE(SUBSTITUTE(SUBSTITUTE(SUBSTITUTE(SUBSTITUTE(SUBSTITUTE(UPPER(IFERROR(INDEX('Base de Personas'!$H7:H21,MATCH($A9,'Base de Personas'!$B7:B21,0)),IFERROR(INDEX($G$5:G8,MATCH($A9,$A$5:A8,0)),""))),"Á","A"),"É","E"),"Í","I"),"Ó","O"),"Ú","U"),"Ü","U")))</f>
        <v>SERVIDOR PUBLICO 1</v>
      </c>
      <c r="H9" s="38" t="n">
        <f aca="false">IF($A9="","",IFERROR(INDEX('Base de Personas'!$I$7:$I$21,MATCH($A9,'Base de Personas'!$B$7:$B$21,0)),IFERROR(INDEX($H$5:H8,MATCH($A9,$A$5:A8,0)),"")))</f>
        <v>817</v>
      </c>
      <c r="I9" s="39" t="s">
        <v>133</v>
      </c>
      <c r="J9" s="40" t="n">
        <v>44697</v>
      </c>
      <c r="K9" s="40" t="n">
        <v>45062</v>
      </c>
      <c r="L9" s="39"/>
      <c r="M9" s="41" t="n">
        <f aca="false">IF($A9="","",IF(K9=_xlfn.MAXIFS($K$5:$K$304,$A$5:$A$304,$A9),1,0))</f>
        <v>0</v>
      </c>
      <c r="N9" s="41" t="str">
        <f aca="false">IF($A9="","",IF(M9=1,$A9&amp;"-ACT",""))</f>
        <v/>
      </c>
      <c r="O9" s="41" t="n">
        <f aca="false">IF($A9="","",IF(AND(COUNTIF('Base de Personas'!$B$7:$B$21,$A9)=0,COUNTIF($A$5:A9,$A9)=1),1,0))</f>
        <v>0</v>
      </c>
      <c r="P9" s="41" t="str">
        <f aca="false">IF(O9=1,SUM($O$5:O9),"")</f>
        <v/>
      </c>
    </row>
    <row r="10" customFormat="false" ht="35.05" hidden="false" customHeight="false" outlineLevel="0" collapsed="false">
      <c r="A10" s="35" t="s">
        <v>56</v>
      </c>
      <c r="B10" s="36" t="str">
        <f aca="false">IF($A10="","",TRIM(SUBSTITUTE(SUBSTITUTE(SUBSTITUTE(SUBSTITUTE(SUBSTITUTE(SUBSTITUTE(UPPER(IFERROR(INDEX('Base de Personas'!$C7:C21,MATCH($A10,'Base de Personas'!$B7:B21,0)),IFERROR(INDEX($B$5:B9,MATCH($A10,$A$5:A9,0)),""))),"Á","A"),"É","E"),"Í","I"),"Ó","O"),"Ú","U"),"Ü","U")))</f>
        <v>BARAHONA LOPEZ IVAN PATRICIO</v>
      </c>
      <c r="C10" s="37" t="str">
        <f aca="false">IF($A10="","",TRIM(SUBSTITUTE(SUBSTITUTE(SUBSTITUTE(SUBSTITUTE(SUBSTITUTE(SUBSTITUTE(UPPER(IFERROR(INDEX('Base de Personas'!$D7:D21,MATCH($A10,'Base de Personas'!$B7:B21,0)),IFERROR(INDEX($C$5:C9,MATCH($A10,$A$5:A9,0)),""))),"Á","A"),"É","E"),"Í","I"),"Ó","O"),"Ú","U"),"Ü","U")))</f>
        <v>QUITO</v>
      </c>
      <c r="D10" s="36" t="str">
        <f aca="false">IF($A10="","",TRIM(SUBSTITUTE(SUBSTITUTE(SUBSTITUTE(SUBSTITUTE(SUBSTITUTE(SUBSTITUTE(UPPER(IFERROR(INDEX('Base de Personas'!$E7:E21,MATCH($A10,'Base de Personas'!$B7:B21,0)),IFERROR(INDEX($D$5:D9,MATCH($A10,$A$5:A9,0)),""))),"Á","A"),"É","E"),"Í","I"),"Ó","O"),"Ú","U"),"Ü","U")))</f>
        <v>SECRETARIA GENERAL</v>
      </c>
      <c r="E10" s="36" t="str">
        <f aca="false">IF($A10="","",TRIM(SUBSTITUTE(SUBSTITUTE(SUBSTITUTE(SUBSTITUTE(SUBSTITUTE(SUBSTITUTE(UPPER(IFERROR(INDEX('Base de Personas'!$F7:F21,MATCH($A10,'Base de Personas'!$B7:B21,0)),IFERROR(INDEX($E$5:E9,MATCH($A10,$A$5:A9,0)),""))),"Á","A"),"É","E"),"Í","I"),"Ó","O"),"Ú","U"),"Ü","U")))</f>
        <v>DIRECCION NACIONAL DE GESTION DOCUMENTAL Y ARCHIVO</v>
      </c>
      <c r="F10" s="36" t="str">
        <f aca="false">IF($A10="","",TRIM(SUBSTITUTE(SUBSTITUTE(SUBSTITUTE(SUBSTITUTE(SUBSTITUTE(SUBSTITUTE(UPPER(IFERROR(INDEX('Base de Personas'!$G7:G21,MATCH($A10,'Base de Personas'!$B7:B21,0)),IFERROR(INDEX($F$5:F9,MATCH($A10,$A$5:A9,0)),""))),"Á","A"),"É","E"),"Í","I"),"Ó","O"),"Ú","U"),"Ü","U")))</f>
        <v>ASISTENTE TECNICO DE GESTION DOCUMENTAL</v>
      </c>
      <c r="G10" s="37" t="str">
        <f aca="false">IF($A10="","",TRIM(SUBSTITUTE(SUBSTITUTE(SUBSTITUTE(SUBSTITUTE(SUBSTITUTE(SUBSTITUTE(UPPER(IFERROR(INDEX('Base de Personas'!$H7:H21,MATCH($A10,'Base de Personas'!$B7:B21,0)),IFERROR(INDEX($G$5:G9,MATCH($A10,$A$5:A9,0)),""))),"Á","A"),"É","E"),"Í","I"),"Ó","O"),"Ú","U"),"Ü","U")))</f>
        <v>SERVIDOR PUBLICO 1</v>
      </c>
      <c r="H10" s="38" t="n">
        <f aca="false">IF($A10="","",IFERROR(INDEX('Base de Personas'!$I$7:$I$21,MATCH($A10,'Base de Personas'!$B$7:$B$21,0)),IFERROR(INDEX($H$5:H9,MATCH($A10,$A$5:A9,0)),"")))</f>
        <v>817</v>
      </c>
      <c r="I10" s="39" t="s">
        <v>133</v>
      </c>
      <c r="J10" s="40" t="n">
        <v>45062</v>
      </c>
      <c r="K10" s="40" t="n">
        <v>45427</v>
      </c>
      <c r="L10" s="39"/>
      <c r="M10" s="41" t="n">
        <f aca="false">IF($A10="","",IF(K10=_xlfn.MAXIFS($K$5:$K$304,$A$5:$A$304,$A10),1,0))</f>
        <v>0</v>
      </c>
      <c r="N10" s="41" t="str">
        <f aca="false">IF($A10="","",IF(M10=1,$A10&amp;"-ACT",""))</f>
        <v/>
      </c>
      <c r="O10" s="41" t="n">
        <f aca="false">IF($A10="","",IF(AND(COUNTIF('Base de Personas'!$B$7:$B$21,$A10)=0,COUNTIF($A$5:A10,$A10)=1),1,0))</f>
        <v>0</v>
      </c>
      <c r="P10" s="41" t="str">
        <f aca="false">IF(O10=1,SUM($O$5:O10),"")</f>
        <v/>
      </c>
    </row>
    <row r="11" customFormat="false" ht="35.05" hidden="false" customHeight="false" outlineLevel="0" collapsed="false">
      <c r="A11" s="35" t="s">
        <v>56</v>
      </c>
      <c r="B11" s="36" t="str">
        <f aca="false">IF($A11="","",TRIM(SUBSTITUTE(SUBSTITUTE(SUBSTITUTE(SUBSTITUTE(SUBSTITUTE(SUBSTITUTE(UPPER(IFERROR(INDEX('Base de Personas'!$C7:C21,MATCH($A11,'Base de Personas'!$B7:B21,0)),IFERROR(INDEX($B$5:B10,MATCH($A11,$A$5:A10,0)),""))),"Á","A"),"É","E"),"Í","I"),"Ó","O"),"Ú","U"),"Ü","U")))</f>
        <v>BARAHONA LOPEZ IVAN PATRICIO</v>
      </c>
      <c r="C11" s="37" t="str">
        <f aca="false">IF($A11="","",TRIM(SUBSTITUTE(SUBSTITUTE(SUBSTITUTE(SUBSTITUTE(SUBSTITUTE(SUBSTITUTE(UPPER(IFERROR(INDEX('Base de Personas'!$D7:D21,MATCH($A11,'Base de Personas'!$B7:B21,0)),IFERROR(INDEX($C$5:C10,MATCH($A11,$A$5:A10,0)),""))),"Á","A"),"É","E"),"Í","I"),"Ó","O"),"Ú","U"),"Ü","U")))</f>
        <v>QUITO</v>
      </c>
      <c r="D11" s="36" t="str">
        <f aca="false">IF($A11="","",TRIM(SUBSTITUTE(SUBSTITUTE(SUBSTITUTE(SUBSTITUTE(SUBSTITUTE(SUBSTITUTE(UPPER(IFERROR(INDEX('Base de Personas'!$E7:E21,MATCH($A11,'Base de Personas'!$B7:B21,0)),IFERROR(INDEX($D$5:D10,MATCH($A11,$A$5:A10,0)),""))),"Á","A"),"É","E"),"Í","I"),"Ó","O"),"Ú","U"),"Ü","U")))</f>
        <v>SECRETARIA GENERAL</v>
      </c>
      <c r="E11" s="36" t="str">
        <f aca="false">IF($A11="","",TRIM(SUBSTITUTE(SUBSTITUTE(SUBSTITUTE(SUBSTITUTE(SUBSTITUTE(SUBSTITUTE(UPPER(IFERROR(INDEX('Base de Personas'!$F7:F21,MATCH($A11,'Base de Personas'!$B7:B21,0)),IFERROR(INDEX($E$5:E10,MATCH($A11,$A$5:A10,0)),""))),"Á","A"),"É","E"),"Í","I"),"Ó","O"),"Ú","U"),"Ü","U")))</f>
        <v>DIRECCION NACIONAL DE GESTION DOCUMENTAL Y ARCHIVO</v>
      </c>
      <c r="F11" s="36" t="str">
        <f aca="false">IF($A11="","",TRIM(SUBSTITUTE(SUBSTITUTE(SUBSTITUTE(SUBSTITUTE(SUBSTITUTE(SUBSTITUTE(UPPER(IFERROR(INDEX('Base de Personas'!$G7:G21,MATCH($A11,'Base de Personas'!$B7:B21,0)),IFERROR(INDEX($F$5:F10,MATCH($A11,$A$5:A10,0)),""))),"Á","A"),"É","E"),"Í","I"),"Ó","O"),"Ú","U"),"Ü","U")))</f>
        <v>ASISTENTE TECNICO DE GESTION DOCUMENTAL</v>
      </c>
      <c r="G11" s="37" t="str">
        <f aca="false">IF($A11="","",TRIM(SUBSTITUTE(SUBSTITUTE(SUBSTITUTE(SUBSTITUTE(SUBSTITUTE(SUBSTITUTE(UPPER(IFERROR(INDEX('Base de Personas'!$H7:H21,MATCH($A11,'Base de Personas'!$B7:B21,0)),IFERROR(INDEX($G$5:G10,MATCH($A11,$A$5:A10,0)),""))),"Á","A"),"É","E"),"Í","I"),"Ó","O"),"Ú","U"),"Ü","U")))</f>
        <v>SERVIDOR PUBLICO 1</v>
      </c>
      <c r="H11" s="38" t="n">
        <f aca="false">IF($A11="","",IFERROR(INDEX('Base de Personas'!$I$7:$I$21,MATCH($A11,'Base de Personas'!$B$7:$B$21,0)),IFERROR(INDEX($H$5:H10,MATCH($A11,$A$5:A10,0)),"")))</f>
        <v>817</v>
      </c>
      <c r="I11" s="39" t="s">
        <v>133</v>
      </c>
      <c r="J11" s="40" t="n">
        <v>45428</v>
      </c>
      <c r="K11" s="40" t="n">
        <v>45792</v>
      </c>
      <c r="L11" s="39"/>
      <c r="M11" s="41" t="n">
        <f aca="false">IF($A11="","",IF(K11=_xlfn.MAXIFS($K$5:$K$304,$A$5:$A$304,$A11),1,0))</f>
        <v>0</v>
      </c>
      <c r="N11" s="41" t="str">
        <f aca="false">IF($A11="","",IF(M11=1,$A11&amp;"-ACT",""))</f>
        <v/>
      </c>
      <c r="O11" s="41" t="n">
        <f aca="false">IF($A11="","",IF(AND(COUNTIF('Base de Personas'!$B$7:$B$21,$A11)=0,COUNTIF($A$5:A11,$A11)=1),1,0))</f>
        <v>0</v>
      </c>
      <c r="P11" s="41" t="str">
        <f aca="false">IF(O11=1,SUM($O$5:O11),"")</f>
        <v/>
      </c>
    </row>
    <row r="12" customFormat="false" ht="35.05" hidden="false" customHeight="false" outlineLevel="0" collapsed="false">
      <c r="A12" s="35" t="s">
        <v>56</v>
      </c>
      <c r="B12" s="36" t="str">
        <f aca="false">IF($A12="","",TRIM(SUBSTITUTE(SUBSTITUTE(SUBSTITUTE(SUBSTITUTE(SUBSTITUTE(SUBSTITUTE(UPPER(IFERROR(INDEX('Base de Personas'!$C7:C21,MATCH($A12,'Base de Personas'!$B7:B21,0)),IFERROR(INDEX($B$5:B11,MATCH($A12,$A$5:A11,0)),""))),"Á","A"),"É","E"),"Í","I"),"Ó","O"),"Ú","U"),"Ü","U")))</f>
        <v>BARAHONA LOPEZ IVAN PATRICIO</v>
      </c>
      <c r="C12" s="37" t="str">
        <f aca="false">IF($A12="","",TRIM(SUBSTITUTE(SUBSTITUTE(SUBSTITUTE(SUBSTITUTE(SUBSTITUTE(SUBSTITUTE(UPPER(IFERROR(INDEX('Base de Personas'!$D7:D21,MATCH($A12,'Base de Personas'!$B7:B21,0)),IFERROR(INDEX($C$5:C11,MATCH($A12,$A$5:A11,0)),""))),"Á","A"),"É","E"),"Í","I"),"Ó","O"),"Ú","U"),"Ü","U")))</f>
        <v>QUITO</v>
      </c>
      <c r="D12" s="36" t="str">
        <f aca="false">IF($A12="","",TRIM(SUBSTITUTE(SUBSTITUTE(SUBSTITUTE(SUBSTITUTE(SUBSTITUTE(SUBSTITUTE(UPPER(IFERROR(INDEX('Base de Personas'!$E7:E21,MATCH($A12,'Base de Personas'!$B7:B21,0)),IFERROR(INDEX($D$5:D11,MATCH($A12,$A$5:A11,0)),""))),"Á","A"),"É","E"),"Í","I"),"Ó","O"),"Ú","U"),"Ü","U")))</f>
        <v>SECRETARIA GENERAL</v>
      </c>
      <c r="E12" s="36" t="str">
        <f aca="false">IF($A12="","",TRIM(SUBSTITUTE(SUBSTITUTE(SUBSTITUTE(SUBSTITUTE(SUBSTITUTE(SUBSTITUTE(UPPER(IFERROR(INDEX('Base de Personas'!$F7:F21,MATCH($A12,'Base de Personas'!$B7:B21,0)),IFERROR(INDEX($E$5:E11,MATCH($A12,$A$5:A11,0)),""))),"Á","A"),"É","E"),"Í","I"),"Ó","O"),"Ú","U"),"Ü","U")))</f>
        <v>DIRECCION NACIONAL DE GESTION DOCUMENTAL Y ARCHIVO</v>
      </c>
      <c r="F12" s="36" t="str">
        <f aca="false">IF($A12="","",TRIM(SUBSTITUTE(SUBSTITUTE(SUBSTITUTE(SUBSTITUTE(SUBSTITUTE(SUBSTITUTE(UPPER(IFERROR(INDEX('Base de Personas'!$G7:G21,MATCH($A12,'Base de Personas'!$B7:B21,0)),IFERROR(INDEX($F$5:F11,MATCH($A12,$A$5:A11,0)),""))),"Á","A"),"É","E"),"Í","I"),"Ó","O"),"Ú","U"),"Ü","U")))</f>
        <v>ASISTENTE TECNICO DE GESTION DOCUMENTAL</v>
      </c>
      <c r="G12" s="37" t="str">
        <f aca="false">IF($A12="","",TRIM(SUBSTITUTE(SUBSTITUTE(SUBSTITUTE(SUBSTITUTE(SUBSTITUTE(SUBSTITUTE(UPPER(IFERROR(INDEX('Base de Personas'!$H7:H21,MATCH($A12,'Base de Personas'!$B7:B21,0)),IFERROR(INDEX($G$5:G11,MATCH($A12,$A$5:A11,0)),""))),"Á","A"),"É","E"),"Í","I"),"Ó","O"),"Ú","U"),"Ü","U")))</f>
        <v>SERVIDOR PUBLICO 1</v>
      </c>
      <c r="H12" s="38" t="n">
        <f aca="false">IF($A12="","",IFERROR(INDEX('Base de Personas'!$I$7:$I$21,MATCH($A12,'Base de Personas'!$B$7:$B$21,0)),IFERROR(INDEX($H$5:H11,MATCH($A12,$A$5:A11,0)),"")))</f>
        <v>817</v>
      </c>
      <c r="I12" s="39" t="s">
        <v>133</v>
      </c>
      <c r="J12" s="40" t="n">
        <v>45793</v>
      </c>
      <c r="K12" s="40" t="n">
        <v>46522</v>
      </c>
      <c r="L12" s="39" t="s">
        <v>157</v>
      </c>
      <c r="M12" s="41" t="n">
        <f aca="false">IF($A12="","",IF(K12=_xlfn.MAXIFS($K$5:$K$304,$A$5:$A$304,$A12),1,0))</f>
        <v>1</v>
      </c>
      <c r="N12" s="41" t="str">
        <f aca="false">IF($A12="","",IF(M12=1,$A12&amp;"-ACT",""))</f>
        <v>1722632476-ACT</v>
      </c>
      <c r="O12" s="41" t="n">
        <f aca="false">IF($A12="","",IF(AND(COUNTIF('Base de Personas'!$B$7:$B$21,$A12)=0,COUNTIF($A$5:A12,$A12)=1),1,0))</f>
        <v>0</v>
      </c>
      <c r="P12" s="41" t="str">
        <f aca="false">IF(O12=1,SUM($O$5:O12),"")</f>
        <v/>
      </c>
    </row>
    <row r="13" customFormat="false" ht="35.05" hidden="false" customHeight="false" outlineLevel="0" collapsed="false">
      <c r="A13" s="35" t="s">
        <v>63</v>
      </c>
      <c r="B13" s="36" t="str">
        <f aca="false">IF($A13="","",TRIM(SUBSTITUTE(SUBSTITUTE(SUBSTITUTE(SUBSTITUTE(SUBSTITUTE(SUBSTITUTE(UPPER(IFERROR(INDEX('Base de Personas'!$C7:C21,MATCH($A13,'Base de Personas'!$B7:B21,0)),IFERROR(INDEX($B$5:B12,MATCH($A13,$A$5:A12,0)),""))),"Á","A"),"É","E"),"Í","I"),"Ó","O"),"Ú","U"),"Ü","U")))</f>
        <v>TAPIA FLORES GARDENIA CECIBEL</v>
      </c>
      <c r="C13" s="37" t="str">
        <f aca="false">IF($A13="","",TRIM(SUBSTITUTE(SUBSTITUTE(SUBSTITUTE(SUBSTITUTE(SUBSTITUTE(SUBSTITUTE(UPPER(IFERROR(INDEX('Base de Personas'!$D7:D21,MATCH($A13,'Base de Personas'!$B7:B21,0)),IFERROR(INDEX($C$5:C12,MATCH($A13,$A$5:A12,0)),""))),"Á","A"),"É","E"),"Í","I"),"Ó","O"),"Ú","U"),"Ü","U")))</f>
        <v>CUENCA</v>
      </c>
      <c r="D13" s="36" t="str">
        <f aca="false">IF($A13="","",TRIM(SUBSTITUTE(SUBSTITUTE(SUBSTITUTE(SUBSTITUTE(SUBSTITUTE(SUBSTITUTE(UPPER(IFERROR(INDEX('Base de Personas'!$E7:E21,MATCH($A13,'Base de Personas'!$B7:B21,0)),IFERROR(INDEX($D$5:D12,MATCH($A13,$A$5:A12,0)),""))),"Á","A"),"É","E"),"Í","I"),"Ó","O"),"Ú","U"),"Ü","U")))</f>
        <v>DIRECCION ZONAL 5</v>
      </c>
      <c r="E13" s="36" t="str">
        <f aca="false">IF($A13="","",TRIM(SUBSTITUTE(SUBSTITUTE(SUBSTITUTE(SUBSTITUTE(SUBSTITUTE(SUBSTITUTE(UPPER(IFERROR(INDEX('Base de Personas'!$F7:F21,MATCH($A13,'Base de Personas'!$B7:B21,0)),IFERROR(INDEX($E$5:E12,MATCH($A13,$A$5:A12,0)),""))),"Á","A"),"É","E"),"Í","I"),"Ó","O"),"Ú","U"),"Ü","U")))</f>
        <v>UNIDAD DE SERVICIOS</v>
      </c>
      <c r="F13" s="36" t="str">
        <f aca="false">IF($A13="","",TRIM(SUBSTITUTE(SUBSTITUTE(SUBSTITUTE(SUBSTITUTE(SUBSTITUTE(SUBSTITUTE(UPPER(IFERROR(INDEX('Base de Personas'!$G7:G21,MATCH($A13,'Base de Personas'!$B7:B21,0)),IFERROR(INDEX($F$5:F12,MATCH($A13,$A$5:A12,0)),""))),"Á","A"),"É","E"),"Í","I"),"Ó","O"),"Ú","U"),"Ü","U")))</f>
        <v>ASISTENTE DE GESTION DOCUMENTAL ZONAL</v>
      </c>
      <c r="G13" s="37" t="str">
        <f aca="false">IF($A13="","",TRIM(SUBSTITUTE(SUBSTITUTE(SUBSTITUTE(SUBSTITUTE(SUBSTITUTE(SUBSTITUTE(UPPER(IFERROR(INDEX('Base de Personas'!$H7:H21,MATCH($A13,'Base de Personas'!$B7:B21,0)),IFERROR(INDEX($G$5:G12,MATCH($A13,$A$5:A12,0)),""))),"Á","A"),"É","E"),"Í","I"),"Ó","O"),"Ú","U"),"Ü","U")))</f>
        <v>SERVIDOR PUBLICO 1</v>
      </c>
      <c r="H13" s="38" t="n">
        <f aca="false">IF($A13="","",IFERROR(INDEX('Base de Personas'!$I$7:$I$21,MATCH($A13,'Base de Personas'!$B$7:$B$21,0)),IFERROR(INDEX($H$5:H12,MATCH($A13,$A$5:A12,0)),"")))</f>
        <v>817</v>
      </c>
      <c r="I13" s="39" t="s">
        <v>134</v>
      </c>
      <c r="J13" s="40" t="n">
        <v>45075</v>
      </c>
      <c r="K13" s="40" t="n">
        <v>46535</v>
      </c>
      <c r="L13" s="39" t="s">
        <v>158</v>
      </c>
      <c r="M13" s="41" t="n">
        <f aca="false">IF($A13="","",IF(K13=_xlfn.MAXIFS($K$5:$K$304,$A$5:$A$304,$A13),1,0))</f>
        <v>1</v>
      </c>
      <c r="N13" s="41" t="str">
        <f aca="false">IF($A13="","",IF(M13=1,$A13&amp;"-ACT",""))</f>
        <v>1721533576-ACT</v>
      </c>
      <c r="O13" s="41" t="n">
        <f aca="false">IF($A13="","",IF(AND(COUNTIF('Base de Personas'!$B$7:$B$21,$A13)=0,COUNTIF($A$5:A13,$A13)=1),1,0))</f>
        <v>0</v>
      </c>
      <c r="P13" s="41" t="str">
        <f aca="false">IF(O13=1,SUM($O$5:O13),"")</f>
        <v/>
      </c>
    </row>
    <row r="14" customFormat="false" ht="46.25" hidden="false" customHeight="false" outlineLevel="0" collapsed="false">
      <c r="A14" s="35" t="s">
        <v>70</v>
      </c>
      <c r="B14" s="36" t="str">
        <f aca="false">IF($A14="","",TRIM(SUBSTITUTE(SUBSTITUTE(SUBSTITUTE(SUBSTITUTE(SUBSTITUTE(SUBSTITUTE(UPPER(IFERROR(INDEX('Base de Personas'!$C7:C21,MATCH($A14,'Base de Personas'!$B7:B21,0)),IFERROR(INDEX($B$5:B13,MATCH($A14,$A$5:A13,0)),""))),"Á","A"),"É","E"),"Í","I"),"Ó","O"),"Ú","U"),"Ü","U")))</f>
        <v>SANTAMARIA RUEDA DIEGO MAURICIO</v>
      </c>
      <c r="C14" s="37" t="str">
        <f aca="false">IF($A14="","",TRIM(SUBSTITUTE(SUBSTITUTE(SUBSTITUTE(SUBSTITUTE(SUBSTITUTE(SUBSTITUTE(UPPER(IFERROR(INDEX('Base de Personas'!$D7:D21,MATCH($A14,'Base de Personas'!$B7:B21,0)),IFERROR(INDEX($C$5:C13,MATCH($A14,$A$5:A13,0)),""))),"Á","A"),"É","E"),"Í","I"),"Ó","O"),"Ú","U"),"Ü","U")))</f>
        <v>QUITO</v>
      </c>
      <c r="D14" s="36" t="str">
        <f aca="false">IF($A14="","",TRIM(SUBSTITUTE(SUBSTITUTE(SUBSTITUTE(SUBSTITUTE(SUBSTITUTE(SUBSTITUTE(UPPER(IFERROR(INDEX('Base de Personas'!$E7:E21,MATCH($A14,'Base de Personas'!$B7:B21,0)),IFERROR(INDEX($D$5:D13,MATCH($A14,$A$5:A13,0)),""))),"Á","A"),"É","E"),"Í","I"),"Ó","O"),"Ú","U"),"Ü","U")))</f>
        <v>INTENDENCIA NACIONAL ADMINISTRATIVA FINANCIERA</v>
      </c>
      <c r="E14" s="36" t="str">
        <f aca="false">IF($A14="","",TRIM(SUBSTITUTE(SUBSTITUTE(SUBSTITUTE(SUBSTITUTE(SUBSTITUTE(SUBSTITUTE(UPPER(IFERROR(INDEX('Base de Personas'!$F7:F21,MATCH($A14,'Base de Personas'!$B7:B21,0)),IFERROR(INDEX($E$5:E13,MATCH($A14,$A$5:A13,0)),""))),"Á","A"),"É","E"),"Í","I"),"Ó","O"),"Ú","U"),"Ü","U")))</f>
        <v>DIRECCION NACIONAL FINANCIERA</v>
      </c>
      <c r="F14" s="36" t="str">
        <f aca="false">IF($A14="","",TRIM(SUBSTITUTE(SUBSTITUTE(SUBSTITUTE(SUBSTITUTE(SUBSTITUTE(SUBSTITUTE(UPPER(IFERROR(INDEX('Base de Personas'!$G7:G21,MATCH($A14,'Base de Personas'!$B7:B21,0)),IFERROR(INDEX($F$5:F13,MATCH($A14,$A$5:A13,0)),""))),"Á","A"),"É","E"),"Í","I"),"Ó","O"),"Ú","U"),"Ü","U")))</f>
        <v>ANALISTA DE TESORERIA 1</v>
      </c>
      <c r="G14" s="37" t="str">
        <f aca="false">IF($A14="","",TRIM(SUBSTITUTE(SUBSTITUTE(SUBSTITUTE(SUBSTITUTE(SUBSTITUTE(SUBSTITUTE(UPPER(IFERROR(INDEX('Base de Personas'!$H7:H21,MATCH($A14,'Base de Personas'!$B7:B21,0)),IFERROR(INDEX($G$5:G13,MATCH($A14,$A$5:A13,0)),""))),"Á","A"),"É","E"),"Í","I"),"Ó","O"),"Ú","U"),"Ü","U")))</f>
        <v>SERVIDOR PUBLICO 5</v>
      </c>
      <c r="H14" s="38" t="n">
        <f aca="false">IF($A14="","",IFERROR(INDEX('Base de Personas'!$I$7:$I$21,MATCH($A14,'Base de Personas'!$B$7:$B$21,0)),IFERROR(INDEX($H$5:H13,MATCH($A14,$A$5:A13,0)),"")))</f>
        <v>1212</v>
      </c>
      <c r="I14" s="39" t="s">
        <v>135</v>
      </c>
      <c r="J14" s="40" t="n">
        <v>45096</v>
      </c>
      <c r="K14" s="40" t="n">
        <v>45826</v>
      </c>
      <c r="L14" s="39"/>
      <c r="M14" s="41" t="n">
        <f aca="false">IF($A14="","",IF(K14=_xlfn.MAXIFS($K$5:$K$304,$A$5:$A$304,$A14),1,0))</f>
        <v>0</v>
      </c>
      <c r="N14" s="41" t="str">
        <f aca="false">IF($A14="","",IF(M14=1,$A14&amp;"-ACT",""))</f>
        <v/>
      </c>
      <c r="O14" s="41" t="n">
        <f aca="false">IF($A14="","",IF(AND(COUNTIF('Base de Personas'!$B$7:$B$21,$A14)=0,COUNTIF($A$5:A14,$A14)=1),1,0))</f>
        <v>0</v>
      </c>
      <c r="P14" s="41" t="str">
        <f aca="false">IF(O14=1,SUM($O$5:O14),"")</f>
        <v/>
      </c>
    </row>
    <row r="15" customFormat="false" ht="46.25" hidden="false" customHeight="false" outlineLevel="0" collapsed="false">
      <c r="A15" s="35" t="s">
        <v>70</v>
      </c>
      <c r="B15" s="36" t="str">
        <f aca="false">IF($A15="","",TRIM(SUBSTITUTE(SUBSTITUTE(SUBSTITUTE(SUBSTITUTE(SUBSTITUTE(SUBSTITUTE(UPPER(IFERROR(INDEX('Base de Personas'!$C7:C21,MATCH($A15,'Base de Personas'!$B7:B21,0)),IFERROR(INDEX($B$5:B14,MATCH($A15,$A$5:A14,0)),""))),"Á","A"),"É","E"),"Í","I"),"Ó","O"),"Ú","U"),"Ü","U")))</f>
        <v>SANTAMARIA RUEDA DIEGO MAURICIO</v>
      </c>
      <c r="C15" s="37" t="str">
        <f aca="false">IF($A15="","",TRIM(SUBSTITUTE(SUBSTITUTE(SUBSTITUTE(SUBSTITUTE(SUBSTITUTE(SUBSTITUTE(UPPER(IFERROR(INDEX('Base de Personas'!$D7:D21,MATCH($A15,'Base de Personas'!$B7:B21,0)),IFERROR(INDEX($C$5:C14,MATCH($A15,$A$5:A14,0)),""))),"Á","A"),"É","E"),"Í","I"),"Ó","O"),"Ú","U"),"Ü","U")))</f>
        <v>QUITO</v>
      </c>
      <c r="D15" s="36" t="str">
        <f aca="false">IF($A15="","",TRIM(SUBSTITUTE(SUBSTITUTE(SUBSTITUTE(SUBSTITUTE(SUBSTITUTE(SUBSTITUTE(UPPER(IFERROR(INDEX('Base de Personas'!$E7:E21,MATCH($A15,'Base de Personas'!$B7:B21,0)),IFERROR(INDEX($D$5:D14,MATCH($A15,$A$5:A14,0)),""))),"Á","A"),"É","E"),"Í","I"),"Ó","O"),"Ú","U"),"Ü","U")))</f>
        <v>INTENDENCIA NACIONAL ADMINISTRATIVA FINANCIERA</v>
      </c>
      <c r="E15" s="36" t="str">
        <f aca="false">IF($A15="","",TRIM(SUBSTITUTE(SUBSTITUTE(SUBSTITUTE(SUBSTITUTE(SUBSTITUTE(SUBSTITUTE(UPPER(IFERROR(INDEX('Base de Personas'!$F7:F21,MATCH($A15,'Base de Personas'!$B7:B21,0)),IFERROR(INDEX($E$5:E14,MATCH($A15,$A$5:A14,0)),""))),"Á","A"),"É","E"),"Í","I"),"Ó","O"),"Ú","U"),"Ü","U")))</f>
        <v>DIRECCION NACIONAL FINANCIERA</v>
      </c>
      <c r="F15" s="36" t="str">
        <f aca="false">IF($A15="","",TRIM(SUBSTITUTE(SUBSTITUTE(SUBSTITUTE(SUBSTITUTE(SUBSTITUTE(SUBSTITUTE(UPPER(IFERROR(INDEX('Base de Personas'!$G7:G21,MATCH($A15,'Base de Personas'!$B7:B21,0)),IFERROR(INDEX($F$5:F14,MATCH($A15,$A$5:A14,0)),""))),"Á","A"),"É","E"),"Í","I"),"Ó","O"),"Ú","U"),"Ü","U")))</f>
        <v>ANALISTA DE TESORERIA 1</v>
      </c>
      <c r="G15" s="37" t="str">
        <f aca="false">IF($A15="","",TRIM(SUBSTITUTE(SUBSTITUTE(SUBSTITUTE(SUBSTITUTE(SUBSTITUTE(SUBSTITUTE(UPPER(IFERROR(INDEX('Base de Personas'!$H7:H21,MATCH($A15,'Base de Personas'!$B7:B21,0)),IFERROR(INDEX($G$5:G14,MATCH($A15,$A$5:A14,0)),""))),"Á","A"),"É","E"),"Í","I"),"Ó","O"),"Ú","U"),"Ü","U")))</f>
        <v>SERVIDOR PUBLICO 5</v>
      </c>
      <c r="H15" s="38" t="n">
        <f aca="false">IF($A15="","",IFERROR(INDEX('Base de Personas'!$I$7:$I$21,MATCH($A15,'Base de Personas'!$B$7:$B$21,0)),IFERROR(INDEX($H$5:H14,MATCH($A15,$A$5:A14,0)),"")))</f>
        <v>1212</v>
      </c>
      <c r="I15" s="39" t="s">
        <v>135</v>
      </c>
      <c r="J15" s="40" t="n">
        <v>45827</v>
      </c>
      <c r="K15" s="40" t="n">
        <v>46203</v>
      </c>
      <c r="L15" s="39" t="s">
        <v>159</v>
      </c>
      <c r="M15" s="41" t="n">
        <f aca="false">IF($A15="","",IF(K15=_xlfn.MAXIFS($K$5:$K$304,$A$5:$A$304,$A15),1,0))</f>
        <v>1</v>
      </c>
      <c r="N15" s="41" t="str">
        <f aca="false">IF($A15="","",IF(M15=1,$A15&amp;"-ACT",""))</f>
        <v>1711688190-ACT</v>
      </c>
      <c r="O15" s="41" t="n">
        <f aca="false">IF($A15="","",IF(AND(COUNTIF('Base de Personas'!$B$7:$B$21,$A15)=0,COUNTIF($A$5:A15,$A15)=1),1,0))</f>
        <v>0</v>
      </c>
      <c r="P15" s="41" t="str">
        <f aca="false">IF(O15=1,SUM($O$5:O15),"")</f>
        <v/>
      </c>
    </row>
    <row r="16" customFormat="false" ht="23.85" hidden="false" customHeight="false" outlineLevel="0" collapsed="false">
      <c r="A16" s="35" t="s">
        <v>76</v>
      </c>
      <c r="B16" s="36" t="str">
        <f aca="false">IF($A16="","",TRIM(SUBSTITUTE(SUBSTITUTE(SUBSTITUTE(SUBSTITUTE(SUBSTITUTE(SUBSTITUTE(UPPER(IFERROR(INDEX('Base de Personas'!$C7:C21,MATCH($A16,'Base de Personas'!$B7:B21,0)),IFERROR(INDEX($B$5:B15,MATCH($A16,$A$5:A15,0)),""))),"Á","A"),"É","E"),"Í","I"),"Ó","O"),"Ú","U"),"Ü","U")))</f>
        <v>GUERRERO FLORES LENCY WALKIRIA</v>
      </c>
      <c r="C16" s="37" t="str">
        <f aca="false">IF($A16="","",TRIM(SUBSTITUTE(SUBSTITUTE(SUBSTITUTE(SUBSTITUTE(SUBSTITUTE(SUBSTITUTE(UPPER(IFERROR(INDEX('Base de Personas'!$D7:D21,MATCH($A16,'Base de Personas'!$B7:B21,0)),IFERROR(INDEX($C$5:C15,MATCH($A16,$A$5:A15,0)),""))),"Á","A"),"É","E"),"Í","I"),"Ó","O"),"Ú","U"),"Ü","U")))</f>
        <v>GUAYAQUIL</v>
      </c>
      <c r="D16" s="36" t="str">
        <f aca="false">IF($A16="","",TRIM(SUBSTITUTE(SUBSTITUTE(SUBSTITUTE(SUBSTITUTE(SUBSTITUTE(SUBSTITUTE(UPPER(IFERROR(INDEX('Base de Personas'!$E7:E21,MATCH($A16,'Base de Personas'!$B7:B21,0)),IFERROR(INDEX($D$5:D15,MATCH($A16,$A$5:A15,0)),""))),"Á","A"),"É","E"),"Í","I"),"Ó","O"),"Ú","U"),"Ü","U")))</f>
        <v>DIRECCION ZONAL 5</v>
      </c>
      <c r="E16" s="36" t="str">
        <f aca="false">IF($A16="","",TRIM(SUBSTITUTE(SUBSTITUTE(SUBSTITUTE(SUBSTITUTE(SUBSTITUTE(SUBSTITUTE(UPPER(IFERROR(INDEX('Base de Personas'!$F7:F21,MATCH($A16,'Base de Personas'!$B7:B21,0)),IFERROR(INDEX($E$5:E15,MATCH($A16,$A$5:A15,0)),""))),"Á","A"),"É","E"),"Í","I"),"Ó","O"),"Ú","U"),"Ü","U")))</f>
        <v>UNIDAD DE SERVICIOS</v>
      </c>
      <c r="F16" s="36" t="str">
        <f aca="false">IF($A16="","",TRIM(SUBSTITUTE(SUBSTITUTE(SUBSTITUTE(SUBSTITUTE(SUBSTITUTE(SUBSTITUTE(UPPER(IFERROR(INDEX('Base de Personas'!$G7:G21,MATCH($A16,'Base de Personas'!$B7:B21,0)),IFERROR(INDEX($F$5:F15,MATCH($A16,$A$5:A15,0)),""))),"Á","A"),"É","E"),"Í","I"),"Ó","O"),"Ú","U"),"Ü","U")))</f>
        <v>ANALISTA DE SERVICIO AL CIUDADANO ZONAL</v>
      </c>
      <c r="G16" s="37" t="str">
        <f aca="false">IF($A16="","",TRIM(SUBSTITUTE(SUBSTITUTE(SUBSTITUTE(SUBSTITUTE(SUBSTITUTE(SUBSTITUTE(UPPER(IFERROR(INDEX('Base de Personas'!$H7:H21,MATCH($A16,'Base de Personas'!$B7:B21,0)),IFERROR(INDEX($G$5:G15,MATCH($A16,$A$5:A15,0)),""))),"Á","A"),"É","E"),"Í","I"),"Ó","O"),"Ú","U"),"Ü","U")))</f>
        <v>SERVIDOR PUBLICO 7</v>
      </c>
      <c r="H16" s="38" t="n">
        <f aca="false">IF($A16="","",IFERROR(INDEX('Base de Personas'!$I$7:$I$21,MATCH($A16,'Base de Personas'!$B$7:$B$21,0)),IFERROR(INDEX($H$5:H15,MATCH($A16,$A$5:A15,0)),"")))</f>
        <v>1676</v>
      </c>
      <c r="I16" s="39" t="s">
        <v>136</v>
      </c>
      <c r="J16" s="40" t="n">
        <v>45323</v>
      </c>
      <c r="K16" s="40" t="n">
        <v>46053</v>
      </c>
      <c r="L16" s="39"/>
      <c r="M16" s="41" t="n">
        <f aca="false">IF($A16="","",IF(K16=_xlfn.MAXIFS($K$5:$K$304,$A$5:$A$304,$A16),1,0))</f>
        <v>0</v>
      </c>
      <c r="N16" s="41" t="str">
        <f aca="false">IF($A16="","",IF(M16=1,$A16&amp;"-ACT",""))</f>
        <v/>
      </c>
      <c r="O16" s="41" t="n">
        <f aca="false">IF($A16="","",IF(AND(COUNTIF('Base de Personas'!$B$7:$B$21,$A16)=0,COUNTIF($A$5:A16,$A16)=1),1,0))</f>
        <v>0</v>
      </c>
      <c r="P16" s="41" t="str">
        <f aca="false">IF(O16=1,SUM($O$5:O16),"")</f>
        <v/>
      </c>
    </row>
    <row r="17" customFormat="false" ht="23.85" hidden="false" customHeight="false" outlineLevel="0" collapsed="false">
      <c r="A17" s="35" t="s">
        <v>76</v>
      </c>
      <c r="B17" s="36" t="str">
        <f aca="false">IF($A17="","",TRIM(SUBSTITUTE(SUBSTITUTE(SUBSTITUTE(SUBSTITUTE(SUBSTITUTE(SUBSTITUTE(UPPER(IFERROR(INDEX('Base de Personas'!$C7:C21,MATCH($A17,'Base de Personas'!$B7:B21,0)),IFERROR(INDEX($B$5:B16,MATCH($A17,$A$5:A16,0)),""))),"Á","A"),"É","E"),"Í","I"),"Ó","O"),"Ú","U"),"Ü","U")))</f>
        <v>GUERRERO FLORES LENCY WALKIRIA</v>
      </c>
      <c r="C17" s="37" t="str">
        <f aca="false">IF($A17="","",TRIM(SUBSTITUTE(SUBSTITUTE(SUBSTITUTE(SUBSTITUTE(SUBSTITUTE(SUBSTITUTE(UPPER(IFERROR(INDEX('Base de Personas'!$D7:D21,MATCH($A17,'Base de Personas'!$B7:B21,0)),IFERROR(INDEX($C$5:C16,MATCH($A17,$A$5:A16,0)),""))),"Á","A"),"É","E"),"Í","I"),"Ó","O"),"Ú","U"),"Ü","U")))</f>
        <v>GUAYAQUIL</v>
      </c>
      <c r="D17" s="36" t="str">
        <f aca="false">IF($A17="","",TRIM(SUBSTITUTE(SUBSTITUTE(SUBSTITUTE(SUBSTITUTE(SUBSTITUTE(SUBSTITUTE(UPPER(IFERROR(INDEX('Base de Personas'!$E7:E21,MATCH($A17,'Base de Personas'!$B7:B21,0)),IFERROR(INDEX($D$5:D16,MATCH($A17,$A$5:A16,0)),""))),"Á","A"),"É","E"),"Í","I"),"Ó","O"),"Ú","U"),"Ü","U")))</f>
        <v>DIRECCION ZONAL 5</v>
      </c>
      <c r="E17" s="36" t="str">
        <f aca="false">IF($A17="","",TRIM(SUBSTITUTE(SUBSTITUTE(SUBSTITUTE(SUBSTITUTE(SUBSTITUTE(SUBSTITUTE(UPPER(IFERROR(INDEX('Base de Personas'!$F7:F21,MATCH($A17,'Base de Personas'!$B7:B21,0)),IFERROR(INDEX($E$5:E16,MATCH($A17,$A$5:A16,0)),""))),"Á","A"),"É","E"),"Í","I"),"Ó","O"),"Ú","U"),"Ü","U")))</f>
        <v>UNIDAD DE SERVICIOS</v>
      </c>
      <c r="F17" s="36" t="str">
        <f aca="false">IF($A17="","",TRIM(SUBSTITUTE(SUBSTITUTE(SUBSTITUTE(SUBSTITUTE(SUBSTITUTE(SUBSTITUTE(UPPER(IFERROR(INDEX('Base de Personas'!$G7:G21,MATCH($A17,'Base de Personas'!$B7:B21,0)),IFERROR(INDEX($F$5:F16,MATCH($A17,$A$5:A16,0)),""))),"Á","A"),"É","E"),"Í","I"),"Ó","O"),"Ú","U"),"Ü","U")))</f>
        <v>ANALISTA DE SERVICIO AL CIUDADANO ZONAL</v>
      </c>
      <c r="G17" s="37" t="str">
        <f aca="false">IF($A17="","",TRIM(SUBSTITUTE(SUBSTITUTE(SUBSTITUTE(SUBSTITUTE(SUBSTITUTE(SUBSTITUTE(UPPER(IFERROR(INDEX('Base de Personas'!$H7:H21,MATCH($A17,'Base de Personas'!$B7:B21,0)),IFERROR(INDEX($G$5:G16,MATCH($A17,$A$5:A16,0)),""))),"Á","A"),"É","E"),"Í","I"),"Ó","O"),"Ú","U"),"Ü","U")))</f>
        <v>SERVIDOR PUBLICO 7</v>
      </c>
      <c r="H17" s="38" t="n">
        <f aca="false">IF($A17="","",IFERROR(INDEX('Base de Personas'!$I$7:$I$21,MATCH($A17,'Base de Personas'!$B$7:$B$21,0)),IFERROR(INDEX($H$5:H16,MATCH($A17,$A$5:A16,0)),"")))</f>
        <v>1676</v>
      </c>
      <c r="I17" s="39" t="s">
        <v>136</v>
      </c>
      <c r="J17" s="40" t="n">
        <v>46054</v>
      </c>
      <c r="K17" s="40" t="n">
        <v>46418</v>
      </c>
      <c r="L17" s="39" t="s">
        <v>160</v>
      </c>
      <c r="M17" s="41" t="n">
        <f aca="false">IF($A17="","",IF(K17=_xlfn.MAXIFS($K$5:$K$304,$A$5:$A$304,$A17),1,0))</f>
        <v>1</v>
      </c>
      <c r="N17" s="41" t="str">
        <f aca="false">IF($A17="","",IF(M17=1,$A17&amp;"-ACT",""))</f>
        <v>0917368417-ACT</v>
      </c>
      <c r="O17" s="41" t="n">
        <f aca="false">IF($A17="","",IF(AND(COUNTIF('Base de Personas'!$B$7:$B$21,$A17)=0,COUNTIF($A$5:A17,$A17)=1),1,0))</f>
        <v>0</v>
      </c>
      <c r="P17" s="41" t="str">
        <f aca="false">IF(O17=1,SUM($O$5:O17),"")</f>
        <v/>
      </c>
    </row>
    <row r="18" customFormat="false" ht="57.45" hidden="false" customHeight="false" outlineLevel="0" collapsed="false">
      <c r="A18" s="35" t="s">
        <v>81</v>
      </c>
      <c r="B18" s="36" t="str">
        <f aca="false">IF($A18="","",TRIM(SUBSTITUTE(SUBSTITUTE(SUBSTITUTE(SUBSTITUTE(SUBSTITUTE(SUBSTITUTE(UPPER(IFERROR(INDEX('Base de Personas'!$C7:C21,MATCH($A18,'Base de Personas'!$B7:B21,0)),IFERROR(INDEX($B$5:B17,MATCH($A18,$A$5:A17,0)),""))),"Á","A"),"É","E"),"Í","I"),"Ó","O"),"Ú","U"),"Ü","U")))</f>
        <v>ZAMORA CORDOVA FELIX WLADIMIR</v>
      </c>
      <c r="C18" s="37" t="str">
        <f aca="false">IF($A18="","",TRIM(SUBSTITUTE(SUBSTITUTE(SUBSTITUTE(SUBSTITUTE(SUBSTITUTE(SUBSTITUTE(UPPER(IFERROR(INDEX('Base de Personas'!$D7:D21,MATCH($A18,'Base de Personas'!$B7:B21,0)),IFERROR(INDEX($C$5:C17,MATCH($A18,$A$5:A17,0)),""))),"Á","A"),"É","E"),"Í","I"),"Ó","O"),"Ú","U"),"Ü","U")))</f>
        <v>QUITO</v>
      </c>
      <c r="D18" s="36" t="str">
        <f aca="false">IF($A18="","",TRIM(SUBSTITUTE(SUBSTITUTE(SUBSTITUTE(SUBSTITUTE(SUBSTITUTE(SUBSTITUTE(UPPER(IFERROR(INDEX('Base de Personas'!$E7:E21,MATCH($A18,'Base de Personas'!$B7:B21,0)),IFERROR(INDEX($D$5:D17,MATCH($A18,$A$5:A17,0)),""))),"Á","A"),"É","E"),"Í","I"),"Ó","O"),"Ú","U"),"Ü","U")))</f>
        <v>INTENDENCIA NACIONAL DE SUPERVISION A ENTIDADES DEL SECTOR FINANCIERO POPULAR Y SOLIDARIO</v>
      </c>
      <c r="E18" s="36" t="str">
        <f aca="false">IF($A18="","",TRIM(SUBSTITUTE(SUBSTITUTE(SUBSTITUTE(SUBSTITUTE(SUBSTITUTE(SUBSTITUTE(UPPER(IFERROR(INDEX('Base de Personas'!$F7:F21,MATCH($A18,'Base de Personas'!$B7:B21,0)),IFERROR(INDEX($E$5:E17,MATCH($A18,$A$5:A17,0)),""))),"Á","A"),"É","E"),"Í","I"),"Ó","O"),"Ú","U"),"Ü","U")))</f>
        <v>DIRECCION NACIONAL LEGAL DEL SECTOR FINANCIERO</v>
      </c>
      <c r="F18" s="36" t="str">
        <f aca="false">IF($A18="","",TRIM(SUBSTITUTE(SUBSTITUTE(SUBSTITUTE(SUBSTITUTE(SUBSTITUTE(SUBSTITUTE(UPPER(IFERROR(INDEX('Base de Personas'!$G7:G21,MATCH($A18,'Base de Personas'!$B7:B21,0)),IFERROR(INDEX($F$5:F17,MATCH($A18,$A$5:A17,0)),""))),"Á","A"),"É","E"),"Í","I"),"Ó","O"),"Ú","U"),"Ü","U")))</f>
        <v>ANALISTA LEGAL DEL SECTOR FINANCIERO 2</v>
      </c>
      <c r="G18" s="37" t="str">
        <f aca="false">IF($A18="","",TRIM(SUBSTITUTE(SUBSTITUTE(SUBSTITUTE(SUBSTITUTE(SUBSTITUTE(SUBSTITUTE(UPPER(IFERROR(INDEX('Base de Personas'!$H7:H21,MATCH($A18,'Base de Personas'!$B7:B21,0)),IFERROR(INDEX($G$5:G17,MATCH($A18,$A$5:A17,0)),""))),"Á","A"),"É","E"),"Í","I"),"Ó","O"),"Ú","U"),"Ü","U")))</f>
        <v>SERVIDOR PUBLICO 7</v>
      </c>
      <c r="H18" s="38" t="n">
        <f aca="false">IF($A18="","",IFERROR(INDEX('Base de Personas'!$I$7:$I$21,MATCH($A18,'Base de Personas'!$B$7:$B$21,0)),IFERROR(INDEX($H$5:H17,MATCH($A18,$A$5:A17,0)),"")))</f>
        <v>1676</v>
      </c>
      <c r="I18" s="39" t="s">
        <v>137</v>
      </c>
      <c r="J18" s="40" t="n">
        <v>45573</v>
      </c>
      <c r="K18" s="40" t="n">
        <v>46302</v>
      </c>
      <c r="L18" s="39" t="s">
        <v>161</v>
      </c>
      <c r="M18" s="41" t="n">
        <f aca="false">IF($A18="","",IF(K18=_xlfn.MAXIFS($K$5:$K$304,$A$5:$A$304,$A18),1,0))</f>
        <v>1</v>
      </c>
      <c r="N18" s="41" t="str">
        <f aca="false">IF($A18="","",IF(M18=1,$A18&amp;"-ACT",""))</f>
        <v>1716262728-ACT</v>
      </c>
      <c r="O18" s="41" t="n">
        <f aca="false">IF($A18="","",IF(AND(COUNTIF('Base de Personas'!$B$7:$B$21,$A18)=0,COUNTIF($A$5:A18,$A18)=1),1,0))</f>
        <v>0</v>
      </c>
      <c r="P18" s="41" t="str">
        <f aca="false">IF(O18=1,SUM($O$5:O18),"")</f>
        <v/>
      </c>
    </row>
    <row r="19" customFormat="false" ht="57.45" hidden="false" customHeight="false" outlineLevel="0" collapsed="false">
      <c r="A19" s="35" t="s">
        <v>86</v>
      </c>
      <c r="B19" s="36" t="str">
        <f aca="false">IF($A19="","",TRIM(SUBSTITUTE(SUBSTITUTE(SUBSTITUTE(SUBSTITUTE(SUBSTITUTE(SUBSTITUTE(UPPER(IFERROR(INDEX('Base de Personas'!$C7:C21,MATCH($A19,'Base de Personas'!$B7:B21,0)),IFERROR(INDEX($B$5:B18,MATCH($A19,$A$5:A18,0)),""))),"Á","A"),"É","E"),"Í","I"),"Ó","O"),"Ú","U"),"Ü","U")))</f>
        <v>LOYOLA TRONCOSO JAIME EDUARDO</v>
      </c>
      <c r="C19" s="37" t="str">
        <f aca="false">IF($A19="","",TRIM(SUBSTITUTE(SUBSTITUTE(SUBSTITUTE(SUBSTITUTE(SUBSTITUTE(SUBSTITUTE(UPPER(IFERROR(INDEX('Base de Personas'!$D7:D21,MATCH($A19,'Base de Personas'!$B7:B21,0)),IFERROR(INDEX($C$5:C18,MATCH($A19,$A$5:A18,0)),""))),"Á","A"),"É","E"),"Í","I"),"Ó","O"),"Ú","U"),"Ü","U")))</f>
        <v>QUITO</v>
      </c>
      <c r="D19" s="36" t="str">
        <f aca="false">IF($A19="","",TRIM(SUBSTITUTE(SUBSTITUTE(SUBSTITUTE(SUBSTITUTE(SUBSTITUTE(SUBSTITUTE(UPPER(IFERROR(INDEX('Base de Personas'!$E7:E21,MATCH($A19,'Base de Personas'!$B7:B21,0)),IFERROR(INDEX($D$5:D18,MATCH($A19,$A$5:A18,0)),""))),"Á","A"),"É","E"),"Í","I"),"Ó","O"),"Ú","U"),"Ü","U")))</f>
        <v>INTENDENCIA NACIONAL DE TECNOLOGIAS DE LA INFORMACION Y COMUNICACIONES</v>
      </c>
      <c r="E19" s="36" t="str">
        <f aca="false">IF($A19="","",TRIM(SUBSTITUTE(SUBSTITUTE(SUBSTITUTE(SUBSTITUTE(SUBSTITUTE(SUBSTITUTE(UPPER(IFERROR(INDEX('Base de Personas'!$F7:F21,MATCH($A19,'Base de Personas'!$B7:B21,0)),IFERROR(INDEX($E$5:E18,MATCH($A19,$A$5:A18,0)),""))),"Á","A"),"É","E"),"Í","I"),"Ó","O"),"Ú","U"),"Ü","U")))</f>
        <v>DIRECCION NACIONAL DE INFRAESTRUCTURA TECNOLOGICA Y OPERACIONES</v>
      </c>
      <c r="F19" s="36" t="str">
        <f aca="false">IF($A19="","",TRIM(SUBSTITUTE(SUBSTITUTE(SUBSTITUTE(SUBSTITUTE(SUBSTITUTE(SUBSTITUTE(UPPER(IFERROR(INDEX('Base de Personas'!$G7:G21,MATCH($A19,'Base de Personas'!$B7:B21,0)),IFERROR(INDEX($F$5:F18,MATCH($A19,$A$5:A18,0)),""))),"Á","A"),"É","E"),"Í","I"),"Ó","O"),"Ú","U"),"Ü","U")))</f>
        <v>ANALISTA EN ASEGURAMIENTO Y CONTROL DE LA CALIDAD DE TECNOLOGIAS DE INFORMACION 2</v>
      </c>
      <c r="G19" s="37" t="str">
        <f aca="false">IF($A19="","",TRIM(SUBSTITUTE(SUBSTITUTE(SUBSTITUTE(SUBSTITUTE(SUBSTITUTE(SUBSTITUTE(UPPER(IFERROR(INDEX('Base de Personas'!$H7:H21,MATCH($A19,'Base de Personas'!$B7:B21,0)),IFERROR(INDEX($G$5:G18,MATCH($A19,$A$5:A18,0)),""))),"Á","A"),"É","E"),"Í","I"),"Ó","O"),"Ú","U"),"Ü","U")))</f>
        <v>SERVIDOR PUBLICO 7</v>
      </c>
      <c r="H19" s="38" t="n">
        <f aca="false">IF($A19="","",IFERROR(INDEX('Base de Personas'!$I$7:$I$21,MATCH($A19,'Base de Personas'!$B$7:$B$21,0)),IFERROR(INDEX($H$5:H18,MATCH($A19,$A$5:A18,0)),"")))</f>
        <v>1676</v>
      </c>
      <c r="I19" s="39" t="s">
        <v>138</v>
      </c>
      <c r="J19" s="40" t="n">
        <v>45658</v>
      </c>
      <c r="K19" s="40" t="n">
        <v>46022</v>
      </c>
      <c r="L19" s="39"/>
      <c r="M19" s="41" t="n">
        <f aca="false">IF($A19="","",IF(K19=_xlfn.MAXIFS($K$5:$K$304,$A$5:$A$304,$A19),1,0))</f>
        <v>0</v>
      </c>
      <c r="N19" s="41" t="str">
        <f aca="false">IF($A19="","",IF(M19=1,$A19&amp;"-ACT",""))</f>
        <v/>
      </c>
      <c r="O19" s="41" t="n">
        <f aca="false">IF($A19="","",IF(AND(COUNTIF('Base de Personas'!$B$7:$B$21,$A19)=0,COUNTIF($A$5:A19,$A19)=1),1,0))</f>
        <v>0</v>
      </c>
      <c r="P19" s="41" t="str">
        <f aca="false">IF(O19=1,SUM($O$5:O19),"")</f>
        <v/>
      </c>
    </row>
    <row r="20" customFormat="false" ht="57.45" hidden="false" customHeight="false" outlineLevel="0" collapsed="false">
      <c r="A20" s="35" t="s">
        <v>86</v>
      </c>
      <c r="B20" s="36" t="str">
        <f aca="false">IF($A20="","",TRIM(SUBSTITUTE(SUBSTITUTE(SUBSTITUTE(SUBSTITUTE(SUBSTITUTE(SUBSTITUTE(UPPER(IFERROR(INDEX('Base de Personas'!$C7:C21,MATCH($A20,'Base de Personas'!$B7:B21,0)),IFERROR(INDEX($B$5:B19,MATCH($A20,$A$5:A19,0)),""))),"Á","A"),"É","E"),"Í","I"),"Ó","O"),"Ú","U"),"Ü","U")))</f>
        <v>LOYOLA TRONCOSO JAIME EDUARDO</v>
      </c>
      <c r="C20" s="37" t="str">
        <f aca="false">IF($A20="","",TRIM(SUBSTITUTE(SUBSTITUTE(SUBSTITUTE(SUBSTITUTE(SUBSTITUTE(SUBSTITUTE(UPPER(IFERROR(INDEX('Base de Personas'!$D7:D21,MATCH($A20,'Base de Personas'!$B7:B21,0)),IFERROR(INDEX($C$5:C19,MATCH($A20,$A$5:A19,0)),""))),"Á","A"),"É","E"),"Í","I"),"Ó","O"),"Ú","U"),"Ü","U")))</f>
        <v>QUITO</v>
      </c>
      <c r="D20" s="36" t="str">
        <f aca="false">IF($A20="","",TRIM(SUBSTITUTE(SUBSTITUTE(SUBSTITUTE(SUBSTITUTE(SUBSTITUTE(SUBSTITUTE(UPPER(IFERROR(INDEX('Base de Personas'!$E7:E21,MATCH($A20,'Base de Personas'!$B7:B21,0)),IFERROR(INDEX($D$5:D19,MATCH($A20,$A$5:A19,0)),""))),"Á","A"),"É","E"),"Í","I"),"Ó","O"),"Ú","U"),"Ü","U")))</f>
        <v>INTENDENCIA NACIONAL DE TECNOLOGIAS DE LA INFORMACION Y COMUNICACIONES</v>
      </c>
      <c r="E20" s="36" t="str">
        <f aca="false">IF($A20="","",TRIM(SUBSTITUTE(SUBSTITUTE(SUBSTITUTE(SUBSTITUTE(SUBSTITUTE(SUBSTITUTE(UPPER(IFERROR(INDEX('Base de Personas'!$F7:F21,MATCH($A20,'Base de Personas'!$B7:B21,0)),IFERROR(INDEX($E$5:E19,MATCH($A20,$A$5:A19,0)),""))),"Á","A"),"É","E"),"Í","I"),"Ó","O"),"Ú","U"),"Ü","U")))</f>
        <v>DIRECCION NACIONAL DE INFRAESTRUCTURA TECNOLOGICA Y OPERACIONES</v>
      </c>
      <c r="F20" s="36" t="str">
        <f aca="false">IF($A20="","",TRIM(SUBSTITUTE(SUBSTITUTE(SUBSTITUTE(SUBSTITUTE(SUBSTITUTE(SUBSTITUTE(UPPER(IFERROR(INDEX('Base de Personas'!$G7:G21,MATCH($A20,'Base de Personas'!$B7:B21,0)),IFERROR(INDEX($F$5:F19,MATCH($A20,$A$5:A19,0)),""))),"Á","A"),"É","E"),"Í","I"),"Ó","O"),"Ú","U"),"Ü","U")))</f>
        <v>ANALISTA EN ASEGURAMIENTO Y CONTROL DE LA CALIDAD DE TECNOLOGIAS DE INFORMACION 2</v>
      </c>
      <c r="G20" s="37" t="str">
        <f aca="false">IF($A20="","",TRIM(SUBSTITUTE(SUBSTITUTE(SUBSTITUTE(SUBSTITUTE(SUBSTITUTE(SUBSTITUTE(UPPER(IFERROR(INDEX('Base de Personas'!$H7:H21,MATCH($A20,'Base de Personas'!$B7:B21,0)),IFERROR(INDEX($G$5:G19,MATCH($A20,$A$5:A19,0)),""))),"Á","A"),"É","E"),"Í","I"),"Ó","O"),"Ú","U"),"Ü","U")))</f>
        <v>SERVIDOR PUBLICO 7</v>
      </c>
      <c r="H20" s="38" t="n">
        <f aca="false">IF($A20="","",IFERROR(INDEX('Base de Personas'!$I$7:$I$21,MATCH($A20,'Base de Personas'!$B$7:$B$21,0)),IFERROR(INDEX($H$5:H19,MATCH($A20,$A$5:A19,0)),"")))</f>
        <v>1676</v>
      </c>
      <c r="I20" s="39" t="s">
        <v>138</v>
      </c>
      <c r="J20" s="40" t="n">
        <v>46023</v>
      </c>
      <c r="K20" s="40" t="n">
        <v>46053</v>
      </c>
      <c r="L20" s="39" t="s">
        <v>162</v>
      </c>
      <c r="M20" s="41" t="n">
        <f aca="false">IF($A20="","",IF(K20=_xlfn.MAXIFS($K$5:$K$304,$A$5:$A$304,$A20),1,0))</f>
        <v>1</v>
      </c>
      <c r="N20" s="41" t="str">
        <f aca="false">IF($A20="","",IF(M20=1,$A20&amp;"-ACT",""))</f>
        <v>1712422839-ACT</v>
      </c>
      <c r="O20" s="41" t="n">
        <f aca="false">IF($A20="","",IF(AND(COUNTIF('Base de Personas'!$B$7:$B$21,$A20)=0,COUNTIF($A$5:A20,$A20)=1),1,0))</f>
        <v>0</v>
      </c>
      <c r="P20" s="41" t="str">
        <f aca="false">IF(O20=1,SUM($O$5:O20),"")</f>
        <v/>
      </c>
    </row>
    <row r="21" customFormat="false" ht="46.25" hidden="false" customHeight="false" outlineLevel="0" collapsed="false">
      <c r="A21" s="35" t="s">
        <v>91</v>
      </c>
      <c r="B21" s="36" t="str">
        <f aca="false">IF($A21="","",TRIM(SUBSTITUTE(SUBSTITUTE(SUBSTITUTE(SUBSTITUTE(SUBSTITUTE(SUBSTITUTE(UPPER(IFERROR(INDEX('Base de Personas'!$C7:C21,MATCH($A21,'Base de Personas'!$B7:B21,0)),IFERROR(INDEX($B$5:B20,MATCH($A21,$A$5:A20,0)),""))),"Á","A"),"É","E"),"Í","I"),"Ó","O"),"Ú","U"),"Ü","U")))</f>
        <v>RACINES NUÑEZ MARIA DANIELA</v>
      </c>
      <c r="C21" s="37" t="str">
        <f aca="false">IF($A21="","",TRIM(SUBSTITUTE(SUBSTITUTE(SUBSTITUTE(SUBSTITUTE(SUBSTITUTE(SUBSTITUTE(UPPER(IFERROR(INDEX('Base de Personas'!$D7:D21,MATCH($A21,'Base de Personas'!$B7:B21,0)),IFERROR(INDEX($C$5:C20,MATCH($A21,$A$5:A20,0)),""))),"Á","A"),"É","E"),"Í","I"),"Ó","O"),"Ú","U"),"Ü","U")))</f>
        <v>QUITO</v>
      </c>
      <c r="D21" s="36" t="str">
        <f aca="false">IF($A21="","",TRIM(SUBSTITUTE(SUBSTITUTE(SUBSTITUTE(SUBSTITUTE(SUBSTITUTE(SUBSTITUTE(UPPER(IFERROR(INDEX('Base de Personas'!$E7:E21,MATCH($A21,'Base de Personas'!$B7:B21,0)),IFERROR(INDEX($D$5:D20,MATCH($A21,$A$5:A20,0)),""))),"Á","A"),"É","E"),"Í","I"),"Ó","O"),"Ú","U"),"Ü","U")))</f>
        <v>INTENDENCIA NACIONAL DE SUPERVISION A ENTIDADES DEL SECTOR FINANCIERO POPULAR Y SOLIDARIO</v>
      </c>
      <c r="E21" s="36" t="str">
        <f aca="false">IF($A21="","",TRIM(SUBSTITUTE(SUBSTITUTE(SUBSTITUTE(SUBSTITUTE(SUBSTITUTE(SUBSTITUTE(UPPER(IFERROR(INDEX('Base de Personas'!$F7:F21,MATCH($A21,'Base de Personas'!$B7:B21,0)),IFERROR(INDEX($E$5:E20,MATCH($A21,$A$5:A20,0)),""))),"Á","A"),"É","E"),"Í","I"),"Ó","O"),"Ú","U"),"Ü","U")))</f>
        <v>DIRECCION NACIONAL DE SUPERVISION A ENTIDADES DEL SECTOR FINANCIERO TIPO I</v>
      </c>
      <c r="F21" s="36" t="str">
        <f aca="false">IF($A21="","",TRIM(SUBSTITUTE(SUBSTITUTE(SUBSTITUTE(SUBSTITUTE(SUBSTITUTE(SUBSTITUTE(UPPER(IFERROR(INDEX('Base de Personas'!$G7:G21,MATCH($A21,'Base de Personas'!$B7:B21,0)),IFERROR(INDEX($F$5:F20,MATCH($A21,$A$5:A20,0)),""))),"Á","A"),"É","E"),"Í","I"),"Ó","O"),"Ú","U"),"Ü","U")))</f>
        <v>ANALISTA DE AUDITORIA DEL SECTOR FINANCIERO</v>
      </c>
      <c r="G21" s="37" t="str">
        <f aca="false">IF($A21="","",TRIM(SUBSTITUTE(SUBSTITUTE(SUBSTITUTE(SUBSTITUTE(SUBSTITUTE(SUBSTITUTE(UPPER(IFERROR(INDEX('Base de Personas'!$H7:H21,MATCH($A21,'Base de Personas'!$B7:B21,0)),IFERROR(INDEX($G$5:G20,MATCH($A21,$A$5:A20,0)),""))),"Á","A"),"É","E"),"Í","I"),"Ó","O"),"Ú","U"),"Ü","U")))</f>
        <v>SERVIDOR PUBLICO 5</v>
      </c>
      <c r="H21" s="38" t="n">
        <f aca="false">IF($A21="","",IFERROR(INDEX('Base de Personas'!$I$7:$I$21,MATCH($A21,'Base de Personas'!$B$7:$B$21,0)),IFERROR(INDEX($H$5:H20,MATCH($A21,$A$5:A20,0)),"")))</f>
        <v>1212</v>
      </c>
      <c r="I21" s="39" t="s">
        <v>139</v>
      </c>
      <c r="J21" s="40" t="n">
        <v>45992</v>
      </c>
      <c r="K21" s="40" t="n">
        <v>46356</v>
      </c>
      <c r="L21" s="39" t="s">
        <v>163</v>
      </c>
      <c r="M21" s="41" t="n">
        <f aca="false">IF($A21="","",IF(K21=_xlfn.MAXIFS($K$5:$K$304,$A$5:$A$304,$A21),1,0))</f>
        <v>1</v>
      </c>
      <c r="N21" s="41" t="str">
        <f aca="false">IF($A21="","",IF(M21=1,$A21&amp;"-ACT",""))</f>
        <v>1719201822-ACT</v>
      </c>
      <c r="O21" s="41" t="n">
        <f aca="false">IF($A21="","",IF(AND(COUNTIF('Base de Personas'!$B$7:$B$21,$A21)=0,COUNTIF($A$5:A21,$A21)=1),1,0))</f>
        <v>0</v>
      </c>
      <c r="P21" s="41" t="str">
        <f aca="false">IF(O21=1,SUM($O$5:O21),"")</f>
        <v/>
      </c>
    </row>
    <row r="22" customFormat="false" ht="35.05" hidden="false" customHeight="false" outlineLevel="0" collapsed="false">
      <c r="A22" s="35" t="s">
        <v>94</v>
      </c>
      <c r="B22" s="36" t="str">
        <f aca="false">IF($A22="","",TRIM(SUBSTITUTE(SUBSTITUTE(SUBSTITUTE(SUBSTITUTE(SUBSTITUTE(SUBSTITUTE(UPPER(IFERROR(INDEX('Base de Personas'!$C7:C21,MATCH($A22,'Base de Personas'!$B7:B21,0)),IFERROR(INDEX($B$5:B21,MATCH($A22,$A$5:A21,0)),""))),"Á","A"),"É","E"),"Í","I"),"Ó","O"),"Ú","U"),"Ü","U")))</f>
        <v>PALLARES CASTRO DARIO XAVIER</v>
      </c>
      <c r="C22" s="37" t="str">
        <f aca="false">IF($A22="","",TRIM(SUBSTITUTE(SUBSTITUTE(SUBSTITUTE(SUBSTITUTE(SUBSTITUTE(SUBSTITUTE(UPPER(IFERROR(INDEX('Base de Personas'!$D7:D21,MATCH($A22,'Base de Personas'!$B7:B21,0)),IFERROR(INDEX($C$5:C21,MATCH($A22,$A$5:A21,0)),""))),"Á","A"),"É","E"),"Í","I"),"Ó","O"),"Ú","U"),"Ü","U")))</f>
        <v>QUITO</v>
      </c>
      <c r="D22" s="36" t="str">
        <f aca="false">IF($A22="","",TRIM(SUBSTITUTE(SUBSTITUTE(SUBSTITUTE(SUBSTITUTE(SUBSTITUTE(SUBSTITUTE(UPPER(IFERROR(INDEX('Base de Personas'!$E7:E21,MATCH($A22,'Base de Personas'!$B7:B21,0)),IFERROR(INDEX($D$5:D21,MATCH($A22,$A$5:A21,0)),""))),"Á","A"),"É","E"),"Í","I"),"Ó","O"),"Ú","U"),"Ü","U")))</f>
        <v>INTENDENCIA NACIONAL ADMINISTRATIVA FINANCIERA</v>
      </c>
      <c r="E22" s="36" t="str">
        <f aca="false">IF($A22="","",TRIM(SUBSTITUTE(SUBSTITUTE(SUBSTITUTE(SUBSTITUTE(SUBSTITUTE(SUBSTITUTE(UPPER(IFERROR(INDEX('Base de Personas'!$F7:F21,MATCH($A22,'Base de Personas'!$B7:B21,0)),IFERROR(INDEX($E$5:E21,MATCH($A22,$A$5:A21,0)),""))),"Á","A"),"É","E"),"Í","I"),"Ó","O"),"Ú","U"),"Ü","U")))</f>
        <v>DIRECCION NACIONAL ADMINISTRATIVA</v>
      </c>
      <c r="F22" s="36" t="str">
        <f aca="false">IF($A22="","",TRIM(SUBSTITUTE(SUBSTITUTE(SUBSTITUTE(SUBSTITUTE(SUBSTITUTE(SUBSTITUTE(UPPER(IFERROR(INDEX('Base de Personas'!$G7:G21,MATCH($A22,'Base de Personas'!$B7:B21,0)),IFERROR(INDEX($F$5:F21,MATCH($A22,$A$5:A21,0)),""))),"Á","A"),"É","E"),"Í","I"),"Ó","O"),"Ú","U"),"Ü","U")))</f>
        <v>ANALISTA ADMINISTRATIVO DE SERVICIOS GENERALES</v>
      </c>
      <c r="G22" s="37" t="str">
        <f aca="false">IF($A22="","",TRIM(SUBSTITUTE(SUBSTITUTE(SUBSTITUTE(SUBSTITUTE(SUBSTITUTE(SUBSTITUTE(UPPER(IFERROR(INDEX('Base de Personas'!$H7:H21,MATCH($A22,'Base de Personas'!$B7:B21,0)),IFERROR(INDEX($G$5:G21,MATCH($A22,$A$5:A21,0)),""))),"Á","A"),"É","E"),"Í","I"),"Ó","O"),"Ú","U"),"Ü","U")))</f>
        <v>SERVIDOR PUBLICO 7</v>
      </c>
      <c r="H22" s="38" t="n">
        <f aca="false">IF($A22="","",IFERROR(INDEX('Base de Personas'!$I$7:$I$21,MATCH($A22,'Base de Personas'!$B$7:$B$21,0)),IFERROR(INDEX($H$5:H21,MATCH($A22,$A$5:A21,0)),"")))</f>
        <v>1676</v>
      </c>
      <c r="I22" s="39" t="s">
        <v>140</v>
      </c>
      <c r="J22" s="40" t="n">
        <v>45689</v>
      </c>
      <c r="K22" s="40" t="n">
        <v>46050</v>
      </c>
      <c r="L22" s="39"/>
      <c r="M22" s="41" t="n">
        <f aca="false">IF($A22="","",IF(K22=_xlfn.MAXIFS($K$5:$K$304,$A$5:$A$304,$A22),1,0))</f>
        <v>0</v>
      </c>
      <c r="N22" s="41" t="str">
        <f aca="false">IF($A22="","",IF(M22=1,$A22&amp;"-ACT",""))</f>
        <v/>
      </c>
      <c r="O22" s="41" t="n">
        <f aca="false">IF($A22="","",IF(AND(COUNTIF('Base de Personas'!$B$7:$B$21,$A22)=0,COUNTIF($A$5:A22,$A22)=1),1,0))</f>
        <v>0</v>
      </c>
      <c r="P22" s="41" t="str">
        <f aca="false">IF(O22=1,SUM($O$5:O22),"")</f>
        <v/>
      </c>
    </row>
    <row r="23" customFormat="false" ht="35.05" hidden="false" customHeight="false" outlineLevel="0" collapsed="false">
      <c r="A23" s="35" t="s">
        <v>94</v>
      </c>
      <c r="B23" s="36" t="str">
        <f aca="false">IF($A23="","",TRIM(SUBSTITUTE(SUBSTITUTE(SUBSTITUTE(SUBSTITUTE(SUBSTITUTE(SUBSTITUTE(UPPER(IFERROR(INDEX('Base de Personas'!$C7:C21,MATCH($A23,'Base de Personas'!$B7:B21,0)),IFERROR(INDEX($B$5:B22,MATCH($A23,$A$5:A22,0)),""))),"Á","A"),"É","E"),"Í","I"),"Ó","O"),"Ú","U"),"Ü","U")))</f>
        <v>PALLARES CASTRO DARIO XAVIER</v>
      </c>
      <c r="C23" s="37" t="str">
        <f aca="false">IF($A23="","",TRIM(SUBSTITUTE(SUBSTITUTE(SUBSTITUTE(SUBSTITUTE(SUBSTITUTE(SUBSTITUTE(UPPER(IFERROR(INDEX('Base de Personas'!$D7:D21,MATCH($A23,'Base de Personas'!$B7:B21,0)),IFERROR(INDEX($C$5:C22,MATCH($A23,$A$5:A22,0)),""))),"Á","A"),"É","E"),"Í","I"),"Ó","O"),"Ú","U"),"Ü","U")))</f>
        <v>QUITO</v>
      </c>
      <c r="D23" s="36" t="str">
        <f aca="false">IF($A23="","",TRIM(SUBSTITUTE(SUBSTITUTE(SUBSTITUTE(SUBSTITUTE(SUBSTITUTE(SUBSTITUTE(UPPER(IFERROR(INDEX('Base de Personas'!$E7:E21,MATCH($A23,'Base de Personas'!$B7:B21,0)),IFERROR(INDEX($D$5:D22,MATCH($A23,$A$5:A22,0)),""))),"Á","A"),"É","E"),"Í","I"),"Ó","O"),"Ú","U"),"Ü","U")))</f>
        <v>INTENDENCIA NACIONAL ADMINISTRATIVA FINANCIERA</v>
      </c>
      <c r="E23" s="36" t="str">
        <f aca="false">IF($A23="","",TRIM(SUBSTITUTE(SUBSTITUTE(SUBSTITUTE(SUBSTITUTE(SUBSTITUTE(SUBSTITUTE(UPPER(IFERROR(INDEX('Base de Personas'!$F7:F21,MATCH($A23,'Base de Personas'!$B7:B21,0)),IFERROR(INDEX($E$5:E22,MATCH($A23,$A$5:A22,0)),""))),"Á","A"),"É","E"),"Í","I"),"Ó","O"),"Ú","U"),"Ü","U")))</f>
        <v>DIRECCION NACIONAL ADMINISTRATIVA</v>
      </c>
      <c r="F23" s="36" t="str">
        <f aca="false">IF($A23="","",TRIM(SUBSTITUTE(SUBSTITUTE(SUBSTITUTE(SUBSTITUTE(SUBSTITUTE(SUBSTITUTE(UPPER(IFERROR(INDEX('Base de Personas'!$G7:G21,MATCH($A23,'Base de Personas'!$B7:B21,0)),IFERROR(INDEX($F$5:F22,MATCH($A23,$A$5:A22,0)),""))),"Á","A"),"É","E"),"Í","I"),"Ó","O"),"Ú","U"),"Ü","U")))</f>
        <v>ANALISTA ADMINISTRATIVO DE SERVICIOS GENERALES</v>
      </c>
      <c r="G23" s="37" t="str">
        <f aca="false">IF($A23="","",TRIM(SUBSTITUTE(SUBSTITUTE(SUBSTITUTE(SUBSTITUTE(SUBSTITUTE(SUBSTITUTE(UPPER(IFERROR(INDEX('Base de Personas'!$H7:H21,MATCH($A23,'Base de Personas'!$B7:B21,0)),IFERROR(INDEX($G$5:G22,MATCH($A23,$A$5:A22,0)),""))),"Á","A"),"É","E"),"Í","I"),"Ó","O"),"Ú","U"),"Ü","U")))</f>
        <v>SERVIDOR PUBLICO 7</v>
      </c>
      <c r="H23" s="38" t="n">
        <f aca="false">IF($A23="","",IFERROR(INDEX('Base de Personas'!$I$7:$I$21,MATCH($A23,'Base de Personas'!$B$7:$B$21,0)),IFERROR(INDEX($H$5:H22,MATCH($A23,$A$5:A22,0)),"")))</f>
        <v>1676</v>
      </c>
      <c r="I23" s="39" t="s">
        <v>141</v>
      </c>
      <c r="J23" s="40" t="n">
        <v>46054</v>
      </c>
      <c r="K23" s="40" t="n">
        <v>46112</v>
      </c>
      <c r="L23" s="39"/>
      <c r="M23" s="41" t="n">
        <f aca="false">IF($A23="","",IF(K23=_xlfn.MAXIFS($K$5:$K$304,$A$5:$A$304,$A23),1,0))</f>
        <v>0</v>
      </c>
      <c r="N23" s="41" t="str">
        <f aca="false">IF($A23="","",IF(M23=1,$A23&amp;"-ACT",""))</f>
        <v/>
      </c>
      <c r="O23" s="41" t="n">
        <f aca="false">IF($A23="","",IF(AND(COUNTIF('Base de Personas'!$B$7:$B$21,$A23)=0,COUNTIF($A$5:A23,$A23)=1),1,0))</f>
        <v>0</v>
      </c>
      <c r="P23" s="41" t="str">
        <f aca="false">IF(O23=1,SUM($O$5:O23),"")</f>
        <v/>
      </c>
    </row>
    <row r="24" customFormat="false" ht="35.05" hidden="false" customHeight="false" outlineLevel="0" collapsed="false">
      <c r="A24" s="35" t="s">
        <v>94</v>
      </c>
      <c r="B24" s="36" t="str">
        <f aca="false">IF($A24="","",TRIM(SUBSTITUTE(SUBSTITUTE(SUBSTITUTE(SUBSTITUTE(SUBSTITUTE(SUBSTITUTE(UPPER(IFERROR(INDEX('Base de Personas'!$C7:C21,MATCH($A24,'Base de Personas'!$B7:B21,0)),IFERROR(INDEX($B$5:B23,MATCH($A24,$A$5:A23,0)),""))),"Á","A"),"É","E"),"Í","I"),"Ó","O"),"Ú","U"),"Ü","U")))</f>
        <v>PALLARES CASTRO DARIO XAVIER</v>
      </c>
      <c r="C24" s="37" t="str">
        <f aca="false">IF($A24="","",TRIM(SUBSTITUTE(SUBSTITUTE(SUBSTITUTE(SUBSTITUTE(SUBSTITUTE(SUBSTITUTE(UPPER(IFERROR(INDEX('Base de Personas'!$D7:D21,MATCH($A24,'Base de Personas'!$B7:B21,0)),IFERROR(INDEX($C$5:C23,MATCH($A24,$A$5:A23,0)),""))),"Á","A"),"É","E"),"Í","I"),"Ó","O"),"Ú","U"),"Ü","U")))</f>
        <v>QUITO</v>
      </c>
      <c r="D24" s="36" t="str">
        <f aca="false">IF($A24="","",TRIM(SUBSTITUTE(SUBSTITUTE(SUBSTITUTE(SUBSTITUTE(SUBSTITUTE(SUBSTITUTE(UPPER(IFERROR(INDEX('Base de Personas'!$E7:E21,MATCH($A24,'Base de Personas'!$B7:B21,0)),IFERROR(INDEX($D$5:D23,MATCH($A24,$A$5:A23,0)),""))),"Á","A"),"É","E"),"Í","I"),"Ó","O"),"Ú","U"),"Ü","U")))</f>
        <v>INTENDENCIA NACIONAL ADMINISTRATIVA FINANCIERA</v>
      </c>
      <c r="E24" s="36" t="str">
        <f aca="false">IF($A24="","",TRIM(SUBSTITUTE(SUBSTITUTE(SUBSTITUTE(SUBSTITUTE(SUBSTITUTE(SUBSTITUTE(UPPER(IFERROR(INDEX('Base de Personas'!$F7:F21,MATCH($A24,'Base de Personas'!$B7:B21,0)),IFERROR(INDEX($E$5:E23,MATCH($A24,$A$5:A23,0)),""))),"Á","A"),"É","E"),"Í","I"),"Ó","O"),"Ú","U"),"Ü","U")))</f>
        <v>DIRECCION NACIONAL ADMINISTRATIVA</v>
      </c>
      <c r="F24" s="36" t="str">
        <f aca="false">IF($A24="","",TRIM(SUBSTITUTE(SUBSTITUTE(SUBSTITUTE(SUBSTITUTE(SUBSTITUTE(SUBSTITUTE(UPPER(IFERROR(INDEX('Base de Personas'!$G7:G21,MATCH($A24,'Base de Personas'!$B7:B21,0)),IFERROR(INDEX($F$5:F23,MATCH($A24,$A$5:A23,0)),""))),"Á","A"),"É","E"),"Í","I"),"Ó","O"),"Ú","U"),"Ü","U")))</f>
        <v>ANALISTA ADMINISTRATIVO DE SERVICIOS GENERALES</v>
      </c>
      <c r="G24" s="37" t="str">
        <f aca="false">IF($A24="","",TRIM(SUBSTITUTE(SUBSTITUTE(SUBSTITUTE(SUBSTITUTE(SUBSTITUTE(SUBSTITUTE(UPPER(IFERROR(INDEX('Base de Personas'!$H7:H21,MATCH($A24,'Base de Personas'!$B7:B21,0)),IFERROR(INDEX($G$5:G23,MATCH($A24,$A$5:A23,0)),""))),"Á","A"),"É","E"),"Í","I"),"Ó","O"),"Ú","U"),"Ü","U")))</f>
        <v>SERVIDOR PUBLICO 7</v>
      </c>
      <c r="H24" s="38" t="n">
        <f aca="false">IF($A24="","",IFERROR(INDEX('Base de Personas'!$I$7:$I$21,MATCH($A24,'Base de Personas'!$B$7:$B$21,0)),IFERROR(INDEX($H$5:H23,MATCH($A24,$A$5:A23,0)),"")))</f>
        <v>1676</v>
      </c>
      <c r="I24" s="39" t="s">
        <v>142</v>
      </c>
      <c r="J24" s="40" t="n">
        <v>46204</v>
      </c>
      <c r="K24" s="40" t="n">
        <v>46568</v>
      </c>
      <c r="L24" s="39" t="s">
        <v>164</v>
      </c>
      <c r="M24" s="41" t="n">
        <f aca="false">IF($A24="","",IF(K24=_xlfn.MAXIFS($K$5:$K$304,$A$5:$A$304,$A24),1,0))</f>
        <v>1</v>
      </c>
      <c r="N24" s="41" t="str">
        <f aca="false">IF($A24="","",IF(M24=1,$A24&amp;"-ACT",""))</f>
        <v>1717835407-ACT</v>
      </c>
      <c r="O24" s="41" t="n">
        <f aca="false">IF($A24="","",IF(AND(COUNTIF('Base de Personas'!$B$7:$B$21,$A24)=0,COUNTIF($A$5:A24,$A24)=1),1,0))</f>
        <v>0</v>
      </c>
      <c r="P24" s="41" t="str">
        <f aca="false">IF(O24=1,SUM($O$5:O24),"")</f>
        <v/>
      </c>
    </row>
    <row r="25" customFormat="false" ht="35.05" hidden="false" customHeight="false" outlineLevel="0" collapsed="false">
      <c r="A25" s="35" t="s">
        <v>98</v>
      </c>
      <c r="B25" s="36" t="str">
        <f aca="false">IF($A25="","",TRIM(SUBSTITUTE(SUBSTITUTE(SUBSTITUTE(SUBSTITUTE(SUBSTITUTE(SUBSTITUTE(UPPER(IFERROR(INDEX('Base de Personas'!$C7:C21,MATCH($A25,'Base de Personas'!$B7:B21,0)),IFERROR(INDEX($B$5:B24,MATCH($A25,$A$5:A24,0)),""))),"Á","A"),"É","E"),"Í","I"),"Ó","O"),"Ú","U"),"Ü","U")))</f>
        <v>BURBANO PALACIOS MARIA EUGENIA</v>
      </c>
      <c r="C25" s="37" t="str">
        <f aca="false">IF($A25="","",TRIM(SUBSTITUTE(SUBSTITUTE(SUBSTITUTE(SUBSTITUTE(SUBSTITUTE(SUBSTITUTE(UPPER(IFERROR(INDEX('Base de Personas'!$D7:D21,MATCH($A25,'Base de Personas'!$B7:B21,0)),IFERROR(INDEX($C$5:C24,MATCH($A25,$A$5:A24,0)),""))),"Á","A"),"É","E"),"Í","I"),"Ó","O"),"Ú","U"),"Ü","U")))</f>
        <v>QUITO</v>
      </c>
      <c r="D25" s="36" t="str">
        <f aca="false">IF($A25="","",TRIM(SUBSTITUTE(SUBSTITUTE(SUBSTITUTE(SUBSTITUTE(SUBSTITUTE(SUBSTITUTE(UPPER(IFERROR(INDEX('Base de Personas'!$E7:E21,MATCH($A25,'Base de Personas'!$B7:B21,0)),IFERROR(INDEX($D$5:D24,MATCH($A25,$A$5:A24,0)),""))),"Á","A"),"É","E"),"Í","I"),"Ó","O"),"Ú","U"),"Ü","U")))</f>
        <v>INTENDENCIA NACIONAL ADMINISTRATIVA FINANCIERA</v>
      </c>
      <c r="E25" s="36" t="str">
        <f aca="false">IF($A25="","",TRIM(SUBSTITUTE(SUBSTITUTE(SUBSTITUTE(SUBSTITUTE(SUBSTITUTE(SUBSTITUTE(UPPER(IFERROR(INDEX('Base de Personas'!$F7:F21,MATCH($A25,'Base de Personas'!$B7:B21,0)),IFERROR(INDEX($E$5:E24,MATCH($A25,$A$5:A24,0)),""))),"Á","A"),"É","E"),"Í","I"),"Ó","O"),"Ú","U"),"Ü","U")))</f>
        <v>DIRECCION NACIONAL ADMINISTRATIVA</v>
      </c>
      <c r="F25" s="36" t="str">
        <f aca="false">IF($A25="","",TRIM(SUBSTITUTE(SUBSTITUTE(SUBSTITUTE(SUBSTITUTE(SUBSTITUTE(SUBSTITUTE(UPPER(IFERROR(INDEX('Base de Personas'!$G7:G21,MATCH($A25,'Base de Personas'!$B7:B21,0)),IFERROR(INDEX($F$5:F24,MATCH($A25,$A$5:A24,0)),""))),"Á","A"),"É","E"),"Í","I"),"Ó","O"),"Ú","U"),"Ü","U")))</f>
        <v>ANALISTA DE COMPRAS</v>
      </c>
      <c r="G25" s="37" t="str">
        <f aca="false">IF($A25="","",TRIM(SUBSTITUTE(SUBSTITUTE(SUBSTITUTE(SUBSTITUTE(SUBSTITUTE(SUBSTITUTE(UPPER(IFERROR(INDEX('Base de Personas'!$H7:H21,MATCH($A25,'Base de Personas'!$B7:B21,0)),IFERROR(INDEX($G$5:G24,MATCH($A25,$A$5:A24,0)),""))),"Á","A"),"É","E"),"Í","I"),"Ó","O"),"Ú","U"),"Ü","U")))</f>
        <v>SERVIDOR PUBLICO 5</v>
      </c>
      <c r="H25" s="38" t="n">
        <f aca="false">IF($A25="","",IFERROR(INDEX('Base de Personas'!$I$7:$I$21,MATCH($A25,'Base de Personas'!$B$7:$B$21,0)),IFERROR(INDEX($H$5:H24,MATCH($A25,$A$5:A24,0)),"")))</f>
        <v>1212</v>
      </c>
      <c r="I25" s="39" t="s">
        <v>140</v>
      </c>
      <c r="J25" s="40" t="n">
        <v>45689</v>
      </c>
      <c r="K25" s="40" t="n">
        <v>46050</v>
      </c>
      <c r="L25" s="39"/>
      <c r="M25" s="41" t="n">
        <f aca="false">IF($A25="","",IF(K25=_xlfn.MAXIFS($K$5:$K$304,$A$5:$A$304,$A25),1,0))</f>
        <v>0</v>
      </c>
      <c r="N25" s="41" t="str">
        <f aca="false">IF($A25="","",IF(M25=1,$A25&amp;"-ACT",""))</f>
        <v/>
      </c>
      <c r="O25" s="41" t="n">
        <f aca="false">IF($A25="","",IF(AND(COUNTIF('Base de Personas'!$B$7:$B$21,$A25)=0,COUNTIF($A$5:A25,$A25)=1),1,0))</f>
        <v>0</v>
      </c>
      <c r="P25" s="41" t="str">
        <f aca="false">IF(O25=1,SUM($O$5:O25),"")</f>
        <v/>
      </c>
    </row>
    <row r="26" customFormat="false" ht="35.05" hidden="false" customHeight="false" outlineLevel="0" collapsed="false">
      <c r="A26" s="35" t="s">
        <v>98</v>
      </c>
      <c r="B26" s="36" t="str">
        <f aca="false">IF($A26="","",TRIM(SUBSTITUTE(SUBSTITUTE(SUBSTITUTE(SUBSTITUTE(SUBSTITUTE(SUBSTITUTE(UPPER(IFERROR(INDEX('Base de Personas'!$C7:C21,MATCH($A26,'Base de Personas'!$B7:B21,0)),IFERROR(INDEX($B$5:B25,MATCH($A26,$A$5:A25,0)),""))),"Á","A"),"É","E"),"Í","I"),"Ó","O"),"Ú","U"),"Ü","U")))</f>
        <v>BURBANO PALACIOS MARIA EUGENIA</v>
      </c>
      <c r="C26" s="37" t="str">
        <f aca="false">IF($A26="","",TRIM(SUBSTITUTE(SUBSTITUTE(SUBSTITUTE(SUBSTITUTE(SUBSTITUTE(SUBSTITUTE(UPPER(IFERROR(INDEX('Base de Personas'!$D7:D21,MATCH($A26,'Base de Personas'!$B7:B21,0)),IFERROR(INDEX($C$5:C25,MATCH($A26,$A$5:A25,0)),""))),"Á","A"),"É","E"),"Í","I"),"Ó","O"),"Ú","U"),"Ü","U")))</f>
        <v>QUITO</v>
      </c>
      <c r="D26" s="36" t="str">
        <f aca="false">IF($A26="","",TRIM(SUBSTITUTE(SUBSTITUTE(SUBSTITUTE(SUBSTITUTE(SUBSTITUTE(SUBSTITUTE(UPPER(IFERROR(INDEX('Base de Personas'!$E7:E21,MATCH($A26,'Base de Personas'!$B7:B21,0)),IFERROR(INDEX($D$5:D25,MATCH($A26,$A$5:A25,0)),""))),"Á","A"),"É","E"),"Í","I"),"Ó","O"),"Ú","U"),"Ü","U")))</f>
        <v>INTENDENCIA NACIONAL ADMINISTRATIVA FINANCIERA</v>
      </c>
      <c r="E26" s="36" t="str">
        <f aca="false">IF($A26="","",TRIM(SUBSTITUTE(SUBSTITUTE(SUBSTITUTE(SUBSTITUTE(SUBSTITUTE(SUBSTITUTE(UPPER(IFERROR(INDEX('Base de Personas'!$F7:F21,MATCH($A26,'Base de Personas'!$B7:B21,0)),IFERROR(INDEX($E$5:E25,MATCH($A26,$A$5:A25,0)),""))),"Á","A"),"É","E"),"Í","I"),"Ó","O"),"Ú","U"),"Ü","U")))</f>
        <v>DIRECCION NACIONAL ADMINISTRATIVA</v>
      </c>
      <c r="F26" s="36" t="str">
        <f aca="false">IF($A26="","",TRIM(SUBSTITUTE(SUBSTITUTE(SUBSTITUTE(SUBSTITUTE(SUBSTITUTE(SUBSTITUTE(UPPER(IFERROR(INDEX('Base de Personas'!$G7:G21,MATCH($A26,'Base de Personas'!$B7:B21,0)),IFERROR(INDEX($F$5:F25,MATCH($A26,$A$5:A25,0)),""))),"Á","A"),"É","E"),"Í","I"),"Ó","O"),"Ú","U"),"Ü","U")))</f>
        <v>ANALISTA DE COMPRAS</v>
      </c>
      <c r="G26" s="37" t="str">
        <f aca="false">IF($A26="","",TRIM(SUBSTITUTE(SUBSTITUTE(SUBSTITUTE(SUBSTITUTE(SUBSTITUTE(SUBSTITUTE(UPPER(IFERROR(INDEX('Base de Personas'!$H7:H21,MATCH($A26,'Base de Personas'!$B7:B21,0)),IFERROR(INDEX($G$5:G25,MATCH($A26,$A$5:A25,0)),""))),"Á","A"),"É","E"),"Í","I"),"Ó","O"),"Ú","U"),"Ü","U")))</f>
        <v>SERVIDOR PUBLICO 5</v>
      </c>
      <c r="H26" s="38" t="n">
        <f aca="false">IF($A26="","",IFERROR(INDEX('Base de Personas'!$I$7:$I$21,MATCH($A26,'Base de Personas'!$B$7:$B$21,0)),IFERROR(INDEX($H$5:H25,MATCH($A26,$A$5:A25,0)),"")))</f>
        <v>1212</v>
      </c>
      <c r="I26" s="39" t="s">
        <v>143</v>
      </c>
      <c r="J26" s="40" t="n">
        <v>46054</v>
      </c>
      <c r="K26" s="40" t="n">
        <v>46112</v>
      </c>
      <c r="L26" s="39" t="s">
        <v>101</v>
      </c>
      <c r="M26" s="41" t="n">
        <f aca="false">IF($A26="","",IF(K26=_xlfn.MAXIFS($K$5:$K$304,$A$5:$A$304,$A26),1,0))</f>
        <v>1</v>
      </c>
      <c r="N26" s="41" t="str">
        <f aca="false">IF($A26="","",IF(M26=1,$A26&amp;"-ACT",""))</f>
        <v>1718348913-ACT</v>
      </c>
      <c r="O26" s="41" t="n">
        <f aca="false">IF($A26="","",IF(AND(COUNTIF('Base de Personas'!$B$7:$B$21,$A26)=0,COUNTIF($A$5:A26,$A26)=1),1,0))</f>
        <v>0</v>
      </c>
      <c r="P26" s="41" t="str">
        <f aca="false">IF(O26=1,SUM($O$5:O26),"")</f>
        <v/>
      </c>
    </row>
    <row r="27" customFormat="false" ht="57.45" hidden="false" customHeight="false" outlineLevel="0" collapsed="false">
      <c r="A27" s="35" t="s">
        <v>102</v>
      </c>
      <c r="B27" s="36" t="str">
        <f aca="false">IF($A27="","",TRIM(SUBSTITUTE(SUBSTITUTE(SUBSTITUTE(SUBSTITUTE(SUBSTITUTE(SUBSTITUTE(UPPER(IFERROR(INDEX('Base de Personas'!$C7:C21,MATCH($A27,'Base de Personas'!$B7:B21,0)),IFERROR(INDEX($B$5:B26,MATCH($A27,$A$5:A26,0)),""))),"Á","A"),"É","E"),"Í","I"),"Ó","O"),"Ú","U"),"Ü","U")))</f>
        <v>SALAZAR BERMEO TERESA ELIZABETH</v>
      </c>
      <c r="C27" s="37" t="str">
        <f aca="false">IF($A27="","",TRIM(SUBSTITUTE(SUBSTITUTE(SUBSTITUTE(SUBSTITUTE(SUBSTITUTE(SUBSTITUTE(UPPER(IFERROR(INDEX('Base de Personas'!$D7:D21,MATCH($A27,'Base de Personas'!$B7:B21,0)),IFERROR(INDEX($C$5:C26,MATCH($A27,$A$5:A26,0)),""))),"Á","A"),"É","E"),"Í","I"),"Ó","O"),"Ú","U"),"Ü","U")))</f>
        <v>QUITO</v>
      </c>
      <c r="D27" s="36" t="str">
        <f aca="false">IF($A27="","",TRIM(SUBSTITUTE(SUBSTITUTE(SUBSTITUTE(SUBSTITUTE(SUBSTITUTE(SUBSTITUTE(UPPER(IFERROR(INDEX('Base de Personas'!$E7:E21,MATCH($A27,'Base de Personas'!$B7:B21,0)),IFERROR(INDEX($D$5:D26,MATCH($A27,$A$5:A26,0)),""))),"Á","A"),"É","E"),"Í","I"),"Ó","O"),"Ú","U"),"Ü","U")))</f>
        <v>INTENDENCIA NACIONAL DE SUPERVISION A ORGANIZACIONES DE LA ECONOMIA POPULAR Y SOLIDARIA</v>
      </c>
      <c r="E27" s="36" t="str">
        <f aca="false">IF($A27="","",TRIM(SUBSTITUTE(SUBSTITUTE(SUBSTITUTE(SUBSTITUTE(SUBSTITUTE(SUBSTITUTE(UPPER(IFERROR(INDEX('Base de Personas'!$F7:F21,MATCH($A27,'Base de Personas'!$B7:B21,0)),IFERROR(INDEX($E$5:E26,MATCH($A27,$A$5:A26,0)),""))),"Á","A"),"É","E"),"Í","I"),"Ó","O"),"Ú","U"),"Ü","U")))</f>
        <v>DIRECCION NACIONAL DE SUPERVISION A ORGANIZACIONES DE LA ECONOMIA POPULAR Y SOLIDARIA</v>
      </c>
      <c r="F27" s="36" t="str">
        <f aca="false">IF($A27="","",TRIM(SUBSTITUTE(SUBSTITUTE(SUBSTITUTE(SUBSTITUTE(SUBSTITUTE(SUBSTITUTE(UPPER(IFERROR(INDEX('Base de Personas'!$G7:G21,MATCH($A27,'Base de Personas'!$B7:B21,0)),IFERROR(INDEX($F$5:F26,MATCH($A27,$A$5:A26,0)),""))),"Á","A"),"É","E"),"Í","I"),"Ó","O"),"Ú","U"),"Ü","U")))</f>
        <v>ANALISTA DE SUPERVISION AUXILIAR DE LA EPS 2</v>
      </c>
      <c r="G27" s="37" t="str">
        <f aca="false">IF($A27="","",TRIM(SUBSTITUTE(SUBSTITUTE(SUBSTITUTE(SUBSTITUTE(SUBSTITUTE(SUBSTITUTE(UPPER(IFERROR(INDEX('Base de Personas'!$H7:H21,MATCH($A27,'Base de Personas'!$B7:B21,0)),IFERROR(INDEX($G$5:G26,MATCH($A27,$A$5:A26,0)),""))),"Á","A"),"É","E"),"Í","I"),"Ó","O"),"Ú","U"),"Ü","U")))</f>
        <v>SERVIDOR PUBLICO 7</v>
      </c>
      <c r="H27" s="38" t="n">
        <f aca="false">IF($A27="","",IFERROR(INDEX('Base de Personas'!$I$7:$I$21,MATCH($A27,'Base de Personas'!$B$7:$B$21,0)),IFERROR(INDEX($H$5:H26,MATCH($A27,$A$5:A26,0)),"")))</f>
        <v>1676</v>
      </c>
      <c r="I27" s="39" t="s">
        <v>144</v>
      </c>
      <c r="J27" s="40" t="n">
        <v>45978</v>
      </c>
      <c r="K27" s="40" t="n">
        <v>46342</v>
      </c>
      <c r="L27" s="39" t="s">
        <v>165</v>
      </c>
      <c r="M27" s="41" t="n">
        <f aca="false">IF($A27="","",IF(K27=_xlfn.MAXIFS($K$5:$K$304,$A$5:$A$304,$A27),1,0))</f>
        <v>1</v>
      </c>
      <c r="N27" s="41" t="str">
        <f aca="false">IF($A27="","",IF(M27=1,$A27&amp;"-ACT",""))</f>
        <v>1802226850-ACT</v>
      </c>
      <c r="O27" s="41" t="n">
        <f aca="false">IF($A27="","",IF(AND(COUNTIF('Base de Personas'!$B$7:$B$21,$A27)=0,COUNTIF($A$5:A27,$A27)=1),1,0))</f>
        <v>0</v>
      </c>
      <c r="P27" s="41" t="str">
        <f aca="false">IF(O27=1,SUM($O$5:O27),"")</f>
        <v/>
      </c>
    </row>
    <row r="28" customFormat="false" ht="35.05" hidden="false" customHeight="false" outlineLevel="0" collapsed="false">
      <c r="A28" s="35" t="s">
        <v>107</v>
      </c>
      <c r="B28" s="36" t="str">
        <f aca="false">IF($A28="","",TRIM(SUBSTITUTE(SUBSTITUTE(SUBSTITUTE(SUBSTITUTE(SUBSTITUTE(SUBSTITUTE(UPPER(IFERROR(INDEX('Base de Personas'!$C7:C21,MATCH($A28,'Base de Personas'!$B7:B21,0)),IFERROR(INDEX($B$5:B27,MATCH($A28,$A$5:A27,0)),""))),"Á","A"),"É","E"),"Í","I"),"Ó","O"),"Ú","U"),"Ü","U")))</f>
        <v>CRESPO CARDENAS DAVID GERARDO</v>
      </c>
      <c r="C28" s="37" t="str">
        <f aca="false">IF($A28="","",TRIM(SUBSTITUTE(SUBSTITUTE(SUBSTITUTE(SUBSTITUTE(SUBSTITUTE(SUBSTITUTE(UPPER(IFERROR(INDEX('Base de Personas'!$D7:D21,MATCH($A28,'Base de Personas'!$B7:B21,0)),IFERROR(INDEX($C$5:C27,MATCH($A28,$A$5:A27,0)),""))),"Á","A"),"É","E"),"Í","I"),"Ó","O"),"Ú","U"),"Ü","U")))</f>
        <v>CUENCA</v>
      </c>
      <c r="D28" s="36" t="str">
        <f aca="false">IF($A28="","",TRIM(SUBSTITUTE(SUBSTITUTE(SUBSTITUTE(SUBSTITUTE(SUBSTITUTE(SUBSTITUTE(UPPER(IFERROR(INDEX('Base de Personas'!$E7:E21,MATCH($A28,'Base de Personas'!$B7:B21,0)),IFERROR(INDEX($D$5:D27,MATCH($A28,$A$5:A27,0)),""))),"Á","A"),"É","E"),"Í","I"),"Ó","O"),"Ú","U"),"Ü","U")))</f>
        <v>DIRECCION ZONAL 5</v>
      </c>
      <c r="E28" s="36" t="str">
        <f aca="false">IF($A28="","",TRIM(SUBSTITUTE(SUBSTITUTE(SUBSTITUTE(SUBSTITUTE(SUBSTITUTE(SUBSTITUTE(UPPER(IFERROR(INDEX('Base de Personas'!$F7:F21,MATCH($A28,'Base de Personas'!$B7:B21,0)),IFERROR(INDEX($E$5:E27,MATCH($A28,$A$5:A27,0)),""))),"Á","A"),"É","E"),"Í","I"),"Ó","O"),"Ú","U"),"Ü","U")))</f>
        <v>UNIDAD LEGAL DEL SECTOR FINANCIERO</v>
      </c>
      <c r="F28" s="36" t="str">
        <f aca="false">IF($A28="","",TRIM(SUBSTITUTE(SUBSTITUTE(SUBSTITUTE(SUBSTITUTE(SUBSTITUTE(SUBSTITUTE(UPPER(IFERROR(INDEX('Base de Personas'!$G7:G21,MATCH($A28,'Base de Personas'!$B7:B21,0)),IFERROR(INDEX($F$5:F27,MATCH($A28,$A$5:A27,0)),""))),"Á","A"),"É","E"),"Í","I"),"Ó","O"),"Ú","U"),"Ü","U")))</f>
        <v>ANALISTA LEGAL DEL SECTOR FINANCIERO ZONAL 2</v>
      </c>
      <c r="G28" s="37" t="str">
        <f aca="false">IF($A28="","",TRIM(SUBSTITUTE(SUBSTITUTE(SUBSTITUTE(SUBSTITUTE(SUBSTITUTE(SUBSTITUTE(UPPER(IFERROR(INDEX('Base de Personas'!$H7:H21,MATCH($A28,'Base de Personas'!$B7:B21,0)),IFERROR(INDEX($G$5:G27,MATCH($A28,$A$5:A27,0)),""))),"Á","A"),"É","E"),"Í","I"),"Ó","O"),"Ú","U"),"Ü","U")))</f>
        <v>SERVIDOR PUBLICO 7</v>
      </c>
      <c r="H28" s="38" t="n">
        <f aca="false">IF($A28="","",IFERROR(INDEX('Base de Personas'!$I$7:$I$21,MATCH($A28,'Base de Personas'!$B$7:$B$21,0)),IFERROR(INDEX($H$5:H27,MATCH($A28,$A$5:A27,0)),"")))</f>
        <v>1676</v>
      </c>
      <c r="I28" s="39" t="s">
        <v>145</v>
      </c>
      <c r="J28" s="40" t="n">
        <v>46013</v>
      </c>
      <c r="K28" s="40" t="n">
        <v>46377</v>
      </c>
      <c r="L28" s="39" t="s">
        <v>165</v>
      </c>
      <c r="M28" s="41" t="n">
        <f aca="false">IF($A28="","",IF(K28=_xlfn.MAXIFS($K$5:$K$304,$A$5:$A$304,$A28),1,0))</f>
        <v>1</v>
      </c>
      <c r="N28" s="41" t="str">
        <f aca="false">IF($A28="","",IF(M28=1,$A28&amp;"-ACT",""))</f>
        <v>0302025838-ACT</v>
      </c>
      <c r="O28" s="41" t="n">
        <f aca="false">IF($A28="","",IF(AND(COUNTIF('Base de Personas'!$B$7:$B$21,$A28)=0,COUNTIF($A$5:A28,$A28)=1),1,0))</f>
        <v>0</v>
      </c>
      <c r="P28" s="41" t="str">
        <f aca="false">IF(O28=1,SUM($O$5:O28),"")</f>
        <v/>
      </c>
    </row>
    <row r="29" customFormat="false" ht="35.05" hidden="false" customHeight="false" outlineLevel="0" collapsed="false">
      <c r="A29" s="35" t="s">
        <v>111</v>
      </c>
      <c r="B29" s="36" t="str">
        <f aca="false">IF($A29="","",TRIM(SUBSTITUTE(SUBSTITUTE(SUBSTITUTE(SUBSTITUTE(SUBSTITUTE(SUBSTITUTE(UPPER(IFERROR(INDEX('Base de Personas'!$C7:C21,MATCH($A29,'Base de Personas'!$B7:B21,0)),IFERROR(INDEX($B$5:B28,MATCH($A29,$A$5:A28,0)),""))),"Á","A"),"É","E"),"Í","I"),"Ó","O"),"Ú","U"),"Ü","U")))</f>
        <v>BRICEÑO PILA ANA MARIA</v>
      </c>
      <c r="C29" s="37" t="str">
        <f aca="false">IF($A29="","",TRIM(SUBSTITUTE(SUBSTITUTE(SUBSTITUTE(SUBSTITUTE(SUBSTITUTE(SUBSTITUTE(UPPER(IFERROR(INDEX('Base de Personas'!$D7:D21,MATCH($A29,'Base de Personas'!$B7:B21,0)),IFERROR(INDEX($C$5:C28,MATCH($A29,$A$5:A28,0)),""))),"Á","A"),"É","E"),"Í","I"),"Ó","O"),"Ú","U"),"Ü","U")))</f>
        <v>QUITO</v>
      </c>
      <c r="D29" s="36" t="str">
        <f aca="false">IF($A29="","",TRIM(SUBSTITUTE(SUBSTITUTE(SUBSTITUTE(SUBSTITUTE(SUBSTITUTE(SUBSTITUTE(UPPER(IFERROR(INDEX('Base de Personas'!$E7:E21,MATCH($A29,'Base de Personas'!$B7:B21,0)),IFERROR(INDEX($D$5:D28,MATCH($A29,$A$5:A28,0)),""))),"Á","A"),"É","E"),"Í","I"),"Ó","O"),"Ú","U"),"Ü","U")))</f>
        <v>INTENDENCIA NACIONAL DE RIESGOS</v>
      </c>
      <c r="E29" s="36" t="str">
        <f aca="false">IF($A29="","",TRIM(SUBSTITUTE(SUBSTITUTE(SUBSTITUTE(SUBSTITUTE(SUBSTITUTE(SUBSTITUTE(UPPER(IFERROR(INDEX('Base de Personas'!$F7:F21,MATCH($A29,'Base de Personas'!$B7:B21,0)),IFERROR(INDEX($E$5:E28,MATCH($A29,$A$5:A28,0)),""))),"Á","A"),"É","E"),"Í","I"),"Ó","O"),"Ú","U"),"Ü","U")))</f>
        <v>DIRECCION NACIONAL DE SEGUIMIENTO</v>
      </c>
      <c r="F29" s="36" t="str">
        <f aca="false">IF($A29="","",TRIM(SUBSTITUTE(SUBSTITUTE(SUBSTITUTE(SUBSTITUTE(SUBSTITUTE(SUBSTITUTE(UPPER(IFERROR(INDEX('Base de Personas'!$G7:G21,MATCH($A29,'Base de Personas'!$B7:B21,0)),IFERROR(INDEX($F$5:F28,MATCH($A29,$A$5:A28,0)),""))),"Á","A"),"É","E"),"Í","I"),"Ó","O"),"Ú","U"),"Ü","U")))</f>
        <v>ANALISTA DE SUPERVISION AUXILIAR DE LA EPS 1</v>
      </c>
      <c r="G29" s="37" t="str">
        <f aca="false">IF($A29="","",TRIM(SUBSTITUTE(SUBSTITUTE(SUBSTITUTE(SUBSTITUTE(SUBSTITUTE(SUBSTITUTE(UPPER(IFERROR(INDEX('Base de Personas'!$H7:H21,MATCH($A29,'Base de Personas'!$B7:B21,0)),IFERROR(INDEX($G$5:G28,MATCH($A29,$A$5:A28,0)),""))),"Á","A"),"É","E"),"Í","I"),"Ó","O"),"Ú","U"),"Ü","U")))</f>
        <v>SERVIDOR PUBLICO 5</v>
      </c>
      <c r="H29" s="38" t="n">
        <f aca="false">IF($A29="","",IFERROR(INDEX('Base de Personas'!$I$7:$I$21,MATCH($A29,'Base de Personas'!$B$7:$B$21,0)),IFERROR(INDEX($H$5:H28,MATCH($A29,$A$5:A28,0)),"")))</f>
        <v>1212</v>
      </c>
      <c r="I29" s="39" t="s">
        <v>144</v>
      </c>
      <c r="J29" s="40" t="n">
        <v>46113</v>
      </c>
      <c r="K29" s="40" t="n">
        <v>46843</v>
      </c>
      <c r="L29" s="39" t="s">
        <v>165</v>
      </c>
      <c r="M29" s="41" t="n">
        <f aca="false">IF($A29="","",IF(K29=_xlfn.MAXIFS($K$5:$K$304,$A$5:$A$304,$A29),1,0))</f>
        <v>1</v>
      </c>
      <c r="N29" s="41" t="str">
        <f aca="false">IF($A29="","",IF(M29=1,$A29&amp;"-ACT",""))</f>
        <v>1715408819-ACT</v>
      </c>
      <c r="O29" s="41" t="n">
        <f aca="false">IF($A29="","",IF(AND(COUNTIF('Base de Personas'!$B$7:$B$21,$A29)=0,COUNTIF($A$5:A29,$A29)=1),1,0))</f>
        <v>0</v>
      </c>
      <c r="P29" s="41" t="str">
        <f aca="false">IF(O29=1,SUM($O$5:O29),"")</f>
        <v/>
      </c>
    </row>
    <row r="30" customFormat="false" ht="46.25" hidden="false" customHeight="false" outlineLevel="0" collapsed="false">
      <c r="A30" s="35" t="s">
        <v>116</v>
      </c>
      <c r="B30" s="36" t="str">
        <f aca="false">IF($A30="","",TRIM(SUBSTITUTE(SUBSTITUTE(SUBSTITUTE(SUBSTITUTE(SUBSTITUTE(SUBSTITUTE(UPPER(IFERROR(INDEX('Base de Personas'!$C7:C21,MATCH($A30,'Base de Personas'!$B7:B21,0)),IFERROR(INDEX($B$5:B29,MATCH($A30,$A$5:A29,0)),""))),"Á","A"),"É","E"),"Í","I"),"Ó","O"),"Ú","U"),"Ü","U")))</f>
        <v>PAUCAR AREVALO JACQUELINE ESTEFANIA</v>
      </c>
      <c r="C30" s="37" t="str">
        <f aca="false">IF($A30="","",TRIM(SUBSTITUTE(SUBSTITUTE(SUBSTITUTE(SUBSTITUTE(SUBSTITUTE(SUBSTITUTE(UPPER(IFERROR(INDEX('Base de Personas'!$D7:D21,MATCH($A30,'Base de Personas'!$B7:B21,0)),IFERROR(INDEX($C$5:C29,MATCH($A30,$A$5:A29,0)),""))),"Á","A"),"É","E"),"Í","I"),"Ó","O"),"Ú","U"),"Ü","U")))</f>
        <v>QUITO</v>
      </c>
      <c r="D30" s="36" t="str">
        <f aca="false">IF($A30="","",TRIM(SUBSTITUTE(SUBSTITUTE(SUBSTITUTE(SUBSTITUTE(SUBSTITUTE(SUBSTITUTE(UPPER(IFERROR(INDEX('Base de Personas'!$E7:E21,MATCH($A30,'Base de Personas'!$B7:B21,0)),IFERROR(INDEX($D$5:D29,MATCH($A30,$A$5:A29,0)),""))),"Á","A"),"É","E"),"Í","I"),"Ó","O"),"Ú","U"),"Ü","U")))</f>
        <v>INTENDENCIA NACIONAL DE GESTION DE LA INFORMACION Y NORMATIVA TECNICA</v>
      </c>
      <c r="E30" s="36" t="str">
        <f aca="false">IF($A30="","",TRIM(SUBSTITUTE(SUBSTITUTE(SUBSTITUTE(SUBSTITUTE(SUBSTITUTE(SUBSTITUTE(UPPER(IFERROR(INDEX('Base de Personas'!$F7:F21,MATCH($A30,'Base de Personas'!$B7:B21,0)),IFERROR(INDEX($E$5:E29,MATCH($A30,$A$5:A29,0)),""))),"Á","A"),"É","E"),"Í","I"),"Ó","O"),"Ú","U"),"Ü","U")))</f>
        <v>DIRECCION NACIONAL DE ESTUDIOS, DESARROLLO E INNOVACION</v>
      </c>
      <c r="F30" s="36" t="str">
        <f aca="false">IF($A30="","",TRIM(SUBSTITUTE(SUBSTITUTE(SUBSTITUTE(SUBSTITUTE(SUBSTITUTE(SUBSTITUTE(UPPER(IFERROR(INDEX('Base de Personas'!$G7:G21,MATCH($A30,'Base de Personas'!$B7:B21,0)),IFERROR(INDEX($F$5:F29,MATCH($A30,$A$5:A29,0)),""))),"Á","A"),"É","E"),"Í","I"),"Ó","O"),"Ú","U"),"Ü","U")))</f>
        <v>ANALISTA DE INVESTIGACION Y CAPACITACION 1</v>
      </c>
      <c r="G30" s="37" t="str">
        <f aca="false">IF($A30="","",TRIM(SUBSTITUTE(SUBSTITUTE(SUBSTITUTE(SUBSTITUTE(SUBSTITUTE(SUBSTITUTE(UPPER(IFERROR(INDEX('Base de Personas'!$H7:H21,MATCH($A30,'Base de Personas'!$B7:B21,0)),IFERROR(INDEX($G$5:G29,MATCH($A30,$A$5:A29,0)),""))),"Á","A"),"É","E"),"Í","I"),"Ó","O"),"Ú","U"),"Ü","U")))</f>
        <v>SERVIDOR PUBLICO 5</v>
      </c>
      <c r="H30" s="38" t="n">
        <f aca="false">IF($A30="","",IFERROR(INDEX('Base de Personas'!$I$7:$I$21,MATCH($A30,'Base de Personas'!$B$7:$B$21,0)),IFERROR(INDEX($H$5:H29,MATCH($A30,$A$5:A29,0)),"")))</f>
        <v>1212</v>
      </c>
      <c r="I30" s="39" t="s">
        <v>146</v>
      </c>
      <c r="J30" s="40" t="n">
        <v>46113</v>
      </c>
      <c r="K30" s="40" t="n">
        <v>46477</v>
      </c>
      <c r="L30" s="39" t="s">
        <v>165</v>
      </c>
      <c r="M30" s="41" t="n">
        <f aca="false">IF($A30="","",IF(K30=_xlfn.MAXIFS($K$5:$K$304,$A$5:$A$304,$A30),1,0))</f>
        <v>1</v>
      </c>
      <c r="N30" s="41" t="str">
        <f aca="false">IF($A30="","",IF(M30=1,$A30&amp;"-ACT",""))</f>
        <v>1725390221-ACT</v>
      </c>
      <c r="O30" s="41" t="n">
        <f aca="false">IF($A30="","",IF(AND(COUNTIF('Base de Personas'!$B$7:$B$21,$A30)=0,COUNTIF($A$5:A30,$A30)=1),1,0))</f>
        <v>0</v>
      </c>
      <c r="P30" s="41" t="str">
        <f aca="false">IF(O30=1,SUM($O$5:O30),"")</f>
        <v/>
      </c>
    </row>
    <row r="31" customFormat="false" ht="35.05" hidden="false" customHeight="false" outlineLevel="0" collapsed="false">
      <c r="A31" s="35" t="s">
        <v>121</v>
      </c>
      <c r="B31" s="36" t="str">
        <f aca="false">IF($A31="","",TRIM(SUBSTITUTE(SUBSTITUTE(SUBSTITUTE(SUBSTITUTE(SUBSTITUTE(SUBSTITUTE(UPPER(IFERROR(INDEX('Base de Personas'!$C7:C21,MATCH($A31,'Base de Personas'!$B7:B21,0)),IFERROR(INDEX($B$5:B30,MATCH($A31,$A$5:A30,0)),""))),"Á","A"),"É","E"),"Í","I"),"Ó","O"),"Ú","U"),"Ü","U")))</f>
        <v>BEDON VELASCO KARINA SALOME</v>
      </c>
      <c r="C31" s="37" t="str">
        <f aca="false">IF($A31="","",TRIM(SUBSTITUTE(SUBSTITUTE(SUBSTITUTE(SUBSTITUTE(SUBSTITUTE(SUBSTITUTE(UPPER(IFERROR(INDEX('Base de Personas'!$D7:D21,MATCH($A31,'Base de Personas'!$B7:B21,0)),IFERROR(INDEX($C$5:C30,MATCH($A31,$A$5:A30,0)),""))),"Á","A"),"É","E"),"Í","I"),"Ó","O"),"Ú","U"),"Ü","U")))</f>
        <v>QUITO</v>
      </c>
      <c r="D31" s="36" t="str">
        <f aca="false">IF($A31="","",TRIM(SUBSTITUTE(SUBSTITUTE(SUBSTITUTE(SUBSTITUTE(SUBSTITUTE(SUBSTITUTE(UPPER(IFERROR(INDEX('Base de Personas'!$E7:E21,MATCH($A31,'Base de Personas'!$B7:B21,0)),IFERROR(INDEX($D$5:D30,MATCH($A31,$A$5:A30,0)),""))),"Á","A"),"É","E"),"Í","I"),"Ó","O"),"Ú","U"),"Ü","U")))</f>
        <v>INTENDENCIA NACIONAL ADMINISTRATIVA FINANCIERA</v>
      </c>
      <c r="E31" s="36" t="str">
        <f aca="false">IF($A31="","",TRIM(SUBSTITUTE(SUBSTITUTE(SUBSTITUTE(SUBSTITUTE(SUBSTITUTE(SUBSTITUTE(UPPER(IFERROR(INDEX('Base de Personas'!$F7:F21,MATCH($A31,'Base de Personas'!$B7:B21,0)),IFERROR(INDEX($E$5:E30,MATCH($A31,$A$5:A30,0)),""))),"Á","A"),"É","E"),"Í","I"),"Ó","O"),"Ú","U"),"Ü","U")))</f>
        <v>DIRECCION NACIONAL ADMINISTRATIVA</v>
      </c>
      <c r="F31" s="36" t="str">
        <f aca="false">IF($A31="","",TRIM(SUBSTITUTE(SUBSTITUTE(SUBSTITUTE(SUBSTITUTE(SUBSTITUTE(SUBSTITUTE(UPPER(IFERROR(INDEX('Base de Personas'!$G7:G21,MATCH($A31,'Base de Personas'!$B7:B21,0)),IFERROR(INDEX($F$5:F30,MATCH($A31,$A$5:A30,0)),""))),"Á","A"),"É","E"),"Í","I"),"Ó","O"),"Ú","U"),"Ü","U")))</f>
        <v>ASISTENTE DE COMPRAS PUBLICAS</v>
      </c>
      <c r="G31" s="37" t="str">
        <f aca="false">IF($A31="","",TRIM(SUBSTITUTE(SUBSTITUTE(SUBSTITUTE(SUBSTITUTE(SUBSTITUTE(SUBSTITUTE(UPPER(IFERROR(INDEX('Base de Personas'!$H7:H21,MATCH($A31,'Base de Personas'!$B7:B21,0)),IFERROR(INDEX($G$5:G30,MATCH($A31,$A$5:A30,0)),""))),"Á","A"),"É","E"),"Í","I"),"Ó","O"),"Ú","U"),"Ü","U")))</f>
        <v>SERVIDOR PUBLICO 1</v>
      </c>
      <c r="H31" s="38" t="n">
        <f aca="false">IF($A31="","",IFERROR(INDEX('Base de Personas'!$I$7:$I$21,MATCH($A31,'Base de Personas'!$B$7:$B$21,0)),IFERROR(INDEX($H$5:H30,MATCH($A31,$A$5:A30,0)),"")))</f>
        <v>817</v>
      </c>
      <c r="I31" s="39" t="s">
        <v>147</v>
      </c>
      <c r="J31" s="40" t="n">
        <v>46132</v>
      </c>
      <c r="K31" s="40" t="n">
        <v>46265</v>
      </c>
      <c r="L31" s="39" t="s">
        <v>165</v>
      </c>
      <c r="M31" s="41" t="n">
        <f aca="false">IF($A31="","",IF(K31=_xlfn.MAXIFS($K$5:$K$304,$A$5:$A$304,$A31),1,0))</f>
        <v>1</v>
      </c>
      <c r="N31" s="41" t="str">
        <f aca="false">IF($A31="","",IF(M31=1,$A31&amp;"-ACT",""))</f>
        <v>1721084919-ACT</v>
      </c>
      <c r="O31" s="41" t="n">
        <f aca="false">IF($A31="","",IF(AND(COUNTIF('Base de Personas'!$B$7:$B$21,$A31)=0,COUNTIF($A$5:A31,$A31)=1),1,0))</f>
        <v>0</v>
      </c>
      <c r="P31" s="41" t="str">
        <f aca="false">IF(O31=1,SUM($O$5:O31),"")</f>
        <v/>
      </c>
    </row>
    <row r="32" customFormat="false" ht="15" hidden="false" customHeight="false" outlineLevel="0" collapsed="false">
      <c r="A32" s="42"/>
      <c r="B32" s="43" t="str">
        <f aca="false">IF($A32="","",TRIM(SUBSTITUTE(SUBSTITUTE(SUBSTITUTE(SUBSTITUTE(SUBSTITUTE(SUBSTITUTE(UPPER(IFERROR(INDEX('Base de Personas'!$C7:C21,MATCH($A32,'Base de Personas'!$B7:B21,0)),IFERROR(INDEX($B$5:B31,MATCH($A32,$A$5:A31,0)),""))),"Á","A"),"É","E"),"Í","I"),"Ó","O"),"Ú","U"),"Ü","U")))</f>
        <v/>
      </c>
      <c r="C32" s="44" t="str">
        <f aca="false">IF($A32="","",TRIM(SUBSTITUTE(SUBSTITUTE(SUBSTITUTE(SUBSTITUTE(SUBSTITUTE(SUBSTITUTE(UPPER(IFERROR(INDEX('Base de Personas'!$D7:D21,MATCH($A32,'Base de Personas'!$B7:B21,0)),IFERROR(INDEX($C$5:C31,MATCH($A32,$A$5:A31,0)),""))),"Á","A"),"É","E"),"Í","I"),"Ó","O"),"Ú","U"),"Ü","U")))</f>
        <v/>
      </c>
      <c r="D32" s="43" t="str">
        <f aca="false">IF($A32="","",TRIM(SUBSTITUTE(SUBSTITUTE(SUBSTITUTE(SUBSTITUTE(SUBSTITUTE(SUBSTITUTE(UPPER(IFERROR(INDEX('Base de Personas'!$E7:E21,MATCH($A32,'Base de Personas'!$B7:B21,0)),IFERROR(INDEX($D$5:D31,MATCH($A32,$A$5:A31,0)),""))),"Á","A"),"É","E"),"Í","I"),"Ó","O"),"Ú","U"),"Ü","U")))</f>
        <v/>
      </c>
      <c r="E32" s="43" t="str">
        <f aca="false">IF($A32="","",TRIM(SUBSTITUTE(SUBSTITUTE(SUBSTITUTE(SUBSTITUTE(SUBSTITUTE(SUBSTITUTE(UPPER(IFERROR(INDEX('Base de Personas'!$F7:F21,MATCH($A32,'Base de Personas'!$B7:B21,0)),IFERROR(INDEX($E$5:E31,MATCH($A32,$A$5:A31,0)),""))),"Á","A"),"É","E"),"Í","I"),"Ó","O"),"Ú","U"),"Ü","U")))</f>
        <v/>
      </c>
      <c r="F32" s="43" t="str">
        <f aca="false">IF($A32="","",TRIM(SUBSTITUTE(SUBSTITUTE(SUBSTITUTE(SUBSTITUTE(SUBSTITUTE(SUBSTITUTE(UPPER(IFERROR(INDEX('Base de Personas'!$G7:G21,MATCH($A32,'Base de Personas'!$B7:B21,0)),IFERROR(INDEX($F$5:F31,MATCH($A32,$A$5:A31,0)),""))),"Á","A"),"É","E"),"Í","I"),"Ó","O"),"Ú","U"),"Ü","U")))</f>
        <v/>
      </c>
      <c r="G32" s="44" t="str">
        <f aca="false">IF($A32="","",TRIM(SUBSTITUTE(SUBSTITUTE(SUBSTITUTE(SUBSTITUTE(SUBSTITUTE(SUBSTITUTE(UPPER(IFERROR(INDEX('Base de Personas'!$H7:H21,MATCH($A32,'Base de Personas'!$B7:B21,0)),IFERROR(INDEX($G$5:G31,MATCH($A32,$A$5:A31,0)),""))),"Á","A"),"É","E"),"Í","I"),"Ó","O"),"Ú","U"),"Ü","U")))</f>
        <v/>
      </c>
      <c r="H32" s="45" t="str">
        <f aca="false">IF($A32="","",IFERROR(INDEX('Base de Personas'!$I$7:$I$21,MATCH($A32,'Base de Personas'!$B$7:$B$21,0)),IFERROR(INDEX($H$5:H31,MATCH($A32,$A$5:A31,0)),"")))</f>
        <v/>
      </c>
      <c r="I32" s="46"/>
      <c r="J32" s="47"/>
      <c r="K32" s="47"/>
      <c r="L32" s="46"/>
      <c r="M32" s="48" t="str">
        <f aca="false">IF($A32="","",IF(K32=_xlfn.MAXIFS($K$5:$K$304,$A$5:$A$304,$A32),1,0))</f>
        <v/>
      </c>
      <c r="N32" s="48" t="str">
        <f aca="false">IF($A32="","",IF(M32=1,$A32&amp;"-ACT",""))</f>
        <v/>
      </c>
      <c r="O32" s="48" t="str">
        <f aca="false">IF($A32="","",IF(AND(COUNTIF('Base de Personas'!$B$7:$B$21,$A32)=0,COUNTIF($A$5:A32,$A32)=1),1,0))</f>
        <v/>
      </c>
      <c r="P32" s="48" t="str">
        <f aca="false">IF(O32=1,SUM($O$5:O32),"")</f>
        <v/>
      </c>
    </row>
    <row r="33" customFormat="false" ht="15" hidden="false" customHeight="false" outlineLevel="0" collapsed="false">
      <c r="A33" s="35"/>
      <c r="B33" s="36" t="str">
        <f aca="false">IF($A33="","",TRIM(SUBSTITUTE(SUBSTITUTE(SUBSTITUTE(SUBSTITUTE(SUBSTITUTE(SUBSTITUTE(UPPER(IFERROR(INDEX('Base de Personas'!$C7:C21,MATCH($A33,'Base de Personas'!$B7:B21,0)),IFERROR(INDEX($B$5:B32,MATCH($A33,$A$5:A32,0)),""))),"Á","A"),"É","E"),"Í","I"),"Ó","O"),"Ú","U"),"Ü","U")))</f>
        <v/>
      </c>
      <c r="C33" s="37" t="str">
        <f aca="false">IF($A33="","",TRIM(SUBSTITUTE(SUBSTITUTE(SUBSTITUTE(SUBSTITUTE(SUBSTITUTE(SUBSTITUTE(UPPER(IFERROR(INDEX('Base de Personas'!$D7:D21,MATCH($A33,'Base de Personas'!$B7:B21,0)),IFERROR(INDEX($C$5:C32,MATCH($A33,$A$5:A32,0)),""))),"Á","A"),"É","E"),"Í","I"),"Ó","O"),"Ú","U"),"Ü","U")))</f>
        <v/>
      </c>
      <c r="D33" s="36" t="str">
        <f aca="false">IF($A33="","",TRIM(SUBSTITUTE(SUBSTITUTE(SUBSTITUTE(SUBSTITUTE(SUBSTITUTE(SUBSTITUTE(UPPER(IFERROR(INDEX('Base de Personas'!$E7:E21,MATCH($A33,'Base de Personas'!$B7:B21,0)),IFERROR(INDEX($D$5:D32,MATCH($A33,$A$5:A32,0)),""))),"Á","A"),"É","E"),"Í","I"),"Ó","O"),"Ú","U"),"Ü","U")))</f>
        <v/>
      </c>
      <c r="E33" s="36" t="str">
        <f aca="false">IF($A33="","",TRIM(SUBSTITUTE(SUBSTITUTE(SUBSTITUTE(SUBSTITUTE(SUBSTITUTE(SUBSTITUTE(UPPER(IFERROR(INDEX('Base de Personas'!$F7:F21,MATCH($A33,'Base de Personas'!$B7:B21,0)),IFERROR(INDEX($E$5:E32,MATCH($A33,$A$5:A32,0)),""))),"Á","A"),"É","E"),"Í","I"),"Ó","O"),"Ú","U"),"Ü","U")))</f>
        <v/>
      </c>
      <c r="F33" s="36" t="str">
        <f aca="false">IF($A33="","",TRIM(SUBSTITUTE(SUBSTITUTE(SUBSTITUTE(SUBSTITUTE(SUBSTITUTE(SUBSTITUTE(UPPER(IFERROR(INDEX('Base de Personas'!$G7:G21,MATCH($A33,'Base de Personas'!$B7:B21,0)),IFERROR(INDEX($F$5:F32,MATCH($A33,$A$5:A32,0)),""))),"Á","A"),"É","E"),"Í","I"),"Ó","O"),"Ú","U"),"Ü","U")))</f>
        <v/>
      </c>
      <c r="G33" s="37" t="str">
        <f aca="false">IF($A33="","",TRIM(SUBSTITUTE(SUBSTITUTE(SUBSTITUTE(SUBSTITUTE(SUBSTITUTE(SUBSTITUTE(UPPER(IFERROR(INDEX('Base de Personas'!$H7:H21,MATCH($A33,'Base de Personas'!$B7:B21,0)),IFERROR(INDEX($G$5:G32,MATCH($A33,$A$5:A32,0)),""))),"Á","A"),"É","E"),"Í","I"),"Ó","O"),"Ú","U"),"Ü","U")))</f>
        <v/>
      </c>
      <c r="H33" s="38" t="str">
        <f aca="false">IF($A33="","",IFERROR(INDEX('Base de Personas'!$I$7:$I$21,MATCH($A33,'Base de Personas'!$B$7:$B$21,0)),IFERROR(INDEX($H$5:H32,MATCH($A33,$A$5:A32,0)),"")))</f>
        <v/>
      </c>
      <c r="I33" s="39"/>
      <c r="J33" s="40"/>
      <c r="K33" s="40"/>
      <c r="L33" s="39"/>
      <c r="M33" s="41" t="str">
        <f aca="false">IF($A33="","",IF(K33=_xlfn.MAXIFS($K$5:$K$304,$A$5:$A$304,$A33),1,0))</f>
        <v/>
      </c>
      <c r="N33" s="41" t="str">
        <f aca="false">IF($A33="","",IF(M33=1,$A33&amp;"-ACT",""))</f>
        <v/>
      </c>
      <c r="O33" s="41" t="str">
        <f aca="false">IF($A33="","",IF(AND(COUNTIF('Base de Personas'!$B$7:$B$21,$A33)=0,COUNTIF($A$5:A33,$A33)=1),1,0))</f>
        <v/>
      </c>
      <c r="P33" s="41" t="str">
        <f aca="false">IF(O33=1,SUM($O$5:O33),"")</f>
        <v/>
      </c>
    </row>
    <row r="34" customFormat="false" ht="15" hidden="false" customHeight="false" outlineLevel="0" collapsed="false">
      <c r="A34" s="35"/>
      <c r="B34" s="36" t="str">
        <f aca="false">IF($A34="","",TRIM(SUBSTITUTE(SUBSTITUTE(SUBSTITUTE(SUBSTITUTE(SUBSTITUTE(SUBSTITUTE(UPPER(IFERROR(INDEX('Base de Personas'!$C7:C21,MATCH($A34,'Base de Personas'!$B7:B21,0)),IFERROR(INDEX($B$5:B33,MATCH($A34,$A$5:A33,0)),""))),"Á","A"),"É","E"),"Í","I"),"Ó","O"),"Ú","U"),"Ü","U")))</f>
        <v/>
      </c>
      <c r="C34" s="37" t="str">
        <f aca="false">IF($A34="","",TRIM(SUBSTITUTE(SUBSTITUTE(SUBSTITUTE(SUBSTITUTE(SUBSTITUTE(SUBSTITUTE(UPPER(IFERROR(INDEX('Base de Personas'!$D7:D21,MATCH($A34,'Base de Personas'!$B7:B21,0)),IFERROR(INDEX($C$5:C33,MATCH($A34,$A$5:A33,0)),""))),"Á","A"),"É","E"),"Í","I"),"Ó","O"),"Ú","U"),"Ü","U")))</f>
        <v/>
      </c>
      <c r="D34" s="36" t="str">
        <f aca="false">IF($A34="","",TRIM(SUBSTITUTE(SUBSTITUTE(SUBSTITUTE(SUBSTITUTE(SUBSTITUTE(SUBSTITUTE(UPPER(IFERROR(INDEX('Base de Personas'!$E7:E21,MATCH($A34,'Base de Personas'!$B7:B21,0)),IFERROR(INDEX($D$5:D33,MATCH($A34,$A$5:A33,0)),""))),"Á","A"),"É","E"),"Í","I"),"Ó","O"),"Ú","U"),"Ü","U")))</f>
        <v/>
      </c>
      <c r="E34" s="36" t="str">
        <f aca="false">IF($A34="","",TRIM(SUBSTITUTE(SUBSTITUTE(SUBSTITUTE(SUBSTITUTE(SUBSTITUTE(SUBSTITUTE(UPPER(IFERROR(INDEX('Base de Personas'!$F7:F21,MATCH($A34,'Base de Personas'!$B7:B21,0)),IFERROR(INDEX($E$5:E33,MATCH($A34,$A$5:A33,0)),""))),"Á","A"),"É","E"),"Í","I"),"Ó","O"),"Ú","U"),"Ü","U")))</f>
        <v/>
      </c>
      <c r="F34" s="36" t="str">
        <f aca="false">IF($A34="","",TRIM(SUBSTITUTE(SUBSTITUTE(SUBSTITUTE(SUBSTITUTE(SUBSTITUTE(SUBSTITUTE(UPPER(IFERROR(INDEX('Base de Personas'!$G7:G21,MATCH($A34,'Base de Personas'!$B7:B21,0)),IFERROR(INDEX($F$5:F33,MATCH($A34,$A$5:A33,0)),""))),"Á","A"),"É","E"),"Í","I"),"Ó","O"),"Ú","U"),"Ü","U")))</f>
        <v/>
      </c>
      <c r="G34" s="37" t="str">
        <f aca="false">IF($A34="","",TRIM(SUBSTITUTE(SUBSTITUTE(SUBSTITUTE(SUBSTITUTE(SUBSTITUTE(SUBSTITUTE(UPPER(IFERROR(INDEX('Base de Personas'!$H7:H21,MATCH($A34,'Base de Personas'!$B7:B21,0)),IFERROR(INDEX($G$5:G33,MATCH($A34,$A$5:A33,0)),""))),"Á","A"),"É","E"),"Í","I"),"Ó","O"),"Ú","U"),"Ü","U")))</f>
        <v/>
      </c>
      <c r="H34" s="38" t="str">
        <f aca="false">IF($A34="","",IFERROR(INDEX('Base de Personas'!$I$7:$I$21,MATCH($A34,'Base de Personas'!$B$7:$B$21,0)),IFERROR(INDEX($H$5:H33,MATCH($A34,$A$5:A33,0)),"")))</f>
        <v/>
      </c>
      <c r="I34" s="39"/>
      <c r="J34" s="40"/>
      <c r="K34" s="40"/>
      <c r="L34" s="39"/>
      <c r="M34" s="41" t="str">
        <f aca="false">IF($A34="","",IF(K34=_xlfn.MAXIFS($K$5:$K$304,$A$5:$A$304,$A34),1,0))</f>
        <v/>
      </c>
      <c r="N34" s="41" t="str">
        <f aca="false">IF($A34="","",IF(M34=1,$A34&amp;"-ACT",""))</f>
        <v/>
      </c>
      <c r="O34" s="41" t="str">
        <f aca="false">IF($A34="","",IF(AND(COUNTIF('Base de Personas'!$B$7:$B$21,$A34)=0,COUNTIF($A$5:A34,$A34)=1),1,0))</f>
        <v/>
      </c>
      <c r="P34" s="41" t="str">
        <f aca="false">IF(O34=1,SUM($O$5:O34),"")</f>
        <v/>
      </c>
    </row>
    <row r="35" customFormat="false" ht="15" hidden="false" customHeight="false" outlineLevel="0" collapsed="false">
      <c r="A35" s="35"/>
      <c r="B35" s="36" t="str">
        <f aca="false">IF($A35="","",TRIM(SUBSTITUTE(SUBSTITUTE(SUBSTITUTE(SUBSTITUTE(SUBSTITUTE(SUBSTITUTE(UPPER(IFERROR(INDEX('Base de Personas'!$C7:C21,MATCH($A35,'Base de Personas'!$B7:B21,0)),IFERROR(INDEX($B$5:B34,MATCH($A35,$A$5:A34,0)),""))),"Á","A"),"É","E"),"Í","I"),"Ó","O"),"Ú","U"),"Ü","U")))</f>
        <v/>
      </c>
      <c r="C35" s="37" t="str">
        <f aca="false">IF($A35="","",TRIM(SUBSTITUTE(SUBSTITUTE(SUBSTITUTE(SUBSTITUTE(SUBSTITUTE(SUBSTITUTE(UPPER(IFERROR(INDEX('Base de Personas'!$D7:D21,MATCH($A35,'Base de Personas'!$B7:B21,0)),IFERROR(INDEX($C$5:C34,MATCH($A35,$A$5:A34,0)),""))),"Á","A"),"É","E"),"Í","I"),"Ó","O"),"Ú","U"),"Ü","U")))</f>
        <v/>
      </c>
      <c r="D35" s="36" t="str">
        <f aca="false">IF($A35="","",TRIM(SUBSTITUTE(SUBSTITUTE(SUBSTITUTE(SUBSTITUTE(SUBSTITUTE(SUBSTITUTE(UPPER(IFERROR(INDEX('Base de Personas'!$E7:E21,MATCH($A35,'Base de Personas'!$B7:B21,0)),IFERROR(INDEX($D$5:D34,MATCH($A35,$A$5:A34,0)),""))),"Á","A"),"É","E"),"Í","I"),"Ó","O"),"Ú","U"),"Ü","U")))</f>
        <v/>
      </c>
      <c r="E35" s="36" t="str">
        <f aca="false">IF($A35="","",TRIM(SUBSTITUTE(SUBSTITUTE(SUBSTITUTE(SUBSTITUTE(SUBSTITUTE(SUBSTITUTE(UPPER(IFERROR(INDEX('Base de Personas'!$F7:F21,MATCH($A35,'Base de Personas'!$B7:B21,0)),IFERROR(INDEX($E$5:E34,MATCH($A35,$A$5:A34,0)),""))),"Á","A"),"É","E"),"Í","I"),"Ó","O"),"Ú","U"),"Ü","U")))</f>
        <v/>
      </c>
      <c r="F35" s="36" t="str">
        <f aca="false">IF($A35="","",TRIM(SUBSTITUTE(SUBSTITUTE(SUBSTITUTE(SUBSTITUTE(SUBSTITUTE(SUBSTITUTE(UPPER(IFERROR(INDEX('Base de Personas'!$G7:G21,MATCH($A35,'Base de Personas'!$B7:B21,0)),IFERROR(INDEX($F$5:F34,MATCH($A35,$A$5:A34,0)),""))),"Á","A"),"É","E"),"Í","I"),"Ó","O"),"Ú","U"),"Ü","U")))</f>
        <v/>
      </c>
      <c r="G35" s="37" t="str">
        <f aca="false">IF($A35="","",TRIM(SUBSTITUTE(SUBSTITUTE(SUBSTITUTE(SUBSTITUTE(SUBSTITUTE(SUBSTITUTE(UPPER(IFERROR(INDEX('Base de Personas'!$H7:H21,MATCH($A35,'Base de Personas'!$B7:B21,0)),IFERROR(INDEX($G$5:G34,MATCH($A35,$A$5:A34,0)),""))),"Á","A"),"É","E"),"Í","I"),"Ó","O"),"Ú","U"),"Ü","U")))</f>
        <v/>
      </c>
      <c r="H35" s="38" t="str">
        <f aca="false">IF($A35="","",IFERROR(INDEX('Base de Personas'!$I$7:$I$21,MATCH($A35,'Base de Personas'!$B$7:$B$21,0)),IFERROR(INDEX($H$5:H34,MATCH($A35,$A$5:A34,0)),"")))</f>
        <v/>
      </c>
      <c r="I35" s="39"/>
      <c r="J35" s="40"/>
      <c r="K35" s="40"/>
      <c r="L35" s="39"/>
      <c r="M35" s="41" t="str">
        <f aca="false">IF($A35="","",IF(K35=_xlfn.MAXIFS($K$5:$K$304,$A$5:$A$304,$A35),1,0))</f>
        <v/>
      </c>
      <c r="N35" s="41" t="str">
        <f aca="false">IF($A35="","",IF(M35=1,$A35&amp;"-ACT",""))</f>
        <v/>
      </c>
      <c r="O35" s="41" t="str">
        <f aca="false">IF($A35="","",IF(AND(COUNTIF('Base de Personas'!$B$7:$B$21,$A35)=0,COUNTIF($A$5:A35,$A35)=1),1,0))</f>
        <v/>
      </c>
      <c r="P35" s="41" t="str">
        <f aca="false">IF(O35=1,SUM($O$5:O35),"")</f>
        <v/>
      </c>
    </row>
    <row r="36" customFormat="false" ht="15" hidden="false" customHeight="false" outlineLevel="0" collapsed="false">
      <c r="A36" s="35"/>
      <c r="B36" s="36" t="str">
        <f aca="false">IF($A36="","",TRIM(SUBSTITUTE(SUBSTITUTE(SUBSTITUTE(SUBSTITUTE(SUBSTITUTE(SUBSTITUTE(UPPER(IFERROR(INDEX('Base de Personas'!$C7:C21,MATCH($A36,'Base de Personas'!$B7:B21,0)),IFERROR(INDEX($B$5:B35,MATCH($A36,$A$5:A35,0)),""))),"Á","A"),"É","E"),"Í","I"),"Ó","O"),"Ú","U"),"Ü","U")))</f>
        <v/>
      </c>
      <c r="C36" s="37" t="str">
        <f aca="false">IF($A36="","",TRIM(SUBSTITUTE(SUBSTITUTE(SUBSTITUTE(SUBSTITUTE(SUBSTITUTE(SUBSTITUTE(UPPER(IFERROR(INDEX('Base de Personas'!$D7:D21,MATCH($A36,'Base de Personas'!$B7:B21,0)),IFERROR(INDEX($C$5:C35,MATCH($A36,$A$5:A35,0)),""))),"Á","A"),"É","E"),"Í","I"),"Ó","O"),"Ú","U"),"Ü","U")))</f>
        <v/>
      </c>
      <c r="D36" s="36" t="str">
        <f aca="false">IF($A36="","",TRIM(SUBSTITUTE(SUBSTITUTE(SUBSTITUTE(SUBSTITUTE(SUBSTITUTE(SUBSTITUTE(UPPER(IFERROR(INDEX('Base de Personas'!$E7:E21,MATCH($A36,'Base de Personas'!$B7:B21,0)),IFERROR(INDEX($D$5:D35,MATCH($A36,$A$5:A35,0)),""))),"Á","A"),"É","E"),"Í","I"),"Ó","O"),"Ú","U"),"Ü","U")))</f>
        <v/>
      </c>
      <c r="E36" s="36" t="str">
        <f aca="false">IF($A36="","",TRIM(SUBSTITUTE(SUBSTITUTE(SUBSTITUTE(SUBSTITUTE(SUBSTITUTE(SUBSTITUTE(UPPER(IFERROR(INDEX('Base de Personas'!$F7:F21,MATCH($A36,'Base de Personas'!$B7:B21,0)),IFERROR(INDEX($E$5:E35,MATCH($A36,$A$5:A35,0)),""))),"Á","A"),"É","E"),"Í","I"),"Ó","O"),"Ú","U"),"Ü","U")))</f>
        <v/>
      </c>
      <c r="F36" s="36" t="str">
        <f aca="false">IF($A36="","",TRIM(SUBSTITUTE(SUBSTITUTE(SUBSTITUTE(SUBSTITUTE(SUBSTITUTE(SUBSTITUTE(UPPER(IFERROR(INDEX('Base de Personas'!$G7:G21,MATCH($A36,'Base de Personas'!$B7:B21,0)),IFERROR(INDEX($F$5:F35,MATCH($A36,$A$5:A35,0)),""))),"Á","A"),"É","E"),"Í","I"),"Ó","O"),"Ú","U"),"Ü","U")))</f>
        <v/>
      </c>
      <c r="G36" s="37" t="str">
        <f aca="false">IF($A36="","",TRIM(SUBSTITUTE(SUBSTITUTE(SUBSTITUTE(SUBSTITUTE(SUBSTITUTE(SUBSTITUTE(UPPER(IFERROR(INDEX('Base de Personas'!$H7:H21,MATCH($A36,'Base de Personas'!$B7:B21,0)),IFERROR(INDEX($G$5:G35,MATCH($A36,$A$5:A35,0)),""))),"Á","A"),"É","E"),"Í","I"),"Ó","O"),"Ú","U"),"Ü","U")))</f>
        <v/>
      </c>
      <c r="H36" s="38" t="str">
        <f aca="false">IF($A36="","",IFERROR(INDEX('Base de Personas'!$I$7:$I$21,MATCH($A36,'Base de Personas'!$B$7:$B$21,0)),IFERROR(INDEX($H$5:H35,MATCH($A36,$A$5:A35,0)),"")))</f>
        <v/>
      </c>
      <c r="I36" s="39"/>
      <c r="J36" s="40"/>
      <c r="K36" s="40"/>
      <c r="L36" s="39"/>
      <c r="M36" s="41" t="str">
        <f aca="false">IF($A36="","",IF(K36=_xlfn.MAXIFS($K$5:$K$304,$A$5:$A$304,$A36),1,0))</f>
        <v/>
      </c>
      <c r="N36" s="41" t="str">
        <f aca="false">IF($A36="","",IF(M36=1,$A36&amp;"-ACT",""))</f>
        <v/>
      </c>
      <c r="O36" s="41" t="str">
        <f aca="false">IF($A36="","",IF(AND(COUNTIF('Base de Personas'!$B$7:$B$21,$A36)=0,COUNTIF($A$5:A36,$A36)=1),1,0))</f>
        <v/>
      </c>
      <c r="P36" s="41" t="str">
        <f aca="false">IF(O36=1,SUM($O$5:O36),"")</f>
        <v/>
      </c>
    </row>
    <row r="37" customFormat="false" ht="15" hidden="false" customHeight="false" outlineLevel="0" collapsed="false">
      <c r="A37" s="35"/>
      <c r="B37" s="36" t="str">
        <f aca="false">IF($A37="","",TRIM(SUBSTITUTE(SUBSTITUTE(SUBSTITUTE(SUBSTITUTE(SUBSTITUTE(SUBSTITUTE(UPPER(IFERROR(INDEX('Base de Personas'!$C7:C21,MATCH($A37,'Base de Personas'!$B7:B21,0)),IFERROR(INDEX($B$5:B36,MATCH($A37,$A$5:A36,0)),""))),"Á","A"),"É","E"),"Í","I"),"Ó","O"),"Ú","U"),"Ü","U")))</f>
        <v/>
      </c>
      <c r="C37" s="37" t="str">
        <f aca="false">IF($A37="","",TRIM(SUBSTITUTE(SUBSTITUTE(SUBSTITUTE(SUBSTITUTE(SUBSTITUTE(SUBSTITUTE(UPPER(IFERROR(INDEX('Base de Personas'!$D7:D21,MATCH($A37,'Base de Personas'!$B7:B21,0)),IFERROR(INDEX($C$5:C36,MATCH($A37,$A$5:A36,0)),""))),"Á","A"),"É","E"),"Í","I"),"Ó","O"),"Ú","U"),"Ü","U")))</f>
        <v/>
      </c>
      <c r="D37" s="36" t="str">
        <f aca="false">IF($A37="","",TRIM(SUBSTITUTE(SUBSTITUTE(SUBSTITUTE(SUBSTITUTE(SUBSTITUTE(SUBSTITUTE(UPPER(IFERROR(INDEX('Base de Personas'!$E7:E21,MATCH($A37,'Base de Personas'!$B7:B21,0)),IFERROR(INDEX($D$5:D36,MATCH($A37,$A$5:A36,0)),""))),"Á","A"),"É","E"),"Í","I"),"Ó","O"),"Ú","U"),"Ü","U")))</f>
        <v/>
      </c>
      <c r="E37" s="36" t="str">
        <f aca="false">IF($A37="","",TRIM(SUBSTITUTE(SUBSTITUTE(SUBSTITUTE(SUBSTITUTE(SUBSTITUTE(SUBSTITUTE(UPPER(IFERROR(INDEX('Base de Personas'!$F7:F21,MATCH($A37,'Base de Personas'!$B7:B21,0)),IFERROR(INDEX($E$5:E36,MATCH($A37,$A$5:A36,0)),""))),"Á","A"),"É","E"),"Í","I"),"Ó","O"),"Ú","U"),"Ü","U")))</f>
        <v/>
      </c>
      <c r="F37" s="36" t="str">
        <f aca="false">IF($A37="","",TRIM(SUBSTITUTE(SUBSTITUTE(SUBSTITUTE(SUBSTITUTE(SUBSTITUTE(SUBSTITUTE(UPPER(IFERROR(INDEX('Base de Personas'!$G7:G21,MATCH($A37,'Base de Personas'!$B7:B21,0)),IFERROR(INDEX($F$5:F36,MATCH($A37,$A$5:A36,0)),""))),"Á","A"),"É","E"),"Í","I"),"Ó","O"),"Ú","U"),"Ü","U")))</f>
        <v/>
      </c>
      <c r="G37" s="37" t="str">
        <f aca="false">IF($A37="","",TRIM(SUBSTITUTE(SUBSTITUTE(SUBSTITUTE(SUBSTITUTE(SUBSTITUTE(SUBSTITUTE(UPPER(IFERROR(INDEX('Base de Personas'!$H7:H21,MATCH($A37,'Base de Personas'!$B7:B21,0)),IFERROR(INDEX($G$5:G36,MATCH($A37,$A$5:A36,0)),""))),"Á","A"),"É","E"),"Í","I"),"Ó","O"),"Ú","U"),"Ü","U")))</f>
        <v/>
      </c>
      <c r="H37" s="38" t="str">
        <f aca="false">IF($A37="","",IFERROR(INDEX('Base de Personas'!$I$7:$I$21,MATCH($A37,'Base de Personas'!$B$7:$B$21,0)),IFERROR(INDEX($H$5:H36,MATCH($A37,$A$5:A36,0)),"")))</f>
        <v/>
      </c>
      <c r="I37" s="39"/>
      <c r="J37" s="40"/>
      <c r="K37" s="40"/>
      <c r="L37" s="39"/>
      <c r="M37" s="41" t="str">
        <f aca="false">IF($A37="","",IF(K37=_xlfn.MAXIFS($K$5:$K$304,$A$5:$A$304,$A37),1,0))</f>
        <v/>
      </c>
      <c r="N37" s="41" t="str">
        <f aca="false">IF($A37="","",IF(M37=1,$A37&amp;"-ACT",""))</f>
        <v/>
      </c>
      <c r="O37" s="41" t="str">
        <f aca="false">IF($A37="","",IF(AND(COUNTIF('Base de Personas'!$B$7:$B$21,$A37)=0,COUNTIF($A$5:A37,$A37)=1),1,0))</f>
        <v/>
      </c>
      <c r="P37" s="41" t="str">
        <f aca="false">IF(O37=1,SUM($O$5:O37),"")</f>
        <v/>
      </c>
    </row>
    <row r="38" customFormat="false" ht="15" hidden="false" customHeight="false" outlineLevel="0" collapsed="false">
      <c r="A38" s="35"/>
      <c r="B38" s="36" t="str">
        <f aca="false">IF($A38="","",TRIM(SUBSTITUTE(SUBSTITUTE(SUBSTITUTE(SUBSTITUTE(SUBSTITUTE(SUBSTITUTE(UPPER(IFERROR(INDEX('Base de Personas'!$C7:C21,MATCH($A38,'Base de Personas'!$B7:B21,0)),IFERROR(INDEX($B$5:B37,MATCH($A38,$A$5:A37,0)),""))),"Á","A"),"É","E"),"Í","I"),"Ó","O"),"Ú","U"),"Ü","U")))</f>
        <v/>
      </c>
      <c r="C38" s="37" t="str">
        <f aca="false">IF($A38="","",TRIM(SUBSTITUTE(SUBSTITUTE(SUBSTITUTE(SUBSTITUTE(SUBSTITUTE(SUBSTITUTE(UPPER(IFERROR(INDEX('Base de Personas'!$D7:D21,MATCH($A38,'Base de Personas'!$B7:B21,0)),IFERROR(INDEX($C$5:C37,MATCH($A38,$A$5:A37,0)),""))),"Á","A"),"É","E"),"Í","I"),"Ó","O"),"Ú","U"),"Ü","U")))</f>
        <v/>
      </c>
      <c r="D38" s="36" t="str">
        <f aca="false">IF($A38="","",TRIM(SUBSTITUTE(SUBSTITUTE(SUBSTITUTE(SUBSTITUTE(SUBSTITUTE(SUBSTITUTE(UPPER(IFERROR(INDEX('Base de Personas'!$E7:E21,MATCH($A38,'Base de Personas'!$B7:B21,0)),IFERROR(INDEX($D$5:D37,MATCH($A38,$A$5:A37,0)),""))),"Á","A"),"É","E"),"Í","I"),"Ó","O"),"Ú","U"),"Ü","U")))</f>
        <v/>
      </c>
      <c r="E38" s="36" t="str">
        <f aca="false">IF($A38="","",TRIM(SUBSTITUTE(SUBSTITUTE(SUBSTITUTE(SUBSTITUTE(SUBSTITUTE(SUBSTITUTE(UPPER(IFERROR(INDEX('Base de Personas'!$F7:F21,MATCH($A38,'Base de Personas'!$B7:B21,0)),IFERROR(INDEX($E$5:E37,MATCH($A38,$A$5:A37,0)),""))),"Á","A"),"É","E"),"Í","I"),"Ó","O"),"Ú","U"),"Ü","U")))</f>
        <v/>
      </c>
      <c r="F38" s="36" t="str">
        <f aca="false">IF($A38="","",TRIM(SUBSTITUTE(SUBSTITUTE(SUBSTITUTE(SUBSTITUTE(SUBSTITUTE(SUBSTITUTE(UPPER(IFERROR(INDEX('Base de Personas'!$G7:G21,MATCH($A38,'Base de Personas'!$B7:B21,0)),IFERROR(INDEX($F$5:F37,MATCH($A38,$A$5:A37,0)),""))),"Á","A"),"É","E"),"Í","I"),"Ó","O"),"Ú","U"),"Ü","U")))</f>
        <v/>
      </c>
      <c r="G38" s="37" t="str">
        <f aca="false">IF($A38="","",TRIM(SUBSTITUTE(SUBSTITUTE(SUBSTITUTE(SUBSTITUTE(SUBSTITUTE(SUBSTITUTE(UPPER(IFERROR(INDEX('Base de Personas'!$H7:H21,MATCH($A38,'Base de Personas'!$B7:B21,0)),IFERROR(INDEX($G$5:G37,MATCH($A38,$A$5:A37,0)),""))),"Á","A"),"É","E"),"Í","I"),"Ó","O"),"Ú","U"),"Ü","U")))</f>
        <v/>
      </c>
      <c r="H38" s="38" t="str">
        <f aca="false">IF($A38="","",IFERROR(INDEX('Base de Personas'!$I$7:$I$21,MATCH($A38,'Base de Personas'!$B$7:$B$21,0)),IFERROR(INDEX($H$5:H37,MATCH($A38,$A$5:A37,0)),"")))</f>
        <v/>
      </c>
      <c r="I38" s="39"/>
      <c r="J38" s="40"/>
      <c r="K38" s="40"/>
      <c r="L38" s="39"/>
      <c r="M38" s="41" t="str">
        <f aca="false">IF($A38="","",IF(K38=_xlfn.MAXIFS($K$5:$K$304,$A$5:$A$304,$A38),1,0))</f>
        <v/>
      </c>
      <c r="N38" s="41" t="str">
        <f aca="false">IF($A38="","",IF(M38=1,$A38&amp;"-ACT",""))</f>
        <v/>
      </c>
      <c r="O38" s="41" t="str">
        <f aca="false">IF($A38="","",IF(AND(COUNTIF('Base de Personas'!$B$7:$B$21,$A38)=0,COUNTIF($A$5:A38,$A38)=1),1,0))</f>
        <v/>
      </c>
      <c r="P38" s="41" t="str">
        <f aca="false">IF(O38=1,SUM($O$5:O38),"")</f>
        <v/>
      </c>
    </row>
    <row r="39" customFormat="false" ht="15" hidden="false" customHeight="false" outlineLevel="0" collapsed="false">
      <c r="A39" s="35"/>
      <c r="B39" s="36" t="str">
        <f aca="false">IF($A39="","",TRIM(SUBSTITUTE(SUBSTITUTE(SUBSTITUTE(SUBSTITUTE(SUBSTITUTE(SUBSTITUTE(UPPER(IFERROR(INDEX('Base de Personas'!$C7:C21,MATCH($A39,'Base de Personas'!$B7:B21,0)),IFERROR(INDEX($B$5:B38,MATCH($A39,$A$5:A38,0)),""))),"Á","A"),"É","E"),"Í","I"),"Ó","O"),"Ú","U"),"Ü","U")))</f>
        <v/>
      </c>
      <c r="C39" s="37" t="str">
        <f aca="false">IF($A39="","",TRIM(SUBSTITUTE(SUBSTITUTE(SUBSTITUTE(SUBSTITUTE(SUBSTITUTE(SUBSTITUTE(UPPER(IFERROR(INDEX('Base de Personas'!$D7:D21,MATCH($A39,'Base de Personas'!$B7:B21,0)),IFERROR(INDEX($C$5:C38,MATCH($A39,$A$5:A38,0)),""))),"Á","A"),"É","E"),"Í","I"),"Ó","O"),"Ú","U"),"Ü","U")))</f>
        <v/>
      </c>
      <c r="D39" s="36" t="str">
        <f aca="false">IF($A39="","",TRIM(SUBSTITUTE(SUBSTITUTE(SUBSTITUTE(SUBSTITUTE(SUBSTITUTE(SUBSTITUTE(UPPER(IFERROR(INDEX('Base de Personas'!$E7:E21,MATCH($A39,'Base de Personas'!$B7:B21,0)),IFERROR(INDEX($D$5:D38,MATCH($A39,$A$5:A38,0)),""))),"Á","A"),"É","E"),"Í","I"),"Ó","O"),"Ú","U"),"Ü","U")))</f>
        <v/>
      </c>
      <c r="E39" s="36" t="str">
        <f aca="false">IF($A39="","",TRIM(SUBSTITUTE(SUBSTITUTE(SUBSTITUTE(SUBSTITUTE(SUBSTITUTE(SUBSTITUTE(UPPER(IFERROR(INDEX('Base de Personas'!$F7:F21,MATCH($A39,'Base de Personas'!$B7:B21,0)),IFERROR(INDEX($E$5:E38,MATCH($A39,$A$5:A38,0)),""))),"Á","A"),"É","E"),"Í","I"),"Ó","O"),"Ú","U"),"Ü","U")))</f>
        <v/>
      </c>
      <c r="F39" s="36" t="str">
        <f aca="false">IF($A39="","",TRIM(SUBSTITUTE(SUBSTITUTE(SUBSTITUTE(SUBSTITUTE(SUBSTITUTE(SUBSTITUTE(UPPER(IFERROR(INDEX('Base de Personas'!$G7:G21,MATCH($A39,'Base de Personas'!$B7:B21,0)),IFERROR(INDEX($F$5:F38,MATCH($A39,$A$5:A38,0)),""))),"Á","A"),"É","E"),"Í","I"),"Ó","O"),"Ú","U"),"Ü","U")))</f>
        <v/>
      </c>
      <c r="G39" s="37" t="str">
        <f aca="false">IF($A39="","",TRIM(SUBSTITUTE(SUBSTITUTE(SUBSTITUTE(SUBSTITUTE(SUBSTITUTE(SUBSTITUTE(UPPER(IFERROR(INDEX('Base de Personas'!$H7:H21,MATCH($A39,'Base de Personas'!$B7:B21,0)),IFERROR(INDEX($G$5:G38,MATCH($A39,$A$5:A38,0)),""))),"Á","A"),"É","E"),"Í","I"),"Ó","O"),"Ú","U"),"Ü","U")))</f>
        <v/>
      </c>
      <c r="H39" s="38" t="str">
        <f aca="false">IF($A39="","",IFERROR(INDEX('Base de Personas'!$I$7:$I$21,MATCH($A39,'Base de Personas'!$B$7:$B$21,0)),IFERROR(INDEX($H$5:H38,MATCH($A39,$A$5:A38,0)),"")))</f>
        <v/>
      </c>
      <c r="I39" s="39"/>
      <c r="J39" s="40"/>
      <c r="K39" s="40"/>
      <c r="L39" s="39"/>
      <c r="M39" s="41" t="str">
        <f aca="false">IF($A39="","",IF(K39=_xlfn.MAXIFS($K$5:$K$304,$A$5:$A$304,$A39),1,0))</f>
        <v/>
      </c>
      <c r="N39" s="41" t="str">
        <f aca="false">IF($A39="","",IF(M39=1,$A39&amp;"-ACT",""))</f>
        <v/>
      </c>
      <c r="O39" s="41" t="str">
        <f aca="false">IF($A39="","",IF(AND(COUNTIF('Base de Personas'!$B$7:$B$21,$A39)=0,COUNTIF($A$5:A39,$A39)=1),1,0))</f>
        <v/>
      </c>
      <c r="P39" s="41" t="str">
        <f aca="false">IF(O39=1,SUM($O$5:O39),"")</f>
        <v/>
      </c>
    </row>
    <row r="40" customFormat="false" ht="15" hidden="false" customHeight="false" outlineLevel="0" collapsed="false">
      <c r="A40" s="35"/>
      <c r="B40" s="36" t="str">
        <f aca="false">IF($A40="","",TRIM(SUBSTITUTE(SUBSTITUTE(SUBSTITUTE(SUBSTITUTE(SUBSTITUTE(SUBSTITUTE(UPPER(IFERROR(INDEX('Base de Personas'!$C7:C21,MATCH($A40,'Base de Personas'!$B7:B21,0)),IFERROR(INDEX($B$5:B39,MATCH($A40,$A$5:A39,0)),""))),"Á","A"),"É","E"),"Í","I"),"Ó","O"),"Ú","U"),"Ü","U")))</f>
        <v/>
      </c>
      <c r="C40" s="37" t="str">
        <f aca="false">IF($A40="","",TRIM(SUBSTITUTE(SUBSTITUTE(SUBSTITUTE(SUBSTITUTE(SUBSTITUTE(SUBSTITUTE(UPPER(IFERROR(INDEX('Base de Personas'!$D7:D21,MATCH($A40,'Base de Personas'!$B7:B21,0)),IFERROR(INDEX($C$5:C39,MATCH($A40,$A$5:A39,0)),""))),"Á","A"),"É","E"),"Í","I"),"Ó","O"),"Ú","U"),"Ü","U")))</f>
        <v/>
      </c>
      <c r="D40" s="36" t="str">
        <f aca="false">IF($A40="","",TRIM(SUBSTITUTE(SUBSTITUTE(SUBSTITUTE(SUBSTITUTE(SUBSTITUTE(SUBSTITUTE(UPPER(IFERROR(INDEX('Base de Personas'!$E7:E21,MATCH($A40,'Base de Personas'!$B7:B21,0)),IFERROR(INDEX($D$5:D39,MATCH($A40,$A$5:A39,0)),""))),"Á","A"),"É","E"),"Í","I"),"Ó","O"),"Ú","U"),"Ü","U")))</f>
        <v/>
      </c>
      <c r="E40" s="36" t="str">
        <f aca="false">IF($A40="","",TRIM(SUBSTITUTE(SUBSTITUTE(SUBSTITUTE(SUBSTITUTE(SUBSTITUTE(SUBSTITUTE(UPPER(IFERROR(INDEX('Base de Personas'!$F7:F21,MATCH($A40,'Base de Personas'!$B7:B21,0)),IFERROR(INDEX($E$5:E39,MATCH($A40,$A$5:A39,0)),""))),"Á","A"),"É","E"),"Í","I"),"Ó","O"),"Ú","U"),"Ü","U")))</f>
        <v/>
      </c>
      <c r="F40" s="36" t="str">
        <f aca="false">IF($A40="","",TRIM(SUBSTITUTE(SUBSTITUTE(SUBSTITUTE(SUBSTITUTE(SUBSTITUTE(SUBSTITUTE(UPPER(IFERROR(INDEX('Base de Personas'!$G7:G21,MATCH($A40,'Base de Personas'!$B7:B21,0)),IFERROR(INDEX($F$5:F39,MATCH($A40,$A$5:A39,0)),""))),"Á","A"),"É","E"),"Í","I"),"Ó","O"),"Ú","U"),"Ü","U")))</f>
        <v/>
      </c>
      <c r="G40" s="37" t="str">
        <f aca="false">IF($A40="","",TRIM(SUBSTITUTE(SUBSTITUTE(SUBSTITUTE(SUBSTITUTE(SUBSTITUTE(SUBSTITUTE(UPPER(IFERROR(INDEX('Base de Personas'!$H7:H21,MATCH($A40,'Base de Personas'!$B7:B21,0)),IFERROR(INDEX($G$5:G39,MATCH($A40,$A$5:A39,0)),""))),"Á","A"),"É","E"),"Í","I"),"Ó","O"),"Ú","U"),"Ü","U")))</f>
        <v/>
      </c>
      <c r="H40" s="38" t="str">
        <f aca="false">IF($A40="","",IFERROR(INDEX('Base de Personas'!$I$7:$I$21,MATCH($A40,'Base de Personas'!$B$7:$B$21,0)),IFERROR(INDEX($H$5:H39,MATCH($A40,$A$5:A39,0)),"")))</f>
        <v/>
      </c>
      <c r="I40" s="39"/>
      <c r="J40" s="40"/>
      <c r="K40" s="40"/>
      <c r="L40" s="39"/>
      <c r="M40" s="41" t="str">
        <f aca="false">IF($A40="","",IF(K40=_xlfn.MAXIFS($K$5:$K$304,$A$5:$A$304,$A40),1,0))</f>
        <v/>
      </c>
      <c r="N40" s="41" t="str">
        <f aca="false">IF($A40="","",IF(M40=1,$A40&amp;"-ACT",""))</f>
        <v/>
      </c>
      <c r="O40" s="41" t="str">
        <f aca="false">IF($A40="","",IF(AND(COUNTIF('Base de Personas'!$B$7:$B$21,$A40)=0,COUNTIF($A$5:A40,$A40)=1),1,0))</f>
        <v/>
      </c>
      <c r="P40" s="41" t="str">
        <f aca="false">IF(O40=1,SUM($O$5:O40),"")</f>
        <v/>
      </c>
    </row>
    <row r="41" customFormat="false" ht="15" hidden="false" customHeight="false" outlineLevel="0" collapsed="false">
      <c r="A41" s="35"/>
      <c r="B41" s="36" t="str">
        <f aca="false">IF($A41="","",TRIM(SUBSTITUTE(SUBSTITUTE(SUBSTITUTE(SUBSTITUTE(SUBSTITUTE(SUBSTITUTE(UPPER(IFERROR(INDEX('Base de Personas'!$C7:C21,MATCH($A41,'Base de Personas'!$B7:B21,0)),IFERROR(INDEX($B$5:B40,MATCH($A41,$A$5:A40,0)),""))),"Á","A"),"É","E"),"Í","I"),"Ó","O"),"Ú","U"),"Ü","U")))</f>
        <v/>
      </c>
      <c r="C41" s="37" t="str">
        <f aca="false">IF($A41="","",TRIM(SUBSTITUTE(SUBSTITUTE(SUBSTITUTE(SUBSTITUTE(SUBSTITUTE(SUBSTITUTE(UPPER(IFERROR(INDEX('Base de Personas'!$D7:D21,MATCH($A41,'Base de Personas'!$B7:B21,0)),IFERROR(INDEX($C$5:C40,MATCH($A41,$A$5:A40,0)),""))),"Á","A"),"É","E"),"Í","I"),"Ó","O"),"Ú","U"),"Ü","U")))</f>
        <v/>
      </c>
      <c r="D41" s="36" t="str">
        <f aca="false">IF($A41="","",TRIM(SUBSTITUTE(SUBSTITUTE(SUBSTITUTE(SUBSTITUTE(SUBSTITUTE(SUBSTITUTE(UPPER(IFERROR(INDEX('Base de Personas'!$E7:E21,MATCH($A41,'Base de Personas'!$B7:B21,0)),IFERROR(INDEX($D$5:D40,MATCH($A41,$A$5:A40,0)),""))),"Á","A"),"É","E"),"Í","I"),"Ó","O"),"Ú","U"),"Ü","U")))</f>
        <v/>
      </c>
      <c r="E41" s="36" t="str">
        <f aca="false">IF($A41="","",TRIM(SUBSTITUTE(SUBSTITUTE(SUBSTITUTE(SUBSTITUTE(SUBSTITUTE(SUBSTITUTE(UPPER(IFERROR(INDEX('Base de Personas'!$F7:F21,MATCH($A41,'Base de Personas'!$B7:B21,0)),IFERROR(INDEX($E$5:E40,MATCH($A41,$A$5:A40,0)),""))),"Á","A"),"É","E"),"Í","I"),"Ó","O"),"Ú","U"),"Ü","U")))</f>
        <v/>
      </c>
      <c r="F41" s="36" t="str">
        <f aca="false">IF($A41="","",TRIM(SUBSTITUTE(SUBSTITUTE(SUBSTITUTE(SUBSTITUTE(SUBSTITUTE(SUBSTITUTE(UPPER(IFERROR(INDEX('Base de Personas'!$G7:G21,MATCH($A41,'Base de Personas'!$B7:B21,0)),IFERROR(INDEX($F$5:F40,MATCH($A41,$A$5:A40,0)),""))),"Á","A"),"É","E"),"Í","I"),"Ó","O"),"Ú","U"),"Ü","U")))</f>
        <v/>
      </c>
      <c r="G41" s="37" t="str">
        <f aca="false">IF($A41="","",TRIM(SUBSTITUTE(SUBSTITUTE(SUBSTITUTE(SUBSTITUTE(SUBSTITUTE(SUBSTITUTE(UPPER(IFERROR(INDEX('Base de Personas'!$H7:H21,MATCH($A41,'Base de Personas'!$B7:B21,0)),IFERROR(INDEX($G$5:G40,MATCH($A41,$A$5:A40,0)),""))),"Á","A"),"É","E"),"Í","I"),"Ó","O"),"Ú","U"),"Ü","U")))</f>
        <v/>
      </c>
      <c r="H41" s="38" t="str">
        <f aca="false">IF($A41="","",IFERROR(INDEX('Base de Personas'!$I$7:$I$21,MATCH($A41,'Base de Personas'!$B$7:$B$21,0)),IFERROR(INDEX($H$5:H40,MATCH($A41,$A$5:A40,0)),"")))</f>
        <v/>
      </c>
      <c r="I41" s="39"/>
      <c r="J41" s="40"/>
      <c r="K41" s="40"/>
      <c r="L41" s="39"/>
      <c r="M41" s="41" t="str">
        <f aca="false">IF($A41="","",IF(K41=_xlfn.MAXIFS($K$5:$K$304,$A$5:$A$304,$A41),1,0))</f>
        <v/>
      </c>
      <c r="N41" s="41" t="str">
        <f aca="false">IF($A41="","",IF(M41=1,$A41&amp;"-ACT",""))</f>
        <v/>
      </c>
      <c r="O41" s="41" t="str">
        <f aca="false">IF($A41="","",IF(AND(COUNTIF('Base de Personas'!$B$7:$B$21,$A41)=0,COUNTIF($A$5:A41,$A41)=1),1,0))</f>
        <v/>
      </c>
      <c r="P41" s="41" t="str">
        <f aca="false">IF(O41=1,SUM($O$5:O41),"")</f>
        <v/>
      </c>
    </row>
    <row r="42" customFormat="false" ht="15" hidden="false" customHeight="false" outlineLevel="0" collapsed="false">
      <c r="A42" s="35"/>
      <c r="B42" s="36" t="str">
        <f aca="false">IF($A42="","",TRIM(SUBSTITUTE(SUBSTITUTE(SUBSTITUTE(SUBSTITUTE(SUBSTITUTE(SUBSTITUTE(UPPER(IFERROR(INDEX('Base de Personas'!$C7:C21,MATCH($A42,'Base de Personas'!$B7:B21,0)),IFERROR(INDEX($B$5:B41,MATCH($A42,$A$5:A41,0)),""))),"Á","A"),"É","E"),"Í","I"),"Ó","O"),"Ú","U"),"Ü","U")))</f>
        <v/>
      </c>
      <c r="C42" s="37" t="str">
        <f aca="false">IF($A42="","",TRIM(SUBSTITUTE(SUBSTITUTE(SUBSTITUTE(SUBSTITUTE(SUBSTITUTE(SUBSTITUTE(UPPER(IFERROR(INDEX('Base de Personas'!$D7:D21,MATCH($A42,'Base de Personas'!$B7:B21,0)),IFERROR(INDEX($C$5:C41,MATCH($A42,$A$5:A41,0)),""))),"Á","A"),"É","E"),"Í","I"),"Ó","O"),"Ú","U"),"Ü","U")))</f>
        <v/>
      </c>
      <c r="D42" s="36" t="str">
        <f aca="false">IF($A42="","",TRIM(SUBSTITUTE(SUBSTITUTE(SUBSTITUTE(SUBSTITUTE(SUBSTITUTE(SUBSTITUTE(UPPER(IFERROR(INDEX('Base de Personas'!$E7:E21,MATCH($A42,'Base de Personas'!$B7:B21,0)),IFERROR(INDEX($D$5:D41,MATCH($A42,$A$5:A41,0)),""))),"Á","A"),"É","E"),"Í","I"),"Ó","O"),"Ú","U"),"Ü","U")))</f>
        <v/>
      </c>
      <c r="E42" s="36" t="str">
        <f aca="false">IF($A42="","",TRIM(SUBSTITUTE(SUBSTITUTE(SUBSTITUTE(SUBSTITUTE(SUBSTITUTE(SUBSTITUTE(UPPER(IFERROR(INDEX('Base de Personas'!$F7:F21,MATCH($A42,'Base de Personas'!$B7:B21,0)),IFERROR(INDEX($E$5:E41,MATCH($A42,$A$5:A41,0)),""))),"Á","A"),"É","E"),"Í","I"),"Ó","O"),"Ú","U"),"Ü","U")))</f>
        <v/>
      </c>
      <c r="F42" s="36" t="str">
        <f aca="false">IF($A42="","",TRIM(SUBSTITUTE(SUBSTITUTE(SUBSTITUTE(SUBSTITUTE(SUBSTITUTE(SUBSTITUTE(UPPER(IFERROR(INDEX('Base de Personas'!$G7:G21,MATCH($A42,'Base de Personas'!$B7:B21,0)),IFERROR(INDEX($F$5:F41,MATCH($A42,$A$5:A41,0)),""))),"Á","A"),"É","E"),"Í","I"),"Ó","O"),"Ú","U"),"Ü","U")))</f>
        <v/>
      </c>
      <c r="G42" s="37" t="str">
        <f aca="false">IF($A42="","",TRIM(SUBSTITUTE(SUBSTITUTE(SUBSTITUTE(SUBSTITUTE(SUBSTITUTE(SUBSTITUTE(UPPER(IFERROR(INDEX('Base de Personas'!$H7:H21,MATCH($A42,'Base de Personas'!$B7:B21,0)),IFERROR(INDEX($G$5:G41,MATCH($A42,$A$5:A41,0)),""))),"Á","A"),"É","E"),"Í","I"),"Ó","O"),"Ú","U"),"Ü","U")))</f>
        <v/>
      </c>
      <c r="H42" s="38" t="str">
        <f aca="false">IF($A42="","",IFERROR(INDEX('Base de Personas'!$I$7:$I$21,MATCH($A42,'Base de Personas'!$B$7:$B$21,0)),IFERROR(INDEX($H$5:H41,MATCH($A42,$A$5:A41,0)),"")))</f>
        <v/>
      </c>
      <c r="I42" s="39"/>
      <c r="J42" s="40"/>
      <c r="K42" s="40"/>
      <c r="L42" s="39"/>
      <c r="M42" s="41" t="str">
        <f aca="false">IF($A42="","",IF(K42=_xlfn.MAXIFS($K$5:$K$304,$A$5:$A$304,$A42),1,0))</f>
        <v/>
      </c>
      <c r="N42" s="41" t="str">
        <f aca="false">IF($A42="","",IF(M42=1,$A42&amp;"-ACT",""))</f>
        <v/>
      </c>
      <c r="O42" s="41" t="str">
        <f aca="false">IF($A42="","",IF(AND(COUNTIF('Base de Personas'!$B$7:$B$21,$A42)=0,COUNTIF($A$5:A42,$A42)=1),1,0))</f>
        <v/>
      </c>
      <c r="P42" s="41" t="str">
        <f aca="false">IF(O42=1,SUM($O$5:O42),"")</f>
        <v/>
      </c>
    </row>
    <row r="43" customFormat="false" ht="15" hidden="false" customHeight="false" outlineLevel="0" collapsed="false">
      <c r="A43" s="35"/>
      <c r="B43" s="36" t="str">
        <f aca="false">IF($A43="","",TRIM(SUBSTITUTE(SUBSTITUTE(SUBSTITUTE(SUBSTITUTE(SUBSTITUTE(SUBSTITUTE(UPPER(IFERROR(INDEX('Base de Personas'!$C7:C21,MATCH($A43,'Base de Personas'!$B7:B21,0)),IFERROR(INDEX($B$5:B42,MATCH($A43,$A$5:A42,0)),""))),"Á","A"),"É","E"),"Í","I"),"Ó","O"),"Ú","U"),"Ü","U")))</f>
        <v/>
      </c>
      <c r="C43" s="37" t="str">
        <f aca="false">IF($A43="","",TRIM(SUBSTITUTE(SUBSTITUTE(SUBSTITUTE(SUBSTITUTE(SUBSTITUTE(SUBSTITUTE(UPPER(IFERROR(INDEX('Base de Personas'!$D7:D21,MATCH($A43,'Base de Personas'!$B7:B21,0)),IFERROR(INDEX($C$5:C42,MATCH($A43,$A$5:A42,0)),""))),"Á","A"),"É","E"),"Í","I"),"Ó","O"),"Ú","U"),"Ü","U")))</f>
        <v/>
      </c>
      <c r="D43" s="36" t="str">
        <f aca="false">IF($A43="","",TRIM(SUBSTITUTE(SUBSTITUTE(SUBSTITUTE(SUBSTITUTE(SUBSTITUTE(SUBSTITUTE(UPPER(IFERROR(INDEX('Base de Personas'!$E7:E21,MATCH($A43,'Base de Personas'!$B7:B21,0)),IFERROR(INDEX($D$5:D42,MATCH($A43,$A$5:A42,0)),""))),"Á","A"),"É","E"),"Í","I"),"Ó","O"),"Ú","U"),"Ü","U")))</f>
        <v/>
      </c>
      <c r="E43" s="36" t="str">
        <f aca="false">IF($A43="","",TRIM(SUBSTITUTE(SUBSTITUTE(SUBSTITUTE(SUBSTITUTE(SUBSTITUTE(SUBSTITUTE(UPPER(IFERROR(INDEX('Base de Personas'!$F7:F21,MATCH($A43,'Base de Personas'!$B7:B21,0)),IFERROR(INDEX($E$5:E42,MATCH($A43,$A$5:A42,0)),""))),"Á","A"),"É","E"),"Í","I"),"Ó","O"),"Ú","U"),"Ü","U")))</f>
        <v/>
      </c>
      <c r="F43" s="36" t="str">
        <f aca="false">IF($A43="","",TRIM(SUBSTITUTE(SUBSTITUTE(SUBSTITUTE(SUBSTITUTE(SUBSTITUTE(SUBSTITUTE(UPPER(IFERROR(INDEX('Base de Personas'!$G7:G21,MATCH($A43,'Base de Personas'!$B7:B21,0)),IFERROR(INDEX($F$5:F42,MATCH($A43,$A$5:A42,0)),""))),"Á","A"),"É","E"),"Í","I"),"Ó","O"),"Ú","U"),"Ü","U")))</f>
        <v/>
      </c>
      <c r="G43" s="37" t="str">
        <f aca="false">IF($A43="","",TRIM(SUBSTITUTE(SUBSTITUTE(SUBSTITUTE(SUBSTITUTE(SUBSTITUTE(SUBSTITUTE(UPPER(IFERROR(INDEX('Base de Personas'!$H7:H21,MATCH($A43,'Base de Personas'!$B7:B21,0)),IFERROR(INDEX($G$5:G42,MATCH($A43,$A$5:A42,0)),""))),"Á","A"),"É","E"),"Í","I"),"Ó","O"),"Ú","U"),"Ü","U")))</f>
        <v/>
      </c>
      <c r="H43" s="38" t="str">
        <f aca="false">IF($A43="","",IFERROR(INDEX('Base de Personas'!$I$7:$I$21,MATCH($A43,'Base de Personas'!$B$7:$B$21,0)),IFERROR(INDEX($H$5:H42,MATCH($A43,$A$5:A42,0)),"")))</f>
        <v/>
      </c>
      <c r="I43" s="39"/>
      <c r="J43" s="40"/>
      <c r="K43" s="40"/>
      <c r="L43" s="39"/>
      <c r="M43" s="41" t="str">
        <f aca="false">IF($A43="","",IF(K43=_xlfn.MAXIFS($K$5:$K$304,$A$5:$A$304,$A43),1,0))</f>
        <v/>
      </c>
      <c r="N43" s="41" t="str">
        <f aca="false">IF($A43="","",IF(M43=1,$A43&amp;"-ACT",""))</f>
        <v/>
      </c>
      <c r="O43" s="41" t="str">
        <f aca="false">IF($A43="","",IF(AND(COUNTIF('Base de Personas'!$B$7:$B$21,$A43)=0,COUNTIF($A$5:A43,$A43)=1),1,0))</f>
        <v/>
      </c>
      <c r="P43" s="41" t="str">
        <f aca="false">IF(O43=1,SUM($O$5:O43),"")</f>
        <v/>
      </c>
    </row>
    <row r="44" customFormat="false" ht="15" hidden="false" customHeight="false" outlineLevel="0" collapsed="false">
      <c r="A44" s="35"/>
      <c r="B44" s="36" t="str">
        <f aca="false">IF($A44="","",TRIM(SUBSTITUTE(SUBSTITUTE(SUBSTITUTE(SUBSTITUTE(SUBSTITUTE(SUBSTITUTE(UPPER(IFERROR(INDEX('Base de Personas'!$C7:C21,MATCH($A44,'Base de Personas'!$B7:B21,0)),IFERROR(INDEX($B$5:B43,MATCH($A44,$A$5:A43,0)),""))),"Á","A"),"É","E"),"Í","I"),"Ó","O"),"Ú","U"),"Ü","U")))</f>
        <v/>
      </c>
      <c r="C44" s="37" t="str">
        <f aca="false">IF($A44="","",TRIM(SUBSTITUTE(SUBSTITUTE(SUBSTITUTE(SUBSTITUTE(SUBSTITUTE(SUBSTITUTE(UPPER(IFERROR(INDEX('Base de Personas'!$D7:D21,MATCH($A44,'Base de Personas'!$B7:B21,0)),IFERROR(INDEX($C$5:C43,MATCH($A44,$A$5:A43,0)),""))),"Á","A"),"É","E"),"Í","I"),"Ó","O"),"Ú","U"),"Ü","U")))</f>
        <v/>
      </c>
      <c r="D44" s="36" t="str">
        <f aca="false">IF($A44="","",TRIM(SUBSTITUTE(SUBSTITUTE(SUBSTITUTE(SUBSTITUTE(SUBSTITUTE(SUBSTITUTE(UPPER(IFERROR(INDEX('Base de Personas'!$E7:E21,MATCH($A44,'Base de Personas'!$B7:B21,0)),IFERROR(INDEX($D$5:D43,MATCH($A44,$A$5:A43,0)),""))),"Á","A"),"É","E"),"Í","I"),"Ó","O"),"Ú","U"),"Ü","U")))</f>
        <v/>
      </c>
      <c r="E44" s="36" t="str">
        <f aca="false">IF($A44="","",TRIM(SUBSTITUTE(SUBSTITUTE(SUBSTITUTE(SUBSTITUTE(SUBSTITUTE(SUBSTITUTE(UPPER(IFERROR(INDEX('Base de Personas'!$F7:F21,MATCH($A44,'Base de Personas'!$B7:B21,0)),IFERROR(INDEX($E$5:E43,MATCH($A44,$A$5:A43,0)),""))),"Á","A"),"É","E"),"Í","I"),"Ó","O"),"Ú","U"),"Ü","U")))</f>
        <v/>
      </c>
      <c r="F44" s="36" t="str">
        <f aca="false">IF($A44="","",TRIM(SUBSTITUTE(SUBSTITUTE(SUBSTITUTE(SUBSTITUTE(SUBSTITUTE(SUBSTITUTE(UPPER(IFERROR(INDEX('Base de Personas'!$G7:G21,MATCH($A44,'Base de Personas'!$B7:B21,0)),IFERROR(INDEX($F$5:F43,MATCH($A44,$A$5:A43,0)),""))),"Á","A"),"É","E"),"Í","I"),"Ó","O"),"Ú","U"),"Ü","U")))</f>
        <v/>
      </c>
      <c r="G44" s="37" t="str">
        <f aca="false">IF($A44="","",TRIM(SUBSTITUTE(SUBSTITUTE(SUBSTITUTE(SUBSTITUTE(SUBSTITUTE(SUBSTITUTE(UPPER(IFERROR(INDEX('Base de Personas'!$H7:H21,MATCH($A44,'Base de Personas'!$B7:B21,0)),IFERROR(INDEX($G$5:G43,MATCH($A44,$A$5:A43,0)),""))),"Á","A"),"É","E"),"Í","I"),"Ó","O"),"Ú","U"),"Ü","U")))</f>
        <v/>
      </c>
      <c r="H44" s="38" t="str">
        <f aca="false">IF($A44="","",IFERROR(INDEX('Base de Personas'!$I$7:$I$21,MATCH($A44,'Base de Personas'!$B$7:$B$21,0)),IFERROR(INDEX($H$5:H43,MATCH($A44,$A$5:A43,0)),"")))</f>
        <v/>
      </c>
      <c r="I44" s="39"/>
      <c r="J44" s="40"/>
      <c r="K44" s="40"/>
      <c r="L44" s="39"/>
      <c r="M44" s="41" t="str">
        <f aca="false">IF($A44="","",IF(K44=_xlfn.MAXIFS($K$5:$K$304,$A$5:$A$304,$A44),1,0))</f>
        <v/>
      </c>
      <c r="N44" s="41" t="str">
        <f aca="false">IF($A44="","",IF(M44=1,$A44&amp;"-ACT",""))</f>
        <v/>
      </c>
      <c r="O44" s="41" t="str">
        <f aca="false">IF($A44="","",IF(AND(COUNTIF('Base de Personas'!$B$7:$B$21,$A44)=0,COUNTIF($A$5:A44,$A44)=1),1,0))</f>
        <v/>
      </c>
      <c r="P44" s="41" t="str">
        <f aca="false">IF(O44=1,SUM($O$5:O44),"")</f>
        <v/>
      </c>
    </row>
    <row r="45" customFormat="false" ht="15" hidden="false" customHeight="false" outlineLevel="0" collapsed="false">
      <c r="A45" s="35"/>
      <c r="B45" s="36" t="str">
        <f aca="false">IF($A45="","",TRIM(SUBSTITUTE(SUBSTITUTE(SUBSTITUTE(SUBSTITUTE(SUBSTITUTE(SUBSTITUTE(UPPER(IFERROR(INDEX('Base de Personas'!$C7:C21,MATCH($A45,'Base de Personas'!$B7:B21,0)),IFERROR(INDEX($B$5:B44,MATCH($A45,$A$5:A44,0)),""))),"Á","A"),"É","E"),"Í","I"),"Ó","O"),"Ú","U"),"Ü","U")))</f>
        <v/>
      </c>
      <c r="C45" s="37" t="str">
        <f aca="false">IF($A45="","",TRIM(SUBSTITUTE(SUBSTITUTE(SUBSTITUTE(SUBSTITUTE(SUBSTITUTE(SUBSTITUTE(UPPER(IFERROR(INDEX('Base de Personas'!$D7:D21,MATCH($A45,'Base de Personas'!$B7:B21,0)),IFERROR(INDEX($C$5:C44,MATCH($A45,$A$5:A44,0)),""))),"Á","A"),"É","E"),"Í","I"),"Ó","O"),"Ú","U"),"Ü","U")))</f>
        <v/>
      </c>
      <c r="D45" s="36" t="str">
        <f aca="false">IF($A45="","",TRIM(SUBSTITUTE(SUBSTITUTE(SUBSTITUTE(SUBSTITUTE(SUBSTITUTE(SUBSTITUTE(UPPER(IFERROR(INDEX('Base de Personas'!$E7:E21,MATCH($A45,'Base de Personas'!$B7:B21,0)),IFERROR(INDEX($D$5:D44,MATCH($A45,$A$5:A44,0)),""))),"Á","A"),"É","E"),"Í","I"),"Ó","O"),"Ú","U"),"Ü","U")))</f>
        <v/>
      </c>
      <c r="E45" s="36" t="str">
        <f aca="false">IF($A45="","",TRIM(SUBSTITUTE(SUBSTITUTE(SUBSTITUTE(SUBSTITUTE(SUBSTITUTE(SUBSTITUTE(UPPER(IFERROR(INDEX('Base de Personas'!$F7:F21,MATCH($A45,'Base de Personas'!$B7:B21,0)),IFERROR(INDEX($E$5:E44,MATCH($A45,$A$5:A44,0)),""))),"Á","A"),"É","E"),"Í","I"),"Ó","O"),"Ú","U"),"Ü","U")))</f>
        <v/>
      </c>
      <c r="F45" s="36" t="str">
        <f aca="false">IF($A45="","",TRIM(SUBSTITUTE(SUBSTITUTE(SUBSTITUTE(SUBSTITUTE(SUBSTITUTE(SUBSTITUTE(UPPER(IFERROR(INDEX('Base de Personas'!$G7:G21,MATCH($A45,'Base de Personas'!$B7:B21,0)),IFERROR(INDEX($F$5:F44,MATCH($A45,$A$5:A44,0)),""))),"Á","A"),"É","E"),"Í","I"),"Ó","O"),"Ú","U"),"Ü","U")))</f>
        <v/>
      </c>
      <c r="G45" s="37" t="str">
        <f aca="false">IF($A45="","",TRIM(SUBSTITUTE(SUBSTITUTE(SUBSTITUTE(SUBSTITUTE(SUBSTITUTE(SUBSTITUTE(UPPER(IFERROR(INDEX('Base de Personas'!$H7:H21,MATCH($A45,'Base de Personas'!$B7:B21,0)),IFERROR(INDEX($G$5:G44,MATCH($A45,$A$5:A44,0)),""))),"Á","A"),"É","E"),"Í","I"),"Ó","O"),"Ú","U"),"Ü","U")))</f>
        <v/>
      </c>
      <c r="H45" s="38" t="str">
        <f aca="false">IF($A45="","",IFERROR(INDEX('Base de Personas'!$I$7:$I$21,MATCH($A45,'Base de Personas'!$B$7:$B$21,0)),IFERROR(INDEX($H$5:H44,MATCH($A45,$A$5:A44,0)),"")))</f>
        <v/>
      </c>
      <c r="I45" s="39"/>
      <c r="J45" s="40"/>
      <c r="K45" s="40"/>
      <c r="L45" s="39"/>
      <c r="M45" s="41" t="str">
        <f aca="false">IF($A45="","",IF(K45=_xlfn.MAXIFS($K$5:$K$304,$A$5:$A$304,$A45),1,0))</f>
        <v/>
      </c>
      <c r="N45" s="41" t="str">
        <f aca="false">IF($A45="","",IF(M45=1,$A45&amp;"-ACT",""))</f>
        <v/>
      </c>
      <c r="O45" s="41" t="str">
        <f aca="false">IF($A45="","",IF(AND(COUNTIF('Base de Personas'!$B$7:$B$21,$A45)=0,COUNTIF($A$5:A45,$A45)=1),1,0))</f>
        <v/>
      </c>
      <c r="P45" s="41" t="str">
        <f aca="false">IF(O45=1,SUM($O$5:O45),"")</f>
        <v/>
      </c>
    </row>
    <row r="46" customFormat="false" ht="15" hidden="false" customHeight="false" outlineLevel="0" collapsed="false">
      <c r="A46" s="35"/>
      <c r="B46" s="36" t="str">
        <f aca="false">IF($A46="","",TRIM(SUBSTITUTE(SUBSTITUTE(SUBSTITUTE(SUBSTITUTE(SUBSTITUTE(SUBSTITUTE(UPPER(IFERROR(INDEX('Base de Personas'!$C7:C21,MATCH($A46,'Base de Personas'!$B7:B21,0)),IFERROR(INDEX($B$5:B45,MATCH($A46,$A$5:A45,0)),""))),"Á","A"),"É","E"),"Í","I"),"Ó","O"),"Ú","U"),"Ü","U")))</f>
        <v/>
      </c>
      <c r="C46" s="37" t="str">
        <f aca="false">IF($A46="","",TRIM(SUBSTITUTE(SUBSTITUTE(SUBSTITUTE(SUBSTITUTE(SUBSTITUTE(SUBSTITUTE(UPPER(IFERROR(INDEX('Base de Personas'!$D7:D21,MATCH($A46,'Base de Personas'!$B7:B21,0)),IFERROR(INDEX($C$5:C45,MATCH($A46,$A$5:A45,0)),""))),"Á","A"),"É","E"),"Í","I"),"Ó","O"),"Ú","U"),"Ü","U")))</f>
        <v/>
      </c>
      <c r="D46" s="36" t="str">
        <f aca="false">IF($A46="","",TRIM(SUBSTITUTE(SUBSTITUTE(SUBSTITUTE(SUBSTITUTE(SUBSTITUTE(SUBSTITUTE(UPPER(IFERROR(INDEX('Base de Personas'!$E7:E21,MATCH($A46,'Base de Personas'!$B7:B21,0)),IFERROR(INDEX($D$5:D45,MATCH($A46,$A$5:A45,0)),""))),"Á","A"),"É","E"),"Í","I"),"Ó","O"),"Ú","U"),"Ü","U")))</f>
        <v/>
      </c>
      <c r="E46" s="36" t="str">
        <f aca="false">IF($A46="","",TRIM(SUBSTITUTE(SUBSTITUTE(SUBSTITUTE(SUBSTITUTE(SUBSTITUTE(SUBSTITUTE(UPPER(IFERROR(INDEX('Base de Personas'!$F7:F21,MATCH($A46,'Base de Personas'!$B7:B21,0)),IFERROR(INDEX($E$5:E45,MATCH($A46,$A$5:A45,0)),""))),"Á","A"),"É","E"),"Í","I"),"Ó","O"),"Ú","U"),"Ü","U")))</f>
        <v/>
      </c>
      <c r="F46" s="36" t="str">
        <f aca="false">IF($A46="","",TRIM(SUBSTITUTE(SUBSTITUTE(SUBSTITUTE(SUBSTITUTE(SUBSTITUTE(SUBSTITUTE(UPPER(IFERROR(INDEX('Base de Personas'!$G7:G21,MATCH($A46,'Base de Personas'!$B7:B21,0)),IFERROR(INDEX($F$5:F45,MATCH($A46,$A$5:A45,0)),""))),"Á","A"),"É","E"),"Í","I"),"Ó","O"),"Ú","U"),"Ü","U")))</f>
        <v/>
      </c>
      <c r="G46" s="37" t="str">
        <f aca="false">IF($A46="","",TRIM(SUBSTITUTE(SUBSTITUTE(SUBSTITUTE(SUBSTITUTE(SUBSTITUTE(SUBSTITUTE(UPPER(IFERROR(INDEX('Base de Personas'!$H7:H21,MATCH($A46,'Base de Personas'!$B7:B21,0)),IFERROR(INDEX($G$5:G45,MATCH($A46,$A$5:A45,0)),""))),"Á","A"),"É","E"),"Í","I"),"Ó","O"),"Ú","U"),"Ü","U")))</f>
        <v/>
      </c>
      <c r="H46" s="38" t="str">
        <f aca="false">IF($A46="","",IFERROR(INDEX('Base de Personas'!$I$7:$I$21,MATCH($A46,'Base de Personas'!$B$7:$B$21,0)),IFERROR(INDEX($H$5:H45,MATCH($A46,$A$5:A45,0)),"")))</f>
        <v/>
      </c>
      <c r="I46" s="39"/>
      <c r="J46" s="40"/>
      <c r="K46" s="40"/>
      <c r="L46" s="39"/>
      <c r="M46" s="41" t="str">
        <f aca="false">IF($A46="","",IF(K46=_xlfn.MAXIFS($K$5:$K$304,$A$5:$A$304,$A46),1,0))</f>
        <v/>
      </c>
      <c r="N46" s="41" t="str">
        <f aca="false">IF($A46="","",IF(M46=1,$A46&amp;"-ACT",""))</f>
        <v/>
      </c>
      <c r="O46" s="41" t="str">
        <f aca="false">IF($A46="","",IF(AND(COUNTIF('Base de Personas'!$B$7:$B$21,$A46)=0,COUNTIF($A$5:A46,$A46)=1),1,0))</f>
        <v/>
      </c>
      <c r="P46" s="41" t="str">
        <f aca="false">IF(O46=1,SUM($O$5:O46),"")</f>
        <v/>
      </c>
    </row>
    <row r="47" customFormat="false" ht="15" hidden="false" customHeight="false" outlineLevel="0" collapsed="false">
      <c r="A47" s="35"/>
      <c r="B47" s="36" t="str">
        <f aca="false">IF($A47="","",TRIM(SUBSTITUTE(SUBSTITUTE(SUBSTITUTE(SUBSTITUTE(SUBSTITUTE(SUBSTITUTE(UPPER(IFERROR(INDEX('Base de Personas'!$C7:C21,MATCH($A47,'Base de Personas'!$B7:B21,0)),IFERROR(INDEX($B$5:B46,MATCH($A47,$A$5:A46,0)),""))),"Á","A"),"É","E"),"Í","I"),"Ó","O"),"Ú","U"),"Ü","U")))</f>
        <v/>
      </c>
      <c r="C47" s="37" t="str">
        <f aca="false">IF($A47="","",TRIM(SUBSTITUTE(SUBSTITUTE(SUBSTITUTE(SUBSTITUTE(SUBSTITUTE(SUBSTITUTE(UPPER(IFERROR(INDEX('Base de Personas'!$D7:D21,MATCH($A47,'Base de Personas'!$B7:B21,0)),IFERROR(INDEX($C$5:C46,MATCH($A47,$A$5:A46,0)),""))),"Á","A"),"É","E"),"Í","I"),"Ó","O"),"Ú","U"),"Ü","U")))</f>
        <v/>
      </c>
      <c r="D47" s="36" t="str">
        <f aca="false">IF($A47="","",TRIM(SUBSTITUTE(SUBSTITUTE(SUBSTITUTE(SUBSTITUTE(SUBSTITUTE(SUBSTITUTE(UPPER(IFERROR(INDEX('Base de Personas'!$E7:E21,MATCH($A47,'Base de Personas'!$B7:B21,0)),IFERROR(INDEX($D$5:D46,MATCH($A47,$A$5:A46,0)),""))),"Á","A"),"É","E"),"Í","I"),"Ó","O"),"Ú","U"),"Ü","U")))</f>
        <v/>
      </c>
      <c r="E47" s="36" t="str">
        <f aca="false">IF($A47="","",TRIM(SUBSTITUTE(SUBSTITUTE(SUBSTITUTE(SUBSTITUTE(SUBSTITUTE(SUBSTITUTE(UPPER(IFERROR(INDEX('Base de Personas'!$F7:F21,MATCH($A47,'Base de Personas'!$B7:B21,0)),IFERROR(INDEX($E$5:E46,MATCH($A47,$A$5:A46,0)),""))),"Á","A"),"É","E"),"Í","I"),"Ó","O"),"Ú","U"),"Ü","U")))</f>
        <v/>
      </c>
      <c r="F47" s="36" t="str">
        <f aca="false">IF($A47="","",TRIM(SUBSTITUTE(SUBSTITUTE(SUBSTITUTE(SUBSTITUTE(SUBSTITUTE(SUBSTITUTE(UPPER(IFERROR(INDEX('Base de Personas'!$G7:G21,MATCH($A47,'Base de Personas'!$B7:B21,0)),IFERROR(INDEX($F$5:F46,MATCH($A47,$A$5:A46,0)),""))),"Á","A"),"É","E"),"Í","I"),"Ó","O"),"Ú","U"),"Ü","U")))</f>
        <v/>
      </c>
      <c r="G47" s="37" t="str">
        <f aca="false">IF($A47="","",TRIM(SUBSTITUTE(SUBSTITUTE(SUBSTITUTE(SUBSTITUTE(SUBSTITUTE(SUBSTITUTE(UPPER(IFERROR(INDEX('Base de Personas'!$H7:H21,MATCH($A47,'Base de Personas'!$B7:B21,0)),IFERROR(INDEX($G$5:G46,MATCH($A47,$A$5:A46,0)),""))),"Á","A"),"É","E"),"Í","I"),"Ó","O"),"Ú","U"),"Ü","U")))</f>
        <v/>
      </c>
      <c r="H47" s="38" t="str">
        <f aca="false">IF($A47="","",IFERROR(INDEX('Base de Personas'!$I$7:$I$21,MATCH($A47,'Base de Personas'!$B$7:$B$21,0)),IFERROR(INDEX($H$5:H46,MATCH($A47,$A$5:A46,0)),"")))</f>
        <v/>
      </c>
      <c r="I47" s="39"/>
      <c r="J47" s="40"/>
      <c r="K47" s="40"/>
      <c r="L47" s="39"/>
      <c r="M47" s="41" t="str">
        <f aca="false">IF($A47="","",IF(K47=_xlfn.MAXIFS($K$5:$K$304,$A$5:$A$304,$A47),1,0))</f>
        <v/>
      </c>
      <c r="N47" s="41" t="str">
        <f aca="false">IF($A47="","",IF(M47=1,$A47&amp;"-ACT",""))</f>
        <v/>
      </c>
      <c r="O47" s="41" t="str">
        <f aca="false">IF($A47="","",IF(AND(COUNTIF('Base de Personas'!$B$7:$B$21,$A47)=0,COUNTIF($A$5:A47,$A47)=1),1,0))</f>
        <v/>
      </c>
      <c r="P47" s="41" t="str">
        <f aca="false">IF(O47=1,SUM($O$5:O47),"")</f>
        <v/>
      </c>
    </row>
    <row r="48" customFormat="false" ht="15" hidden="false" customHeight="false" outlineLevel="0" collapsed="false">
      <c r="A48" s="35"/>
      <c r="B48" s="36" t="str">
        <f aca="false">IF($A48="","",TRIM(SUBSTITUTE(SUBSTITUTE(SUBSTITUTE(SUBSTITUTE(SUBSTITUTE(SUBSTITUTE(UPPER(IFERROR(INDEX('Base de Personas'!$C7:C21,MATCH($A48,'Base de Personas'!$B7:B21,0)),IFERROR(INDEX($B$5:B47,MATCH($A48,$A$5:A47,0)),""))),"Á","A"),"É","E"),"Í","I"),"Ó","O"),"Ú","U"),"Ü","U")))</f>
        <v/>
      </c>
      <c r="C48" s="37" t="str">
        <f aca="false">IF($A48="","",TRIM(SUBSTITUTE(SUBSTITUTE(SUBSTITUTE(SUBSTITUTE(SUBSTITUTE(SUBSTITUTE(UPPER(IFERROR(INDEX('Base de Personas'!$D7:D21,MATCH($A48,'Base de Personas'!$B7:B21,0)),IFERROR(INDEX($C$5:C47,MATCH($A48,$A$5:A47,0)),""))),"Á","A"),"É","E"),"Í","I"),"Ó","O"),"Ú","U"),"Ü","U")))</f>
        <v/>
      </c>
      <c r="D48" s="36" t="str">
        <f aca="false">IF($A48="","",TRIM(SUBSTITUTE(SUBSTITUTE(SUBSTITUTE(SUBSTITUTE(SUBSTITUTE(SUBSTITUTE(UPPER(IFERROR(INDEX('Base de Personas'!$E7:E21,MATCH($A48,'Base de Personas'!$B7:B21,0)),IFERROR(INDEX($D$5:D47,MATCH($A48,$A$5:A47,0)),""))),"Á","A"),"É","E"),"Í","I"),"Ó","O"),"Ú","U"),"Ü","U")))</f>
        <v/>
      </c>
      <c r="E48" s="36" t="str">
        <f aca="false">IF($A48="","",TRIM(SUBSTITUTE(SUBSTITUTE(SUBSTITUTE(SUBSTITUTE(SUBSTITUTE(SUBSTITUTE(UPPER(IFERROR(INDEX('Base de Personas'!$F7:F21,MATCH($A48,'Base de Personas'!$B7:B21,0)),IFERROR(INDEX($E$5:E47,MATCH($A48,$A$5:A47,0)),""))),"Á","A"),"É","E"),"Í","I"),"Ó","O"),"Ú","U"),"Ü","U")))</f>
        <v/>
      </c>
      <c r="F48" s="36" t="str">
        <f aca="false">IF($A48="","",TRIM(SUBSTITUTE(SUBSTITUTE(SUBSTITUTE(SUBSTITUTE(SUBSTITUTE(SUBSTITUTE(UPPER(IFERROR(INDEX('Base de Personas'!$G7:G21,MATCH($A48,'Base de Personas'!$B7:B21,0)),IFERROR(INDEX($F$5:F47,MATCH($A48,$A$5:A47,0)),""))),"Á","A"),"É","E"),"Í","I"),"Ó","O"),"Ú","U"),"Ü","U")))</f>
        <v/>
      </c>
      <c r="G48" s="37" t="str">
        <f aca="false">IF($A48="","",TRIM(SUBSTITUTE(SUBSTITUTE(SUBSTITUTE(SUBSTITUTE(SUBSTITUTE(SUBSTITUTE(UPPER(IFERROR(INDEX('Base de Personas'!$H7:H21,MATCH($A48,'Base de Personas'!$B7:B21,0)),IFERROR(INDEX($G$5:G47,MATCH($A48,$A$5:A47,0)),""))),"Á","A"),"É","E"),"Í","I"),"Ó","O"),"Ú","U"),"Ü","U")))</f>
        <v/>
      </c>
      <c r="H48" s="38" t="str">
        <f aca="false">IF($A48="","",IFERROR(INDEX('Base de Personas'!$I$7:$I$21,MATCH($A48,'Base de Personas'!$B$7:$B$21,0)),IFERROR(INDEX($H$5:H47,MATCH($A48,$A$5:A47,0)),"")))</f>
        <v/>
      </c>
      <c r="I48" s="39"/>
      <c r="J48" s="40"/>
      <c r="K48" s="40"/>
      <c r="L48" s="39"/>
      <c r="M48" s="41" t="str">
        <f aca="false">IF($A48="","",IF(K48=_xlfn.MAXIFS($K$5:$K$304,$A$5:$A$304,$A48),1,0))</f>
        <v/>
      </c>
      <c r="N48" s="41" t="str">
        <f aca="false">IF($A48="","",IF(M48=1,$A48&amp;"-ACT",""))</f>
        <v/>
      </c>
      <c r="O48" s="41" t="str">
        <f aca="false">IF($A48="","",IF(AND(COUNTIF('Base de Personas'!$B$7:$B$21,$A48)=0,COUNTIF($A$5:A48,$A48)=1),1,0))</f>
        <v/>
      </c>
      <c r="P48" s="41" t="str">
        <f aca="false">IF(O48=1,SUM($O$5:O48),"")</f>
        <v/>
      </c>
    </row>
    <row r="49" customFormat="false" ht="15" hidden="false" customHeight="false" outlineLevel="0" collapsed="false">
      <c r="A49" s="35"/>
      <c r="B49" s="36" t="str">
        <f aca="false">IF($A49="","",TRIM(SUBSTITUTE(SUBSTITUTE(SUBSTITUTE(SUBSTITUTE(SUBSTITUTE(SUBSTITUTE(UPPER(IFERROR(INDEX('Base de Personas'!$C7:C21,MATCH($A49,'Base de Personas'!$B7:B21,0)),IFERROR(INDEX($B$5:B48,MATCH($A49,$A$5:A48,0)),""))),"Á","A"),"É","E"),"Í","I"),"Ó","O"),"Ú","U"),"Ü","U")))</f>
        <v/>
      </c>
      <c r="C49" s="37" t="str">
        <f aca="false">IF($A49="","",TRIM(SUBSTITUTE(SUBSTITUTE(SUBSTITUTE(SUBSTITUTE(SUBSTITUTE(SUBSTITUTE(UPPER(IFERROR(INDEX('Base de Personas'!$D7:D21,MATCH($A49,'Base de Personas'!$B7:B21,0)),IFERROR(INDEX($C$5:C48,MATCH($A49,$A$5:A48,0)),""))),"Á","A"),"É","E"),"Í","I"),"Ó","O"),"Ú","U"),"Ü","U")))</f>
        <v/>
      </c>
      <c r="D49" s="36" t="str">
        <f aca="false">IF($A49="","",TRIM(SUBSTITUTE(SUBSTITUTE(SUBSTITUTE(SUBSTITUTE(SUBSTITUTE(SUBSTITUTE(UPPER(IFERROR(INDEX('Base de Personas'!$E7:E21,MATCH($A49,'Base de Personas'!$B7:B21,0)),IFERROR(INDEX($D$5:D48,MATCH($A49,$A$5:A48,0)),""))),"Á","A"),"É","E"),"Í","I"),"Ó","O"),"Ú","U"),"Ü","U")))</f>
        <v/>
      </c>
      <c r="E49" s="36" t="str">
        <f aca="false">IF($A49="","",TRIM(SUBSTITUTE(SUBSTITUTE(SUBSTITUTE(SUBSTITUTE(SUBSTITUTE(SUBSTITUTE(UPPER(IFERROR(INDEX('Base de Personas'!$F7:F21,MATCH($A49,'Base de Personas'!$B7:B21,0)),IFERROR(INDEX($E$5:E48,MATCH($A49,$A$5:A48,0)),""))),"Á","A"),"É","E"),"Í","I"),"Ó","O"),"Ú","U"),"Ü","U")))</f>
        <v/>
      </c>
      <c r="F49" s="36" t="str">
        <f aca="false">IF($A49="","",TRIM(SUBSTITUTE(SUBSTITUTE(SUBSTITUTE(SUBSTITUTE(SUBSTITUTE(SUBSTITUTE(UPPER(IFERROR(INDEX('Base de Personas'!$G7:G21,MATCH($A49,'Base de Personas'!$B7:B21,0)),IFERROR(INDEX($F$5:F48,MATCH($A49,$A$5:A48,0)),""))),"Á","A"),"É","E"),"Í","I"),"Ó","O"),"Ú","U"),"Ü","U")))</f>
        <v/>
      </c>
      <c r="G49" s="37" t="str">
        <f aca="false">IF($A49="","",TRIM(SUBSTITUTE(SUBSTITUTE(SUBSTITUTE(SUBSTITUTE(SUBSTITUTE(SUBSTITUTE(UPPER(IFERROR(INDEX('Base de Personas'!$H7:H21,MATCH($A49,'Base de Personas'!$B7:B21,0)),IFERROR(INDEX($G$5:G48,MATCH($A49,$A$5:A48,0)),""))),"Á","A"),"É","E"),"Í","I"),"Ó","O"),"Ú","U"),"Ü","U")))</f>
        <v/>
      </c>
      <c r="H49" s="38" t="str">
        <f aca="false">IF($A49="","",IFERROR(INDEX('Base de Personas'!$I$7:$I$21,MATCH($A49,'Base de Personas'!$B$7:$B$21,0)),IFERROR(INDEX($H$5:H48,MATCH($A49,$A$5:A48,0)),"")))</f>
        <v/>
      </c>
      <c r="I49" s="39"/>
      <c r="J49" s="40"/>
      <c r="K49" s="40"/>
      <c r="L49" s="39"/>
      <c r="M49" s="41" t="str">
        <f aca="false">IF($A49="","",IF(K49=_xlfn.MAXIFS($K$5:$K$304,$A$5:$A$304,$A49),1,0))</f>
        <v/>
      </c>
      <c r="N49" s="41" t="str">
        <f aca="false">IF($A49="","",IF(M49=1,$A49&amp;"-ACT",""))</f>
        <v/>
      </c>
      <c r="O49" s="41" t="str">
        <f aca="false">IF($A49="","",IF(AND(COUNTIF('Base de Personas'!$B$7:$B$21,$A49)=0,COUNTIF($A$5:A49,$A49)=1),1,0))</f>
        <v/>
      </c>
      <c r="P49" s="41" t="str">
        <f aca="false">IF(O49=1,SUM($O$5:O49),"")</f>
        <v/>
      </c>
    </row>
    <row r="50" customFormat="false" ht="15" hidden="false" customHeight="false" outlineLevel="0" collapsed="false">
      <c r="A50" s="35"/>
      <c r="B50" s="36" t="str">
        <f aca="false">IF($A50="","",TRIM(SUBSTITUTE(SUBSTITUTE(SUBSTITUTE(SUBSTITUTE(SUBSTITUTE(SUBSTITUTE(UPPER(IFERROR(INDEX('Base de Personas'!$C7:C21,MATCH($A50,'Base de Personas'!$B7:B21,0)),IFERROR(INDEX($B$5:B49,MATCH($A50,$A$5:A49,0)),""))),"Á","A"),"É","E"),"Í","I"),"Ó","O"),"Ú","U"),"Ü","U")))</f>
        <v/>
      </c>
      <c r="C50" s="37" t="str">
        <f aca="false">IF($A50="","",TRIM(SUBSTITUTE(SUBSTITUTE(SUBSTITUTE(SUBSTITUTE(SUBSTITUTE(SUBSTITUTE(UPPER(IFERROR(INDEX('Base de Personas'!$D7:D21,MATCH($A50,'Base de Personas'!$B7:B21,0)),IFERROR(INDEX($C$5:C49,MATCH($A50,$A$5:A49,0)),""))),"Á","A"),"É","E"),"Í","I"),"Ó","O"),"Ú","U"),"Ü","U")))</f>
        <v/>
      </c>
      <c r="D50" s="36" t="str">
        <f aca="false">IF($A50="","",TRIM(SUBSTITUTE(SUBSTITUTE(SUBSTITUTE(SUBSTITUTE(SUBSTITUTE(SUBSTITUTE(UPPER(IFERROR(INDEX('Base de Personas'!$E7:E21,MATCH($A50,'Base de Personas'!$B7:B21,0)),IFERROR(INDEX($D$5:D49,MATCH($A50,$A$5:A49,0)),""))),"Á","A"),"É","E"),"Í","I"),"Ó","O"),"Ú","U"),"Ü","U")))</f>
        <v/>
      </c>
      <c r="E50" s="36" t="str">
        <f aca="false">IF($A50="","",TRIM(SUBSTITUTE(SUBSTITUTE(SUBSTITUTE(SUBSTITUTE(SUBSTITUTE(SUBSTITUTE(UPPER(IFERROR(INDEX('Base de Personas'!$F7:F21,MATCH($A50,'Base de Personas'!$B7:B21,0)),IFERROR(INDEX($E$5:E49,MATCH($A50,$A$5:A49,0)),""))),"Á","A"),"É","E"),"Í","I"),"Ó","O"),"Ú","U"),"Ü","U")))</f>
        <v/>
      </c>
      <c r="F50" s="36" t="str">
        <f aca="false">IF($A50="","",TRIM(SUBSTITUTE(SUBSTITUTE(SUBSTITUTE(SUBSTITUTE(SUBSTITUTE(SUBSTITUTE(UPPER(IFERROR(INDEX('Base de Personas'!$G7:G21,MATCH($A50,'Base de Personas'!$B7:B21,0)),IFERROR(INDEX($F$5:F49,MATCH($A50,$A$5:A49,0)),""))),"Á","A"),"É","E"),"Í","I"),"Ó","O"),"Ú","U"),"Ü","U")))</f>
        <v/>
      </c>
      <c r="G50" s="37" t="str">
        <f aca="false">IF($A50="","",TRIM(SUBSTITUTE(SUBSTITUTE(SUBSTITUTE(SUBSTITUTE(SUBSTITUTE(SUBSTITUTE(UPPER(IFERROR(INDEX('Base de Personas'!$H7:H21,MATCH($A50,'Base de Personas'!$B7:B21,0)),IFERROR(INDEX($G$5:G49,MATCH($A50,$A$5:A49,0)),""))),"Á","A"),"É","E"),"Í","I"),"Ó","O"),"Ú","U"),"Ü","U")))</f>
        <v/>
      </c>
      <c r="H50" s="38" t="str">
        <f aca="false">IF($A50="","",IFERROR(INDEX('Base de Personas'!$I$7:$I$21,MATCH($A50,'Base de Personas'!$B$7:$B$21,0)),IFERROR(INDEX($H$5:H49,MATCH($A50,$A$5:A49,0)),"")))</f>
        <v/>
      </c>
      <c r="I50" s="39"/>
      <c r="J50" s="40"/>
      <c r="K50" s="40"/>
      <c r="L50" s="39"/>
      <c r="M50" s="41" t="str">
        <f aca="false">IF($A50="","",IF(K50=_xlfn.MAXIFS($K$5:$K$304,$A$5:$A$304,$A50),1,0))</f>
        <v/>
      </c>
      <c r="N50" s="41" t="str">
        <f aca="false">IF($A50="","",IF(M50=1,$A50&amp;"-ACT",""))</f>
        <v/>
      </c>
      <c r="O50" s="41" t="str">
        <f aca="false">IF($A50="","",IF(AND(COUNTIF('Base de Personas'!$B$7:$B$21,$A50)=0,COUNTIF($A$5:A50,$A50)=1),1,0))</f>
        <v/>
      </c>
      <c r="P50" s="41" t="str">
        <f aca="false">IF(O50=1,SUM($O$5:O50),"")</f>
        <v/>
      </c>
    </row>
    <row r="51" customFormat="false" ht="15" hidden="false" customHeight="false" outlineLevel="0" collapsed="false">
      <c r="A51" s="35"/>
      <c r="B51" s="36" t="str">
        <f aca="false">IF($A51="","",TRIM(SUBSTITUTE(SUBSTITUTE(SUBSTITUTE(SUBSTITUTE(SUBSTITUTE(SUBSTITUTE(UPPER(IFERROR(INDEX('Base de Personas'!$C7:C21,MATCH($A51,'Base de Personas'!$B7:B21,0)),IFERROR(INDEX($B$5:B50,MATCH($A51,$A$5:A50,0)),""))),"Á","A"),"É","E"),"Í","I"),"Ó","O"),"Ú","U"),"Ü","U")))</f>
        <v/>
      </c>
      <c r="C51" s="37" t="str">
        <f aca="false">IF($A51="","",TRIM(SUBSTITUTE(SUBSTITUTE(SUBSTITUTE(SUBSTITUTE(SUBSTITUTE(SUBSTITUTE(UPPER(IFERROR(INDEX('Base de Personas'!$D7:D21,MATCH($A51,'Base de Personas'!$B7:B21,0)),IFERROR(INDEX($C$5:C50,MATCH($A51,$A$5:A50,0)),""))),"Á","A"),"É","E"),"Í","I"),"Ó","O"),"Ú","U"),"Ü","U")))</f>
        <v/>
      </c>
      <c r="D51" s="36" t="str">
        <f aca="false">IF($A51="","",TRIM(SUBSTITUTE(SUBSTITUTE(SUBSTITUTE(SUBSTITUTE(SUBSTITUTE(SUBSTITUTE(UPPER(IFERROR(INDEX('Base de Personas'!$E7:E21,MATCH($A51,'Base de Personas'!$B7:B21,0)),IFERROR(INDEX($D$5:D50,MATCH($A51,$A$5:A50,0)),""))),"Á","A"),"É","E"),"Í","I"),"Ó","O"),"Ú","U"),"Ü","U")))</f>
        <v/>
      </c>
      <c r="E51" s="36" t="str">
        <f aca="false">IF($A51="","",TRIM(SUBSTITUTE(SUBSTITUTE(SUBSTITUTE(SUBSTITUTE(SUBSTITUTE(SUBSTITUTE(UPPER(IFERROR(INDEX('Base de Personas'!$F7:F21,MATCH($A51,'Base de Personas'!$B7:B21,0)),IFERROR(INDEX($E$5:E50,MATCH($A51,$A$5:A50,0)),""))),"Á","A"),"É","E"),"Í","I"),"Ó","O"),"Ú","U"),"Ü","U")))</f>
        <v/>
      </c>
      <c r="F51" s="36" t="str">
        <f aca="false">IF($A51="","",TRIM(SUBSTITUTE(SUBSTITUTE(SUBSTITUTE(SUBSTITUTE(SUBSTITUTE(SUBSTITUTE(UPPER(IFERROR(INDEX('Base de Personas'!$G7:G21,MATCH($A51,'Base de Personas'!$B7:B21,0)),IFERROR(INDEX($F$5:F50,MATCH($A51,$A$5:A50,0)),""))),"Á","A"),"É","E"),"Í","I"),"Ó","O"),"Ú","U"),"Ü","U")))</f>
        <v/>
      </c>
      <c r="G51" s="37" t="str">
        <f aca="false">IF($A51="","",TRIM(SUBSTITUTE(SUBSTITUTE(SUBSTITUTE(SUBSTITUTE(SUBSTITUTE(SUBSTITUTE(UPPER(IFERROR(INDEX('Base de Personas'!$H7:H21,MATCH($A51,'Base de Personas'!$B7:B21,0)),IFERROR(INDEX($G$5:G50,MATCH($A51,$A$5:A50,0)),""))),"Á","A"),"É","E"),"Í","I"),"Ó","O"),"Ú","U"),"Ü","U")))</f>
        <v/>
      </c>
      <c r="H51" s="38" t="str">
        <f aca="false">IF($A51="","",IFERROR(INDEX('Base de Personas'!$I$7:$I$21,MATCH($A51,'Base de Personas'!$B$7:$B$21,0)),IFERROR(INDEX($H$5:H50,MATCH($A51,$A$5:A50,0)),"")))</f>
        <v/>
      </c>
      <c r="I51" s="39"/>
      <c r="J51" s="40"/>
      <c r="K51" s="40"/>
      <c r="L51" s="39"/>
      <c r="M51" s="41" t="str">
        <f aca="false">IF($A51="","",IF(K51=_xlfn.MAXIFS($K$5:$K$304,$A$5:$A$304,$A51),1,0))</f>
        <v/>
      </c>
      <c r="N51" s="41" t="str">
        <f aca="false">IF($A51="","",IF(M51=1,$A51&amp;"-ACT",""))</f>
        <v/>
      </c>
      <c r="O51" s="41" t="str">
        <f aca="false">IF($A51="","",IF(AND(COUNTIF('Base de Personas'!$B$7:$B$21,$A51)=0,COUNTIF($A$5:A51,$A51)=1),1,0))</f>
        <v/>
      </c>
      <c r="P51" s="41" t="str">
        <f aca="false">IF(O51=1,SUM($O$5:O51),"")</f>
        <v/>
      </c>
    </row>
    <row r="52" customFormat="false" ht="15" hidden="false" customHeight="false" outlineLevel="0" collapsed="false">
      <c r="A52" s="35"/>
      <c r="B52" s="36" t="str">
        <f aca="false">IF($A52="","",TRIM(SUBSTITUTE(SUBSTITUTE(SUBSTITUTE(SUBSTITUTE(SUBSTITUTE(SUBSTITUTE(UPPER(IFERROR(INDEX('Base de Personas'!$C7:C21,MATCH($A52,'Base de Personas'!$B7:B21,0)),IFERROR(INDEX($B$5:B51,MATCH($A52,$A$5:A51,0)),""))),"Á","A"),"É","E"),"Í","I"),"Ó","O"),"Ú","U"),"Ü","U")))</f>
        <v/>
      </c>
      <c r="C52" s="37" t="str">
        <f aca="false">IF($A52="","",TRIM(SUBSTITUTE(SUBSTITUTE(SUBSTITUTE(SUBSTITUTE(SUBSTITUTE(SUBSTITUTE(UPPER(IFERROR(INDEX('Base de Personas'!$D7:D21,MATCH($A52,'Base de Personas'!$B7:B21,0)),IFERROR(INDEX($C$5:C51,MATCH($A52,$A$5:A51,0)),""))),"Á","A"),"É","E"),"Í","I"),"Ó","O"),"Ú","U"),"Ü","U")))</f>
        <v/>
      </c>
      <c r="D52" s="36" t="str">
        <f aca="false">IF($A52="","",TRIM(SUBSTITUTE(SUBSTITUTE(SUBSTITUTE(SUBSTITUTE(SUBSTITUTE(SUBSTITUTE(UPPER(IFERROR(INDEX('Base de Personas'!$E7:E21,MATCH($A52,'Base de Personas'!$B7:B21,0)),IFERROR(INDEX($D$5:D51,MATCH($A52,$A$5:A51,0)),""))),"Á","A"),"É","E"),"Í","I"),"Ó","O"),"Ú","U"),"Ü","U")))</f>
        <v/>
      </c>
      <c r="E52" s="36" t="str">
        <f aca="false">IF($A52="","",TRIM(SUBSTITUTE(SUBSTITUTE(SUBSTITUTE(SUBSTITUTE(SUBSTITUTE(SUBSTITUTE(UPPER(IFERROR(INDEX('Base de Personas'!$F7:F21,MATCH($A52,'Base de Personas'!$B7:B21,0)),IFERROR(INDEX($E$5:E51,MATCH($A52,$A$5:A51,0)),""))),"Á","A"),"É","E"),"Í","I"),"Ó","O"),"Ú","U"),"Ü","U")))</f>
        <v/>
      </c>
      <c r="F52" s="36" t="str">
        <f aca="false">IF($A52="","",TRIM(SUBSTITUTE(SUBSTITUTE(SUBSTITUTE(SUBSTITUTE(SUBSTITUTE(SUBSTITUTE(UPPER(IFERROR(INDEX('Base de Personas'!$G7:G21,MATCH($A52,'Base de Personas'!$B7:B21,0)),IFERROR(INDEX($F$5:F51,MATCH($A52,$A$5:A51,0)),""))),"Á","A"),"É","E"),"Í","I"),"Ó","O"),"Ú","U"),"Ü","U")))</f>
        <v/>
      </c>
      <c r="G52" s="37" t="str">
        <f aca="false">IF($A52="","",TRIM(SUBSTITUTE(SUBSTITUTE(SUBSTITUTE(SUBSTITUTE(SUBSTITUTE(SUBSTITUTE(UPPER(IFERROR(INDEX('Base de Personas'!$H7:H21,MATCH($A52,'Base de Personas'!$B7:B21,0)),IFERROR(INDEX($G$5:G51,MATCH($A52,$A$5:A51,0)),""))),"Á","A"),"É","E"),"Í","I"),"Ó","O"),"Ú","U"),"Ü","U")))</f>
        <v/>
      </c>
      <c r="H52" s="38" t="str">
        <f aca="false">IF($A52="","",IFERROR(INDEX('Base de Personas'!$I$7:$I$21,MATCH($A52,'Base de Personas'!$B$7:$B$21,0)),IFERROR(INDEX($H$5:H51,MATCH($A52,$A$5:A51,0)),"")))</f>
        <v/>
      </c>
      <c r="I52" s="39"/>
      <c r="J52" s="40"/>
      <c r="K52" s="40"/>
      <c r="L52" s="39"/>
      <c r="M52" s="41" t="str">
        <f aca="false">IF($A52="","",IF(K52=_xlfn.MAXIFS($K$5:$K$304,$A$5:$A$304,$A52),1,0))</f>
        <v/>
      </c>
      <c r="N52" s="41" t="str">
        <f aca="false">IF($A52="","",IF(M52=1,$A52&amp;"-ACT",""))</f>
        <v/>
      </c>
      <c r="O52" s="41" t="str">
        <f aca="false">IF($A52="","",IF(AND(COUNTIF('Base de Personas'!$B$7:$B$21,$A52)=0,COUNTIF($A$5:A52,$A52)=1),1,0))</f>
        <v/>
      </c>
      <c r="P52" s="41" t="str">
        <f aca="false">IF(O52=1,SUM($O$5:O52),"")</f>
        <v/>
      </c>
    </row>
    <row r="53" customFormat="false" ht="15" hidden="false" customHeight="false" outlineLevel="0" collapsed="false">
      <c r="A53" s="35"/>
      <c r="B53" s="36" t="str">
        <f aca="false">IF($A53="","",TRIM(SUBSTITUTE(SUBSTITUTE(SUBSTITUTE(SUBSTITUTE(SUBSTITUTE(SUBSTITUTE(UPPER(IFERROR(INDEX('Base de Personas'!$C7:C21,MATCH($A53,'Base de Personas'!$B7:B21,0)),IFERROR(INDEX($B$5:B52,MATCH($A53,$A$5:A52,0)),""))),"Á","A"),"É","E"),"Í","I"),"Ó","O"),"Ú","U"),"Ü","U")))</f>
        <v/>
      </c>
      <c r="C53" s="37" t="str">
        <f aca="false">IF($A53="","",TRIM(SUBSTITUTE(SUBSTITUTE(SUBSTITUTE(SUBSTITUTE(SUBSTITUTE(SUBSTITUTE(UPPER(IFERROR(INDEX('Base de Personas'!$D7:D21,MATCH($A53,'Base de Personas'!$B7:B21,0)),IFERROR(INDEX($C$5:C52,MATCH($A53,$A$5:A52,0)),""))),"Á","A"),"É","E"),"Í","I"),"Ó","O"),"Ú","U"),"Ü","U")))</f>
        <v/>
      </c>
      <c r="D53" s="36" t="str">
        <f aca="false">IF($A53="","",TRIM(SUBSTITUTE(SUBSTITUTE(SUBSTITUTE(SUBSTITUTE(SUBSTITUTE(SUBSTITUTE(UPPER(IFERROR(INDEX('Base de Personas'!$E7:E21,MATCH($A53,'Base de Personas'!$B7:B21,0)),IFERROR(INDEX($D$5:D52,MATCH($A53,$A$5:A52,0)),""))),"Á","A"),"É","E"),"Í","I"),"Ó","O"),"Ú","U"),"Ü","U")))</f>
        <v/>
      </c>
      <c r="E53" s="36" t="str">
        <f aca="false">IF($A53="","",TRIM(SUBSTITUTE(SUBSTITUTE(SUBSTITUTE(SUBSTITUTE(SUBSTITUTE(SUBSTITUTE(UPPER(IFERROR(INDEX('Base de Personas'!$F7:F21,MATCH($A53,'Base de Personas'!$B7:B21,0)),IFERROR(INDEX($E$5:E52,MATCH($A53,$A$5:A52,0)),""))),"Á","A"),"É","E"),"Í","I"),"Ó","O"),"Ú","U"),"Ü","U")))</f>
        <v/>
      </c>
      <c r="F53" s="36" t="str">
        <f aca="false">IF($A53="","",TRIM(SUBSTITUTE(SUBSTITUTE(SUBSTITUTE(SUBSTITUTE(SUBSTITUTE(SUBSTITUTE(UPPER(IFERROR(INDEX('Base de Personas'!$G7:G21,MATCH($A53,'Base de Personas'!$B7:B21,0)),IFERROR(INDEX($F$5:F52,MATCH($A53,$A$5:A52,0)),""))),"Á","A"),"É","E"),"Í","I"),"Ó","O"),"Ú","U"),"Ü","U")))</f>
        <v/>
      </c>
      <c r="G53" s="37" t="str">
        <f aca="false">IF($A53="","",TRIM(SUBSTITUTE(SUBSTITUTE(SUBSTITUTE(SUBSTITUTE(SUBSTITUTE(SUBSTITUTE(UPPER(IFERROR(INDEX('Base de Personas'!$H7:H21,MATCH($A53,'Base de Personas'!$B7:B21,0)),IFERROR(INDEX($G$5:G52,MATCH($A53,$A$5:A52,0)),""))),"Á","A"),"É","E"),"Í","I"),"Ó","O"),"Ú","U"),"Ü","U")))</f>
        <v/>
      </c>
      <c r="H53" s="38" t="str">
        <f aca="false">IF($A53="","",IFERROR(INDEX('Base de Personas'!$I$7:$I$21,MATCH($A53,'Base de Personas'!$B$7:$B$21,0)),IFERROR(INDEX($H$5:H52,MATCH($A53,$A$5:A52,0)),"")))</f>
        <v/>
      </c>
      <c r="I53" s="39"/>
      <c r="J53" s="40"/>
      <c r="K53" s="40"/>
      <c r="L53" s="39"/>
      <c r="M53" s="41" t="str">
        <f aca="false">IF($A53="","",IF(K53=_xlfn.MAXIFS($K$5:$K$304,$A$5:$A$304,$A53),1,0))</f>
        <v/>
      </c>
      <c r="N53" s="41" t="str">
        <f aca="false">IF($A53="","",IF(M53=1,$A53&amp;"-ACT",""))</f>
        <v/>
      </c>
      <c r="O53" s="41" t="str">
        <f aca="false">IF($A53="","",IF(AND(COUNTIF('Base de Personas'!$B$7:$B$21,$A53)=0,COUNTIF($A$5:A53,$A53)=1),1,0))</f>
        <v/>
      </c>
      <c r="P53" s="41" t="str">
        <f aca="false">IF(O53=1,SUM($O$5:O53),"")</f>
        <v/>
      </c>
    </row>
    <row r="54" customFormat="false" ht="15" hidden="false" customHeight="false" outlineLevel="0" collapsed="false">
      <c r="A54" s="35"/>
      <c r="B54" s="36" t="str">
        <f aca="false">IF($A54="","",TRIM(SUBSTITUTE(SUBSTITUTE(SUBSTITUTE(SUBSTITUTE(SUBSTITUTE(SUBSTITUTE(UPPER(IFERROR(INDEX('Base de Personas'!$C7:C21,MATCH($A54,'Base de Personas'!$B7:B21,0)),IFERROR(INDEX($B$5:B53,MATCH($A54,$A$5:A53,0)),""))),"Á","A"),"É","E"),"Í","I"),"Ó","O"),"Ú","U"),"Ü","U")))</f>
        <v/>
      </c>
      <c r="C54" s="37" t="str">
        <f aca="false">IF($A54="","",TRIM(SUBSTITUTE(SUBSTITUTE(SUBSTITUTE(SUBSTITUTE(SUBSTITUTE(SUBSTITUTE(UPPER(IFERROR(INDEX('Base de Personas'!$D7:D21,MATCH($A54,'Base de Personas'!$B7:B21,0)),IFERROR(INDEX($C$5:C53,MATCH($A54,$A$5:A53,0)),""))),"Á","A"),"É","E"),"Í","I"),"Ó","O"),"Ú","U"),"Ü","U")))</f>
        <v/>
      </c>
      <c r="D54" s="36" t="str">
        <f aca="false">IF($A54="","",TRIM(SUBSTITUTE(SUBSTITUTE(SUBSTITUTE(SUBSTITUTE(SUBSTITUTE(SUBSTITUTE(UPPER(IFERROR(INDEX('Base de Personas'!$E7:E21,MATCH($A54,'Base de Personas'!$B7:B21,0)),IFERROR(INDEX($D$5:D53,MATCH($A54,$A$5:A53,0)),""))),"Á","A"),"É","E"),"Í","I"),"Ó","O"),"Ú","U"),"Ü","U")))</f>
        <v/>
      </c>
      <c r="E54" s="36" t="str">
        <f aca="false">IF($A54="","",TRIM(SUBSTITUTE(SUBSTITUTE(SUBSTITUTE(SUBSTITUTE(SUBSTITUTE(SUBSTITUTE(UPPER(IFERROR(INDEX('Base de Personas'!$F7:F21,MATCH($A54,'Base de Personas'!$B7:B21,0)),IFERROR(INDEX($E$5:E53,MATCH($A54,$A$5:A53,0)),""))),"Á","A"),"É","E"),"Í","I"),"Ó","O"),"Ú","U"),"Ü","U")))</f>
        <v/>
      </c>
      <c r="F54" s="36" t="str">
        <f aca="false">IF($A54="","",TRIM(SUBSTITUTE(SUBSTITUTE(SUBSTITUTE(SUBSTITUTE(SUBSTITUTE(SUBSTITUTE(UPPER(IFERROR(INDEX('Base de Personas'!$G7:G21,MATCH($A54,'Base de Personas'!$B7:B21,0)),IFERROR(INDEX($F$5:F53,MATCH($A54,$A$5:A53,0)),""))),"Á","A"),"É","E"),"Í","I"),"Ó","O"),"Ú","U"),"Ü","U")))</f>
        <v/>
      </c>
      <c r="G54" s="37" t="str">
        <f aca="false">IF($A54="","",TRIM(SUBSTITUTE(SUBSTITUTE(SUBSTITUTE(SUBSTITUTE(SUBSTITUTE(SUBSTITUTE(UPPER(IFERROR(INDEX('Base de Personas'!$H7:H21,MATCH($A54,'Base de Personas'!$B7:B21,0)),IFERROR(INDEX($G$5:G53,MATCH($A54,$A$5:A53,0)),""))),"Á","A"),"É","E"),"Í","I"),"Ó","O"),"Ú","U"),"Ü","U")))</f>
        <v/>
      </c>
      <c r="H54" s="38" t="str">
        <f aca="false">IF($A54="","",IFERROR(INDEX('Base de Personas'!$I$7:$I$21,MATCH($A54,'Base de Personas'!$B$7:$B$21,0)),IFERROR(INDEX($H$5:H53,MATCH($A54,$A$5:A53,0)),"")))</f>
        <v/>
      </c>
      <c r="I54" s="39"/>
      <c r="J54" s="40"/>
      <c r="K54" s="40"/>
      <c r="L54" s="39"/>
      <c r="M54" s="41" t="str">
        <f aca="false">IF($A54="","",IF(K54=_xlfn.MAXIFS($K$5:$K$304,$A$5:$A$304,$A54),1,0))</f>
        <v/>
      </c>
      <c r="N54" s="41" t="str">
        <f aca="false">IF($A54="","",IF(M54=1,$A54&amp;"-ACT",""))</f>
        <v/>
      </c>
      <c r="O54" s="41" t="str">
        <f aca="false">IF($A54="","",IF(AND(COUNTIF('Base de Personas'!$B$7:$B$21,$A54)=0,COUNTIF($A$5:A54,$A54)=1),1,0))</f>
        <v/>
      </c>
      <c r="P54" s="41" t="str">
        <f aca="false">IF(O54=1,SUM($O$5:O54),"")</f>
        <v/>
      </c>
    </row>
    <row r="55" customFormat="false" ht="15" hidden="false" customHeight="false" outlineLevel="0" collapsed="false">
      <c r="A55" s="35"/>
      <c r="B55" s="36" t="str">
        <f aca="false">IF($A55="","",TRIM(SUBSTITUTE(SUBSTITUTE(SUBSTITUTE(SUBSTITUTE(SUBSTITUTE(SUBSTITUTE(UPPER(IFERROR(INDEX('Base de Personas'!$C7:C21,MATCH($A55,'Base de Personas'!$B7:B21,0)),IFERROR(INDEX($B$5:B54,MATCH($A55,$A$5:A54,0)),""))),"Á","A"),"É","E"),"Í","I"),"Ó","O"),"Ú","U"),"Ü","U")))</f>
        <v/>
      </c>
      <c r="C55" s="37" t="str">
        <f aca="false">IF($A55="","",TRIM(SUBSTITUTE(SUBSTITUTE(SUBSTITUTE(SUBSTITUTE(SUBSTITUTE(SUBSTITUTE(UPPER(IFERROR(INDEX('Base de Personas'!$D7:D21,MATCH($A55,'Base de Personas'!$B7:B21,0)),IFERROR(INDEX($C$5:C54,MATCH($A55,$A$5:A54,0)),""))),"Á","A"),"É","E"),"Í","I"),"Ó","O"),"Ú","U"),"Ü","U")))</f>
        <v/>
      </c>
      <c r="D55" s="36" t="str">
        <f aca="false">IF($A55="","",TRIM(SUBSTITUTE(SUBSTITUTE(SUBSTITUTE(SUBSTITUTE(SUBSTITUTE(SUBSTITUTE(UPPER(IFERROR(INDEX('Base de Personas'!$E7:E21,MATCH($A55,'Base de Personas'!$B7:B21,0)),IFERROR(INDEX($D$5:D54,MATCH($A55,$A$5:A54,0)),""))),"Á","A"),"É","E"),"Í","I"),"Ó","O"),"Ú","U"),"Ü","U")))</f>
        <v/>
      </c>
      <c r="E55" s="36" t="str">
        <f aca="false">IF($A55="","",TRIM(SUBSTITUTE(SUBSTITUTE(SUBSTITUTE(SUBSTITUTE(SUBSTITUTE(SUBSTITUTE(UPPER(IFERROR(INDEX('Base de Personas'!$F7:F21,MATCH($A55,'Base de Personas'!$B7:B21,0)),IFERROR(INDEX($E$5:E54,MATCH($A55,$A$5:A54,0)),""))),"Á","A"),"É","E"),"Í","I"),"Ó","O"),"Ú","U"),"Ü","U")))</f>
        <v/>
      </c>
      <c r="F55" s="36" t="str">
        <f aca="false">IF($A55="","",TRIM(SUBSTITUTE(SUBSTITUTE(SUBSTITUTE(SUBSTITUTE(SUBSTITUTE(SUBSTITUTE(UPPER(IFERROR(INDEX('Base de Personas'!$G7:G21,MATCH($A55,'Base de Personas'!$B7:B21,0)),IFERROR(INDEX($F$5:F54,MATCH($A55,$A$5:A54,0)),""))),"Á","A"),"É","E"),"Í","I"),"Ó","O"),"Ú","U"),"Ü","U")))</f>
        <v/>
      </c>
      <c r="G55" s="37" t="str">
        <f aca="false">IF($A55="","",TRIM(SUBSTITUTE(SUBSTITUTE(SUBSTITUTE(SUBSTITUTE(SUBSTITUTE(SUBSTITUTE(UPPER(IFERROR(INDEX('Base de Personas'!$H7:H21,MATCH($A55,'Base de Personas'!$B7:B21,0)),IFERROR(INDEX($G$5:G54,MATCH($A55,$A$5:A54,0)),""))),"Á","A"),"É","E"),"Í","I"),"Ó","O"),"Ú","U"),"Ü","U")))</f>
        <v/>
      </c>
      <c r="H55" s="38" t="str">
        <f aca="false">IF($A55="","",IFERROR(INDEX('Base de Personas'!$I$7:$I$21,MATCH($A55,'Base de Personas'!$B$7:$B$21,0)),IFERROR(INDEX($H$5:H54,MATCH($A55,$A$5:A54,0)),"")))</f>
        <v/>
      </c>
      <c r="I55" s="39"/>
      <c r="J55" s="40"/>
      <c r="K55" s="40"/>
      <c r="L55" s="39"/>
      <c r="M55" s="41" t="str">
        <f aca="false">IF($A55="","",IF(K55=_xlfn.MAXIFS($K$5:$K$304,$A$5:$A$304,$A55),1,0))</f>
        <v/>
      </c>
      <c r="N55" s="41" t="str">
        <f aca="false">IF($A55="","",IF(M55=1,$A55&amp;"-ACT",""))</f>
        <v/>
      </c>
      <c r="O55" s="41" t="str">
        <f aca="false">IF($A55="","",IF(AND(COUNTIF('Base de Personas'!$B$7:$B$21,$A55)=0,COUNTIF($A$5:A55,$A55)=1),1,0))</f>
        <v/>
      </c>
      <c r="P55" s="41" t="str">
        <f aca="false">IF(O55=1,SUM($O$5:O55),"")</f>
        <v/>
      </c>
    </row>
    <row r="56" customFormat="false" ht="15" hidden="false" customHeight="false" outlineLevel="0" collapsed="false">
      <c r="A56" s="35"/>
      <c r="B56" s="36" t="str">
        <f aca="false">IF($A56="","",TRIM(SUBSTITUTE(SUBSTITUTE(SUBSTITUTE(SUBSTITUTE(SUBSTITUTE(SUBSTITUTE(UPPER(IFERROR(INDEX('Base de Personas'!$C7:C21,MATCH($A56,'Base de Personas'!$B7:B21,0)),IFERROR(INDEX($B$5:B55,MATCH($A56,$A$5:A55,0)),""))),"Á","A"),"É","E"),"Í","I"),"Ó","O"),"Ú","U"),"Ü","U")))</f>
        <v/>
      </c>
      <c r="C56" s="37" t="str">
        <f aca="false">IF($A56="","",TRIM(SUBSTITUTE(SUBSTITUTE(SUBSTITUTE(SUBSTITUTE(SUBSTITUTE(SUBSTITUTE(UPPER(IFERROR(INDEX('Base de Personas'!$D7:D21,MATCH($A56,'Base de Personas'!$B7:B21,0)),IFERROR(INDEX($C$5:C55,MATCH($A56,$A$5:A55,0)),""))),"Á","A"),"É","E"),"Í","I"),"Ó","O"),"Ú","U"),"Ü","U")))</f>
        <v/>
      </c>
      <c r="D56" s="36" t="str">
        <f aca="false">IF($A56="","",TRIM(SUBSTITUTE(SUBSTITUTE(SUBSTITUTE(SUBSTITUTE(SUBSTITUTE(SUBSTITUTE(UPPER(IFERROR(INDEX('Base de Personas'!$E7:E21,MATCH($A56,'Base de Personas'!$B7:B21,0)),IFERROR(INDEX($D$5:D55,MATCH($A56,$A$5:A55,0)),""))),"Á","A"),"É","E"),"Í","I"),"Ó","O"),"Ú","U"),"Ü","U")))</f>
        <v/>
      </c>
      <c r="E56" s="36" t="str">
        <f aca="false">IF($A56="","",TRIM(SUBSTITUTE(SUBSTITUTE(SUBSTITUTE(SUBSTITUTE(SUBSTITUTE(SUBSTITUTE(UPPER(IFERROR(INDEX('Base de Personas'!$F7:F21,MATCH($A56,'Base de Personas'!$B7:B21,0)),IFERROR(INDEX($E$5:E55,MATCH($A56,$A$5:A55,0)),""))),"Á","A"),"É","E"),"Í","I"),"Ó","O"),"Ú","U"),"Ü","U")))</f>
        <v/>
      </c>
      <c r="F56" s="36" t="str">
        <f aca="false">IF($A56="","",TRIM(SUBSTITUTE(SUBSTITUTE(SUBSTITUTE(SUBSTITUTE(SUBSTITUTE(SUBSTITUTE(UPPER(IFERROR(INDEX('Base de Personas'!$G7:G21,MATCH($A56,'Base de Personas'!$B7:B21,0)),IFERROR(INDEX($F$5:F55,MATCH($A56,$A$5:A55,0)),""))),"Á","A"),"É","E"),"Í","I"),"Ó","O"),"Ú","U"),"Ü","U")))</f>
        <v/>
      </c>
      <c r="G56" s="37" t="str">
        <f aca="false">IF($A56="","",TRIM(SUBSTITUTE(SUBSTITUTE(SUBSTITUTE(SUBSTITUTE(SUBSTITUTE(SUBSTITUTE(UPPER(IFERROR(INDEX('Base de Personas'!$H7:H21,MATCH($A56,'Base de Personas'!$B7:B21,0)),IFERROR(INDEX($G$5:G55,MATCH($A56,$A$5:A55,0)),""))),"Á","A"),"É","E"),"Í","I"),"Ó","O"),"Ú","U"),"Ü","U")))</f>
        <v/>
      </c>
      <c r="H56" s="38" t="str">
        <f aca="false">IF($A56="","",IFERROR(INDEX('Base de Personas'!$I$7:$I$21,MATCH($A56,'Base de Personas'!$B$7:$B$21,0)),IFERROR(INDEX($H$5:H55,MATCH($A56,$A$5:A55,0)),"")))</f>
        <v/>
      </c>
      <c r="I56" s="39"/>
      <c r="J56" s="40"/>
      <c r="K56" s="40"/>
      <c r="L56" s="39"/>
      <c r="M56" s="41" t="str">
        <f aca="false">IF($A56="","",IF(K56=_xlfn.MAXIFS($K$5:$K$304,$A$5:$A$304,$A56),1,0))</f>
        <v/>
      </c>
      <c r="N56" s="41" t="str">
        <f aca="false">IF($A56="","",IF(M56=1,$A56&amp;"-ACT",""))</f>
        <v/>
      </c>
      <c r="O56" s="41" t="str">
        <f aca="false">IF($A56="","",IF(AND(COUNTIF('Base de Personas'!$B$7:$B$21,$A56)=0,COUNTIF($A$5:A56,$A56)=1),1,0))</f>
        <v/>
      </c>
      <c r="P56" s="41" t="str">
        <f aca="false">IF(O56=1,SUM($O$5:O56),"")</f>
        <v/>
      </c>
    </row>
    <row r="57" customFormat="false" ht="15" hidden="false" customHeight="false" outlineLevel="0" collapsed="false">
      <c r="A57" s="35"/>
      <c r="B57" s="36" t="str">
        <f aca="false">IF($A57="","",TRIM(SUBSTITUTE(SUBSTITUTE(SUBSTITUTE(SUBSTITUTE(SUBSTITUTE(SUBSTITUTE(UPPER(IFERROR(INDEX('Base de Personas'!$C7:C21,MATCH($A57,'Base de Personas'!$B7:B21,0)),IFERROR(INDEX($B$5:B56,MATCH($A57,$A$5:A56,0)),""))),"Á","A"),"É","E"),"Í","I"),"Ó","O"),"Ú","U"),"Ü","U")))</f>
        <v/>
      </c>
      <c r="C57" s="37" t="str">
        <f aca="false">IF($A57="","",TRIM(SUBSTITUTE(SUBSTITUTE(SUBSTITUTE(SUBSTITUTE(SUBSTITUTE(SUBSTITUTE(UPPER(IFERROR(INDEX('Base de Personas'!$D7:D21,MATCH($A57,'Base de Personas'!$B7:B21,0)),IFERROR(INDEX($C$5:C56,MATCH($A57,$A$5:A56,0)),""))),"Á","A"),"É","E"),"Í","I"),"Ó","O"),"Ú","U"),"Ü","U")))</f>
        <v/>
      </c>
      <c r="D57" s="36" t="str">
        <f aca="false">IF($A57="","",TRIM(SUBSTITUTE(SUBSTITUTE(SUBSTITUTE(SUBSTITUTE(SUBSTITUTE(SUBSTITUTE(UPPER(IFERROR(INDEX('Base de Personas'!$E7:E21,MATCH($A57,'Base de Personas'!$B7:B21,0)),IFERROR(INDEX($D$5:D56,MATCH($A57,$A$5:A56,0)),""))),"Á","A"),"É","E"),"Í","I"),"Ó","O"),"Ú","U"),"Ü","U")))</f>
        <v/>
      </c>
      <c r="E57" s="36" t="str">
        <f aca="false">IF($A57="","",TRIM(SUBSTITUTE(SUBSTITUTE(SUBSTITUTE(SUBSTITUTE(SUBSTITUTE(SUBSTITUTE(UPPER(IFERROR(INDEX('Base de Personas'!$F7:F21,MATCH($A57,'Base de Personas'!$B7:B21,0)),IFERROR(INDEX($E$5:E56,MATCH($A57,$A$5:A56,0)),""))),"Á","A"),"É","E"),"Í","I"),"Ó","O"),"Ú","U"),"Ü","U")))</f>
        <v/>
      </c>
      <c r="F57" s="36" t="str">
        <f aca="false">IF($A57="","",TRIM(SUBSTITUTE(SUBSTITUTE(SUBSTITUTE(SUBSTITUTE(SUBSTITUTE(SUBSTITUTE(UPPER(IFERROR(INDEX('Base de Personas'!$G7:G21,MATCH($A57,'Base de Personas'!$B7:B21,0)),IFERROR(INDEX($F$5:F56,MATCH($A57,$A$5:A56,0)),""))),"Á","A"),"É","E"),"Í","I"),"Ó","O"),"Ú","U"),"Ü","U")))</f>
        <v/>
      </c>
      <c r="G57" s="37" t="str">
        <f aca="false">IF($A57="","",TRIM(SUBSTITUTE(SUBSTITUTE(SUBSTITUTE(SUBSTITUTE(SUBSTITUTE(SUBSTITUTE(UPPER(IFERROR(INDEX('Base de Personas'!$H7:H21,MATCH($A57,'Base de Personas'!$B7:B21,0)),IFERROR(INDEX($G$5:G56,MATCH($A57,$A$5:A56,0)),""))),"Á","A"),"É","E"),"Í","I"),"Ó","O"),"Ú","U"),"Ü","U")))</f>
        <v/>
      </c>
      <c r="H57" s="38" t="str">
        <f aca="false">IF($A57="","",IFERROR(INDEX('Base de Personas'!$I$7:$I$21,MATCH($A57,'Base de Personas'!$B$7:$B$21,0)),IFERROR(INDEX($H$5:H56,MATCH($A57,$A$5:A56,0)),"")))</f>
        <v/>
      </c>
      <c r="I57" s="39"/>
      <c r="J57" s="40"/>
      <c r="K57" s="40"/>
      <c r="L57" s="39"/>
      <c r="M57" s="41" t="str">
        <f aca="false">IF($A57="","",IF(K57=_xlfn.MAXIFS($K$5:$K$304,$A$5:$A$304,$A57),1,0))</f>
        <v/>
      </c>
      <c r="N57" s="41" t="str">
        <f aca="false">IF($A57="","",IF(M57=1,$A57&amp;"-ACT",""))</f>
        <v/>
      </c>
      <c r="O57" s="41" t="str">
        <f aca="false">IF($A57="","",IF(AND(COUNTIF('Base de Personas'!$B$7:$B$21,$A57)=0,COUNTIF($A$5:A57,$A57)=1),1,0))</f>
        <v/>
      </c>
      <c r="P57" s="41" t="str">
        <f aca="false">IF(O57=1,SUM($O$5:O57),"")</f>
        <v/>
      </c>
    </row>
    <row r="58" customFormat="false" ht="15" hidden="false" customHeight="false" outlineLevel="0" collapsed="false">
      <c r="A58" s="35"/>
      <c r="B58" s="36" t="str">
        <f aca="false">IF($A58="","",TRIM(SUBSTITUTE(SUBSTITUTE(SUBSTITUTE(SUBSTITUTE(SUBSTITUTE(SUBSTITUTE(UPPER(IFERROR(INDEX('Base de Personas'!$C7:C21,MATCH($A58,'Base de Personas'!$B7:B21,0)),IFERROR(INDEX($B$5:B57,MATCH($A58,$A$5:A57,0)),""))),"Á","A"),"É","E"),"Í","I"),"Ó","O"),"Ú","U"),"Ü","U")))</f>
        <v/>
      </c>
      <c r="C58" s="37" t="str">
        <f aca="false">IF($A58="","",TRIM(SUBSTITUTE(SUBSTITUTE(SUBSTITUTE(SUBSTITUTE(SUBSTITUTE(SUBSTITUTE(UPPER(IFERROR(INDEX('Base de Personas'!$D7:D21,MATCH($A58,'Base de Personas'!$B7:B21,0)),IFERROR(INDEX($C$5:C57,MATCH($A58,$A$5:A57,0)),""))),"Á","A"),"É","E"),"Í","I"),"Ó","O"),"Ú","U"),"Ü","U")))</f>
        <v/>
      </c>
      <c r="D58" s="36" t="str">
        <f aca="false">IF($A58="","",TRIM(SUBSTITUTE(SUBSTITUTE(SUBSTITUTE(SUBSTITUTE(SUBSTITUTE(SUBSTITUTE(UPPER(IFERROR(INDEX('Base de Personas'!$E7:E21,MATCH($A58,'Base de Personas'!$B7:B21,0)),IFERROR(INDEX($D$5:D57,MATCH($A58,$A$5:A57,0)),""))),"Á","A"),"É","E"),"Í","I"),"Ó","O"),"Ú","U"),"Ü","U")))</f>
        <v/>
      </c>
      <c r="E58" s="36" t="str">
        <f aca="false">IF($A58="","",TRIM(SUBSTITUTE(SUBSTITUTE(SUBSTITUTE(SUBSTITUTE(SUBSTITUTE(SUBSTITUTE(UPPER(IFERROR(INDEX('Base de Personas'!$F7:F21,MATCH($A58,'Base de Personas'!$B7:B21,0)),IFERROR(INDEX($E$5:E57,MATCH($A58,$A$5:A57,0)),""))),"Á","A"),"É","E"),"Í","I"),"Ó","O"),"Ú","U"),"Ü","U")))</f>
        <v/>
      </c>
      <c r="F58" s="36" t="str">
        <f aca="false">IF($A58="","",TRIM(SUBSTITUTE(SUBSTITUTE(SUBSTITUTE(SUBSTITUTE(SUBSTITUTE(SUBSTITUTE(UPPER(IFERROR(INDEX('Base de Personas'!$G7:G21,MATCH($A58,'Base de Personas'!$B7:B21,0)),IFERROR(INDEX($F$5:F57,MATCH($A58,$A$5:A57,0)),""))),"Á","A"),"É","E"),"Í","I"),"Ó","O"),"Ú","U"),"Ü","U")))</f>
        <v/>
      </c>
      <c r="G58" s="37" t="str">
        <f aca="false">IF($A58="","",TRIM(SUBSTITUTE(SUBSTITUTE(SUBSTITUTE(SUBSTITUTE(SUBSTITUTE(SUBSTITUTE(UPPER(IFERROR(INDEX('Base de Personas'!$H7:H21,MATCH($A58,'Base de Personas'!$B7:B21,0)),IFERROR(INDEX($G$5:G57,MATCH($A58,$A$5:A57,0)),""))),"Á","A"),"É","E"),"Í","I"),"Ó","O"),"Ú","U"),"Ü","U")))</f>
        <v/>
      </c>
      <c r="H58" s="38" t="str">
        <f aca="false">IF($A58="","",IFERROR(INDEX('Base de Personas'!$I$7:$I$21,MATCH($A58,'Base de Personas'!$B$7:$B$21,0)),IFERROR(INDEX($H$5:H57,MATCH($A58,$A$5:A57,0)),"")))</f>
        <v/>
      </c>
      <c r="I58" s="39"/>
      <c r="J58" s="40"/>
      <c r="K58" s="40"/>
      <c r="L58" s="39"/>
      <c r="M58" s="41" t="str">
        <f aca="false">IF($A58="","",IF(K58=_xlfn.MAXIFS($K$5:$K$304,$A$5:$A$304,$A58),1,0))</f>
        <v/>
      </c>
      <c r="N58" s="41" t="str">
        <f aca="false">IF($A58="","",IF(M58=1,$A58&amp;"-ACT",""))</f>
        <v/>
      </c>
      <c r="O58" s="41" t="str">
        <f aca="false">IF($A58="","",IF(AND(COUNTIF('Base de Personas'!$B$7:$B$21,$A58)=0,COUNTIF($A$5:A58,$A58)=1),1,0))</f>
        <v/>
      </c>
      <c r="P58" s="41" t="str">
        <f aca="false">IF(O58=1,SUM($O$5:O58),"")</f>
        <v/>
      </c>
    </row>
    <row r="59" customFormat="false" ht="15" hidden="false" customHeight="false" outlineLevel="0" collapsed="false">
      <c r="A59" s="35"/>
      <c r="B59" s="36" t="str">
        <f aca="false">IF($A59="","",TRIM(SUBSTITUTE(SUBSTITUTE(SUBSTITUTE(SUBSTITUTE(SUBSTITUTE(SUBSTITUTE(UPPER(IFERROR(INDEX('Base de Personas'!$C7:C21,MATCH($A59,'Base de Personas'!$B7:B21,0)),IFERROR(INDEX($B$5:B58,MATCH($A59,$A$5:A58,0)),""))),"Á","A"),"É","E"),"Í","I"),"Ó","O"),"Ú","U"),"Ü","U")))</f>
        <v/>
      </c>
      <c r="C59" s="37" t="str">
        <f aca="false">IF($A59="","",TRIM(SUBSTITUTE(SUBSTITUTE(SUBSTITUTE(SUBSTITUTE(SUBSTITUTE(SUBSTITUTE(UPPER(IFERROR(INDEX('Base de Personas'!$D7:D21,MATCH($A59,'Base de Personas'!$B7:B21,0)),IFERROR(INDEX($C$5:C58,MATCH($A59,$A$5:A58,0)),""))),"Á","A"),"É","E"),"Í","I"),"Ó","O"),"Ú","U"),"Ü","U")))</f>
        <v/>
      </c>
      <c r="D59" s="36" t="str">
        <f aca="false">IF($A59="","",TRIM(SUBSTITUTE(SUBSTITUTE(SUBSTITUTE(SUBSTITUTE(SUBSTITUTE(SUBSTITUTE(UPPER(IFERROR(INDEX('Base de Personas'!$E7:E21,MATCH($A59,'Base de Personas'!$B7:B21,0)),IFERROR(INDEX($D$5:D58,MATCH($A59,$A$5:A58,0)),""))),"Á","A"),"É","E"),"Í","I"),"Ó","O"),"Ú","U"),"Ü","U")))</f>
        <v/>
      </c>
      <c r="E59" s="36" t="str">
        <f aca="false">IF($A59="","",TRIM(SUBSTITUTE(SUBSTITUTE(SUBSTITUTE(SUBSTITUTE(SUBSTITUTE(SUBSTITUTE(UPPER(IFERROR(INDEX('Base de Personas'!$F7:F21,MATCH($A59,'Base de Personas'!$B7:B21,0)),IFERROR(INDEX($E$5:E58,MATCH($A59,$A$5:A58,0)),""))),"Á","A"),"É","E"),"Í","I"),"Ó","O"),"Ú","U"),"Ü","U")))</f>
        <v/>
      </c>
      <c r="F59" s="36" t="str">
        <f aca="false">IF($A59="","",TRIM(SUBSTITUTE(SUBSTITUTE(SUBSTITUTE(SUBSTITUTE(SUBSTITUTE(SUBSTITUTE(UPPER(IFERROR(INDEX('Base de Personas'!$G7:G21,MATCH($A59,'Base de Personas'!$B7:B21,0)),IFERROR(INDEX($F$5:F58,MATCH($A59,$A$5:A58,0)),""))),"Á","A"),"É","E"),"Í","I"),"Ó","O"),"Ú","U"),"Ü","U")))</f>
        <v/>
      </c>
      <c r="G59" s="37" t="str">
        <f aca="false">IF($A59="","",TRIM(SUBSTITUTE(SUBSTITUTE(SUBSTITUTE(SUBSTITUTE(SUBSTITUTE(SUBSTITUTE(UPPER(IFERROR(INDEX('Base de Personas'!$H7:H21,MATCH($A59,'Base de Personas'!$B7:B21,0)),IFERROR(INDEX($G$5:G58,MATCH($A59,$A$5:A58,0)),""))),"Á","A"),"É","E"),"Í","I"),"Ó","O"),"Ú","U"),"Ü","U")))</f>
        <v/>
      </c>
      <c r="H59" s="38" t="str">
        <f aca="false">IF($A59="","",IFERROR(INDEX('Base de Personas'!$I$7:$I$21,MATCH($A59,'Base de Personas'!$B$7:$B$21,0)),IFERROR(INDEX($H$5:H58,MATCH($A59,$A$5:A58,0)),"")))</f>
        <v/>
      </c>
      <c r="I59" s="39"/>
      <c r="J59" s="40"/>
      <c r="K59" s="40"/>
      <c r="L59" s="39"/>
      <c r="M59" s="41" t="str">
        <f aca="false">IF($A59="","",IF(K59=_xlfn.MAXIFS($K$5:$K$304,$A$5:$A$304,$A59),1,0))</f>
        <v/>
      </c>
      <c r="N59" s="41" t="str">
        <f aca="false">IF($A59="","",IF(M59=1,$A59&amp;"-ACT",""))</f>
        <v/>
      </c>
      <c r="O59" s="41" t="str">
        <f aca="false">IF($A59="","",IF(AND(COUNTIF('Base de Personas'!$B$7:$B$21,$A59)=0,COUNTIF($A$5:A59,$A59)=1),1,0))</f>
        <v/>
      </c>
      <c r="P59" s="41" t="str">
        <f aca="false">IF(O59=1,SUM($O$5:O59),"")</f>
        <v/>
      </c>
    </row>
    <row r="60" customFormat="false" ht="15" hidden="false" customHeight="false" outlineLevel="0" collapsed="false">
      <c r="A60" s="35"/>
      <c r="B60" s="36" t="str">
        <f aca="false">IF($A60="","",TRIM(SUBSTITUTE(SUBSTITUTE(SUBSTITUTE(SUBSTITUTE(SUBSTITUTE(SUBSTITUTE(UPPER(IFERROR(INDEX('Base de Personas'!$C7:C21,MATCH($A60,'Base de Personas'!$B7:B21,0)),IFERROR(INDEX($B$5:B59,MATCH($A60,$A$5:A59,0)),""))),"Á","A"),"É","E"),"Í","I"),"Ó","O"),"Ú","U"),"Ü","U")))</f>
        <v/>
      </c>
      <c r="C60" s="37" t="str">
        <f aca="false">IF($A60="","",TRIM(SUBSTITUTE(SUBSTITUTE(SUBSTITUTE(SUBSTITUTE(SUBSTITUTE(SUBSTITUTE(UPPER(IFERROR(INDEX('Base de Personas'!$D7:D21,MATCH($A60,'Base de Personas'!$B7:B21,0)),IFERROR(INDEX($C$5:C59,MATCH($A60,$A$5:A59,0)),""))),"Á","A"),"É","E"),"Í","I"),"Ó","O"),"Ú","U"),"Ü","U")))</f>
        <v/>
      </c>
      <c r="D60" s="36" t="str">
        <f aca="false">IF($A60="","",TRIM(SUBSTITUTE(SUBSTITUTE(SUBSTITUTE(SUBSTITUTE(SUBSTITUTE(SUBSTITUTE(UPPER(IFERROR(INDEX('Base de Personas'!$E7:E21,MATCH($A60,'Base de Personas'!$B7:B21,0)),IFERROR(INDEX($D$5:D59,MATCH($A60,$A$5:A59,0)),""))),"Á","A"),"É","E"),"Í","I"),"Ó","O"),"Ú","U"),"Ü","U")))</f>
        <v/>
      </c>
      <c r="E60" s="36" t="str">
        <f aca="false">IF($A60="","",TRIM(SUBSTITUTE(SUBSTITUTE(SUBSTITUTE(SUBSTITUTE(SUBSTITUTE(SUBSTITUTE(UPPER(IFERROR(INDEX('Base de Personas'!$F7:F21,MATCH($A60,'Base de Personas'!$B7:B21,0)),IFERROR(INDEX($E$5:E59,MATCH($A60,$A$5:A59,0)),""))),"Á","A"),"É","E"),"Í","I"),"Ó","O"),"Ú","U"),"Ü","U")))</f>
        <v/>
      </c>
      <c r="F60" s="36" t="str">
        <f aca="false">IF($A60="","",TRIM(SUBSTITUTE(SUBSTITUTE(SUBSTITUTE(SUBSTITUTE(SUBSTITUTE(SUBSTITUTE(UPPER(IFERROR(INDEX('Base de Personas'!$G7:G21,MATCH($A60,'Base de Personas'!$B7:B21,0)),IFERROR(INDEX($F$5:F59,MATCH($A60,$A$5:A59,0)),""))),"Á","A"),"É","E"),"Í","I"),"Ó","O"),"Ú","U"),"Ü","U")))</f>
        <v/>
      </c>
      <c r="G60" s="37" t="str">
        <f aca="false">IF($A60="","",TRIM(SUBSTITUTE(SUBSTITUTE(SUBSTITUTE(SUBSTITUTE(SUBSTITUTE(SUBSTITUTE(UPPER(IFERROR(INDEX('Base de Personas'!$H7:H21,MATCH($A60,'Base de Personas'!$B7:B21,0)),IFERROR(INDEX($G$5:G59,MATCH($A60,$A$5:A59,0)),""))),"Á","A"),"É","E"),"Í","I"),"Ó","O"),"Ú","U"),"Ü","U")))</f>
        <v/>
      </c>
      <c r="H60" s="38" t="str">
        <f aca="false">IF($A60="","",IFERROR(INDEX('Base de Personas'!$I$7:$I$21,MATCH($A60,'Base de Personas'!$B$7:$B$21,0)),IFERROR(INDEX($H$5:H59,MATCH($A60,$A$5:A59,0)),"")))</f>
        <v/>
      </c>
      <c r="I60" s="39"/>
      <c r="J60" s="40"/>
      <c r="K60" s="40"/>
      <c r="L60" s="39"/>
      <c r="M60" s="41" t="str">
        <f aca="false">IF($A60="","",IF(K60=_xlfn.MAXIFS($K$5:$K$304,$A$5:$A$304,$A60),1,0))</f>
        <v/>
      </c>
      <c r="N60" s="41" t="str">
        <f aca="false">IF($A60="","",IF(M60=1,$A60&amp;"-ACT",""))</f>
        <v/>
      </c>
      <c r="O60" s="41" t="str">
        <f aca="false">IF($A60="","",IF(AND(COUNTIF('Base de Personas'!$B$7:$B$21,$A60)=0,COUNTIF($A$5:A60,$A60)=1),1,0))</f>
        <v/>
      </c>
      <c r="P60" s="41" t="str">
        <f aca="false">IF(O60=1,SUM($O$5:O60),"")</f>
        <v/>
      </c>
    </row>
    <row r="61" customFormat="false" ht="15" hidden="false" customHeight="false" outlineLevel="0" collapsed="false">
      <c r="A61" s="35"/>
      <c r="B61" s="36" t="str">
        <f aca="false">IF($A61="","",TRIM(SUBSTITUTE(SUBSTITUTE(SUBSTITUTE(SUBSTITUTE(SUBSTITUTE(SUBSTITUTE(UPPER(IFERROR(INDEX('Base de Personas'!$C7:C21,MATCH($A61,'Base de Personas'!$B7:B21,0)),IFERROR(INDEX($B$5:B60,MATCH($A61,$A$5:A60,0)),""))),"Á","A"),"É","E"),"Í","I"),"Ó","O"),"Ú","U"),"Ü","U")))</f>
        <v/>
      </c>
      <c r="C61" s="37" t="str">
        <f aca="false">IF($A61="","",TRIM(SUBSTITUTE(SUBSTITUTE(SUBSTITUTE(SUBSTITUTE(SUBSTITUTE(SUBSTITUTE(UPPER(IFERROR(INDEX('Base de Personas'!$D7:D21,MATCH($A61,'Base de Personas'!$B7:B21,0)),IFERROR(INDEX($C$5:C60,MATCH($A61,$A$5:A60,0)),""))),"Á","A"),"É","E"),"Í","I"),"Ó","O"),"Ú","U"),"Ü","U")))</f>
        <v/>
      </c>
      <c r="D61" s="36" t="str">
        <f aca="false">IF($A61="","",TRIM(SUBSTITUTE(SUBSTITUTE(SUBSTITUTE(SUBSTITUTE(SUBSTITUTE(SUBSTITUTE(UPPER(IFERROR(INDEX('Base de Personas'!$E7:E21,MATCH($A61,'Base de Personas'!$B7:B21,0)),IFERROR(INDEX($D$5:D60,MATCH($A61,$A$5:A60,0)),""))),"Á","A"),"É","E"),"Í","I"),"Ó","O"),"Ú","U"),"Ü","U")))</f>
        <v/>
      </c>
      <c r="E61" s="36" t="str">
        <f aca="false">IF($A61="","",TRIM(SUBSTITUTE(SUBSTITUTE(SUBSTITUTE(SUBSTITUTE(SUBSTITUTE(SUBSTITUTE(UPPER(IFERROR(INDEX('Base de Personas'!$F7:F21,MATCH($A61,'Base de Personas'!$B7:B21,0)),IFERROR(INDEX($E$5:E60,MATCH($A61,$A$5:A60,0)),""))),"Á","A"),"É","E"),"Í","I"),"Ó","O"),"Ú","U"),"Ü","U")))</f>
        <v/>
      </c>
      <c r="F61" s="36" t="str">
        <f aca="false">IF($A61="","",TRIM(SUBSTITUTE(SUBSTITUTE(SUBSTITUTE(SUBSTITUTE(SUBSTITUTE(SUBSTITUTE(UPPER(IFERROR(INDEX('Base de Personas'!$G7:G21,MATCH($A61,'Base de Personas'!$B7:B21,0)),IFERROR(INDEX($F$5:F60,MATCH($A61,$A$5:A60,0)),""))),"Á","A"),"É","E"),"Í","I"),"Ó","O"),"Ú","U"),"Ü","U")))</f>
        <v/>
      </c>
      <c r="G61" s="37" t="str">
        <f aca="false">IF($A61="","",TRIM(SUBSTITUTE(SUBSTITUTE(SUBSTITUTE(SUBSTITUTE(SUBSTITUTE(SUBSTITUTE(UPPER(IFERROR(INDEX('Base de Personas'!$H7:H21,MATCH($A61,'Base de Personas'!$B7:B21,0)),IFERROR(INDEX($G$5:G60,MATCH($A61,$A$5:A60,0)),""))),"Á","A"),"É","E"),"Í","I"),"Ó","O"),"Ú","U"),"Ü","U")))</f>
        <v/>
      </c>
      <c r="H61" s="38" t="str">
        <f aca="false">IF($A61="","",IFERROR(INDEX('Base de Personas'!$I$7:$I$21,MATCH($A61,'Base de Personas'!$B$7:$B$21,0)),IFERROR(INDEX($H$5:H60,MATCH($A61,$A$5:A60,0)),"")))</f>
        <v/>
      </c>
      <c r="I61" s="39"/>
      <c r="J61" s="40"/>
      <c r="K61" s="40"/>
      <c r="L61" s="39"/>
      <c r="M61" s="41" t="str">
        <f aca="false">IF($A61="","",IF(K61=_xlfn.MAXIFS($K$5:$K$304,$A$5:$A$304,$A61),1,0))</f>
        <v/>
      </c>
      <c r="N61" s="41" t="str">
        <f aca="false">IF($A61="","",IF(M61=1,$A61&amp;"-ACT",""))</f>
        <v/>
      </c>
      <c r="O61" s="41" t="str">
        <f aca="false">IF($A61="","",IF(AND(COUNTIF('Base de Personas'!$B$7:$B$21,$A61)=0,COUNTIF($A$5:A61,$A61)=1),1,0))</f>
        <v/>
      </c>
      <c r="P61" s="41" t="str">
        <f aca="false">IF(O61=1,SUM($O$5:O61),"")</f>
        <v/>
      </c>
    </row>
    <row r="62" customFormat="false" ht="15" hidden="false" customHeight="false" outlineLevel="0" collapsed="false">
      <c r="A62" s="35"/>
      <c r="B62" s="36" t="str">
        <f aca="false">IF($A62="","",TRIM(SUBSTITUTE(SUBSTITUTE(SUBSTITUTE(SUBSTITUTE(SUBSTITUTE(SUBSTITUTE(UPPER(IFERROR(INDEX('Base de Personas'!$C7:C21,MATCH($A62,'Base de Personas'!$B7:B21,0)),IFERROR(INDEX($B$5:B61,MATCH($A62,$A$5:A61,0)),""))),"Á","A"),"É","E"),"Í","I"),"Ó","O"),"Ú","U"),"Ü","U")))</f>
        <v/>
      </c>
      <c r="C62" s="37" t="str">
        <f aca="false">IF($A62="","",TRIM(SUBSTITUTE(SUBSTITUTE(SUBSTITUTE(SUBSTITUTE(SUBSTITUTE(SUBSTITUTE(UPPER(IFERROR(INDEX('Base de Personas'!$D7:D21,MATCH($A62,'Base de Personas'!$B7:B21,0)),IFERROR(INDEX($C$5:C61,MATCH($A62,$A$5:A61,0)),""))),"Á","A"),"É","E"),"Í","I"),"Ó","O"),"Ú","U"),"Ü","U")))</f>
        <v/>
      </c>
      <c r="D62" s="36" t="str">
        <f aca="false">IF($A62="","",TRIM(SUBSTITUTE(SUBSTITUTE(SUBSTITUTE(SUBSTITUTE(SUBSTITUTE(SUBSTITUTE(UPPER(IFERROR(INDEX('Base de Personas'!$E7:E21,MATCH($A62,'Base de Personas'!$B7:B21,0)),IFERROR(INDEX($D$5:D61,MATCH($A62,$A$5:A61,0)),""))),"Á","A"),"É","E"),"Í","I"),"Ó","O"),"Ú","U"),"Ü","U")))</f>
        <v/>
      </c>
      <c r="E62" s="36" t="str">
        <f aca="false">IF($A62="","",TRIM(SUBSTITUTE(SUBSTITUTE(SUBSTITUTE(SUBSTITUTE(SUBSTITUTE(SUBSTITUTE(UPPER(IFERROR(INDEX('Base de Personas'!$F7:F21,MATCH($A62,'Base de Personas'!$B7:B21,0)),IFERROR(INDEX($E$5:E61,MATCH($A62,$A$5:A61,0)),""))),"Á","A"),"É","E"),"Í","I"),"Ó","O"),"Ú","U"),"Ü","U")))</f>
        <v/>
      </c>
      <c r="F62" s="36" t="str">
        <f aca="false">IF($A62="","",TRIM(SUBSTITUTE(SUBSTITUTE(SUBSTITUTE(SUBSTITUTE(SUBSTITUTE(SUBSTITUTE(UPPER(IFERROR(INDEX('Base de Personas'!$G7:G21,MATCH($A62,'Base de Personas'!$B7:B21,0)),IFERROR(INDEX($F$5:F61,MATCH($A62,$A$5:A61,0)),""))),"Á","A"),"É","E"),"Í","I"),"Ó","O"),"Ú","U"),"Ü","U")))</f>
        <v/>
      </c>
      <c r="G62" s="37" t="str">
        <f aca="false">IF($A62="","",TRIM(SUBSTITUTE(SUBSTITUTE(SUBSTITUTE(SUBSTITUTE(SUBSTITUTE(SUBSTITUTE(UPPER(IFERROR(INDEX('Base de Personas'!$H7:H21,MATCH($A62,'Base de Personas'!$B7:B21,0)),IFERROR(INDEX($G$5:G61,MATCH($A62,$A$5:A61,0)),""))),"Á","A"),"É","E"),"Í","I"),"Ó","O"),"Ú","U"),"Ü","U")))</f>
        <v/>
      </c>
      <c r="H62" s="38" t="str">
        <f aca="false">IF($A62="","",IFERROR(INDEX('Base de Personas'!$I$7:$I$21,MATCH($A62,'Base de Personas'!$B$7:$B$21,0)),IFERROR(INDEX($H$5:H61,MATCH($A62,$A$5:A61,0)),"")))</f>
        <v/>
      </c>
      <c r="I62" s="39"/>
      <c r="J62" s="40"/>
      <c r="K62" s="40"/>
      <c r="L62" s="39"/>
      <c r="M62" s="41" t="str">
        <f aca="false">IF($A62="","",IF(K62=_xlfn.MAXIFS($K$5:$K$304,$A$5:$A$304,$A62),1,0))</f>
        <v/>
      </c>
      <c r="N62" s="41" t="str">
        <f aca="false">IF($A62="","",IF(M62=1,$A62&amp;"-ACT",""))</f>
        <v/>
      </c>
      <c r="O62" s="41" t="str">
        <f aca="false">IF($A62="","",IF(AND(COUNTIF('Base de Personas'!$B$7:$B$21,$A62)=0,COUNTIF($A$5:A62,$A62)=1),1,0))</f>
        <v/>
      </c>
      <c r="P62" s="41" t="str">
        <f aca="false">IF(O62=1,SUM($O$5:O62),"")</f>
        <v/>
      </c>
    </row>
    <row r="63" customFormat="false" ht="15" hidden="false" customHeight="false" outlineLevel="0" collapsed="false">
      <c r="A63" s="35"/>
      <c r="B63" s="36" t="str">
        <f aca="false">IF($A63="","",TRIM(SUBSTITUTE(SUBSTITUTE(SUBSTITUTE(SUBSTITUTE(SUBSTITUTE(SUBSTITUTE(UPPER(IFERROR(INDEX('Base de Personas'!$C7:C21,MATCH($A63,'Base de Personas'!$B7:B21,0)),IFERROR(INDEX($B$5:B62,MATCH($A63,$A$5:A62,0)),""))),"Á","A"),"É","E"),"Í","I"),"Ó","O"),"Ú","U"),"Ü","U")))</f>
        <v/>
      </c>
      <c r="C63" s="37" t="str">
        <f aca="false">IF($A63="","",TRIM(SUBSTITUTE(SUBSTITUTE(SUBSTITUTE(SUBSTITUTE(SUBSTITUTE(SUBSTITUTE(UPPER(IFERROR(INDEX('Base de Personas'!$D7:D21,MATCH($A63,'Base de Personas'!$B7:B21,0)),IFERROR(INDEX($C$5:C62,MATCH($A63,$A$5:A62,0)),""))),"Á","A"),"É","E"),"Í","I"),"Ó","O"),"Ú","U"),"Ü","U")))</f>
        <v/>
      </c>
      <c r="D63" s="36" t="str">
        <f aca="false">IF($A63="","",TRIM(SUBSTITUTE(SUBSTITUTE(SUBSTITUTE(SUBSTITUTE(SUBSTITUTE(SUBSTITUTE(UPPER(IFERROR(INDEX('Base de Personas'!$E7:E21,MATCH($A63,'Base de Personas'!$B7:B21,0)),IFERROR(INDEX($D$5:D62,MATCH($A63,$A$5:A62,0)),""))),"Á","A"),"É","E"),"Í","I"),"Ó","O"),"Ú","U"),"Ü","U")))</f>
        <v/>
      </c>
      <c r="E63" s="36" t="str">
        <f aca="false">IF($A63="","",TRIM(SUBSTITUTE(SUBSTITUTE(SUBSTITUTE(SUBSTITUTE(SUBSTITUTE(SUBSTITUTE(UPPER(IFERROR(INDEX('Base de Personas'!$F7:F21,MATCH($A63,'Base de Personas'!$B7:B21,0)),IFERROR(INDEX($E$5:E62,MATCH($A63,$A$5:A62,0)),""))),"Á","A"),"É","E"),"Í","I"),"Ó","O"),"Ú","U"),"Ü","U")))</f>
        <v/>
      </c>
      <c r="F63" s="36" t="str">
        <f aca="false">IF($A63="","",TRIM(SUBSTITUTE(SUBSTITUTE(SUBSTITUTE(SUBSTITUTE(SUBSTITUTE(SUBSTITUTE(UPPER(IFERROR(INDEX('Base de Personas'!$G7:G21,MATCH($A63,'Base de Personas'!$B7:B21,0)),IFERROR(INDEX($F$5:F62,MATCH($A63,$A$5:A62,0)),""))),"Á","A"),"É","E"),"Í","I"),"Ó","O"),"Ú","U"),"Ü","U")))</f>
        <v/>
      </c>
      <c r="G63" s="37" t="str">
        <f aca="false">IF($A63="","",TRIM(SUBSTITUTE(SUBSTITUTE(SUBSTITUTE(SUBSTITUTE(SUBSTITUTE(SUBSTITUTE(UPPER(IFERROR(INDEX('Base de Personas'!$H7:H21,MATCH($A63,'Base de Personas'!$B7:B21,0)),IFERROR(INDEX($G$5:G62,MATCH($A63,$A$5:A62,0)),""))),"Á","A"),"É","E"),"Í","I"),"Ó","O"),"Ú","U"),"Ü","U")))</f>
        <v/>
      </c>
      <c r="H63" s="38" t="str">
        <f aca="false">IF($A63="","",IFERROR(INDEX('Base de Personas'!$I$7:$I$21,MATCH($A63,'Base de Personas'!$B$7:$B$21,0)),IFERROR(INDEX($H$5:H62,MATCH($A63,$A$5:A62,0)),"")))</f>
        <v/>
      </c>
      <c r="I63" s="39"/>
      <c r="J63" s="40"/>
      <c r="K63" s="40"/>
      <c r="L63" s="39"/>
      <c r="M63" s="41" t="str">
        <f aca="false">IF($A63="","",IF(K63=_xlfn.MAXIFS($K$5:$K$304,$A$5:$A$304,$A63),1,0))</f>
        <v/>
      </c>
      <c r="N63" s="41" t="str">
        <f aca="false">IF($A63="","",IF(M63=1,$A63&amp;"-ACT",""))</f>
        <v/>
      </c>
      <c r="O63" s="41" t="str">
        <f aca="false">IF($A63="","",IF(AND(COUNTIF('Base de Personas'!$B$7:$B$21,$A63)=0,COUNTIF($A$5:A63,$A63)=1),1,0))</f>
        <v/>
      </c>
      <c r="P63" s="41" t="str">
        <f aca="false">IF(O63=1,SUM($O$5:O63),"")</f>
        <v/>
      </c>
    </row>
    <row r="64" customFormat="false" ht="15" hidden="false" customHeight="false" outlineLevel="0" collapsed="false">
      <c r="A64" s="35"/>
      <c r="B64" s="36" t="str">
        <f aca="false">IF($A64="","",TRIM(SUBSTITUTE(SUBSTITUTE(SUBSTITUTE(SUBSTITUTE(SUBSTITUTE(SUBSTITUTE(UPPER(IFERROR(INDEX('Base de Personas'!$C7:C21,MATCH($A64,'Base de Personas'!$B7:B21,0)),IFERROR(INDEX($B$5:B63,MATCH($A64,$A$5:A63,0)),""))),"Á","A"),"É","E"),"Í","I"),"Ó","O"),"Ú","U"),"Ü","U")))</f>
        <v/>
      </c>
      <c r="C64" s="37" t="str">
        <f aca="false">IF($A64="","",TRIM(SUBSTITUTE(SUBSTITUTE(SUBSTITUTE(SUBSTITUTE(SUBSTITUTE(SUBSTITUTE(UPPER(IFERROR(INDEX('Base de Personas'!$D7:D21,MATCH($A64,'Base de Personas'!$B7:B21,0)),IFERROR(INDEX($C$5:C63,MATCH($A64,$A$5:A63,0)),""))),"Á","A"),"É","E"),"Í","I"),"Ó","O"),"Ú","U"),"Ü","U")))</f>
        <v/>
      </c>
      <c r="D64" s="36" t="str">
        <f aca="false">IF($A64="","",TRIM(SUBSTITUTE(SUBSTITUTE(SUBSTITUTE(SUBSTITUTE(SUBSTITUTE(SUBSTITUTE(UPPER(IFERROR(INDEX('Base de Personas'!$E7:E21,MATCH($A64,'Base de Personas'!$B7:B21,0)),IFERROR(INDEX($D$5:D63,MATCH($A64,$A$5:A63,0)),""))),"Á","A"),"É","E"),"Í","I"),"Ó","O"),"Ú","U"),"Ü","U")))</f>
        <v/>
      </c>
      <c r="E64" s="36" t="str">
        <f aca="false">IF($A64="","",TRIM(SUBSTITUTE(SUBSTITUTE(SUBSTITUTE(SUBSTITUTE(SUBSTITUTE(SUBSTITUTE(UPPER(IFERROR(INDEX('Base de Personas'!$F7:F21,MATCH($A64,'Base de Personas'!$B7:B21,0)),IFERROR(INDEX($E$5:E63,MATCH($A64,$A$5:A63,0)),""))),"Á","A"),"É","E"),"Í","I"),"Ó","O"),"Ú","U"),"Ü","U")))</f>
        <v/>
      </c>
      <c r="F64" s="36" t="str">
        <f aca="false">IF($A64="","",TRIM(SUBSTITUTE(SUBSTITUTE(SUBSTITUTE(SUBSTITUTE(SUBSTITUTE(SUBSTITUTE(UPPER(IFERROR(INDEX('Base de Personas'!$G7:G21,MATCH($A64,'Base de Personas'!$B7:B21,0)),IFERROR(INDEX($F$5:F63,MATCH($A64,$A$5:A63,0)),""))),"Á","A"),"É","E"),"Í","I"),"Ó","O"),"Ú","U"),"Ü","U")))</f>
        <v/>
      </c>
      <c r="G64" s="37" t="str">
        <f aca="false">IF($A64="","",TRIM(SUBSTITUTE(SUBSTITUTE(SUBSTITUTE(SUBSTITUTE(SUBSTITUTE(SUBSTITUTE(UPPER(IFERROR(INDEX('Base de Personas'!$H7:H21,MATCH($A64,'Base de Personas'!$B7:B21,0)),IFERROR(INDEX($G$5:G63,MATCH($A64,$A$5:A63,0)),""))),"Á","A"),"É","E"),"Í","I"),"Ó","O"),"Ú","U"),"Ü","U")))</f>
        <v/>
      </c>
      <c r="H64" s="38" t="str">
        <f aca="false">IF($A64="","",IFERROR(INDEX('Base de Personas'!$I$7:$I$21,MATCH($A64,'Base de Personas'!$B$7:$B$21,0)),IFERROR(INDEX($H$5:H63,MATCH($A64,$A$5:A63,0)),"")))</f>
        <v/>
      </c>
      <c r="I64" s="39"/>
      <c r="J64" s="40"/>
      <c r="K64" s="40"/>
      <c r="L64" s="39"/>
      <c r="M64" s="41" t="str">
        <f aca="false">IF($A64="","",IF(K64=_xlfn.MAXIFS($K$5:$K$304,$A$5:$A$304,$A64),1,0))</f>
        <v/>
      </c>
      <c r="N64" s="41" t="str">
        <f aca="false">IF($A64="","",IF(M64=1,$A64&amp;"-ACT",""))</f>
        <v/>
      </c>
      <c r="O64" s="41" t="str">
        <f aca="false">IF($A64="","",IF(AND(COUNTIF('Base de Personas'!$B$7:$B$21,$A64)=0,COUNTIF($A$5:A64,$A64)=1),1,0))</f>
        <v/>
      </c>
      <c r="P64" s="41" t="str">
        <f aca="false">IF(O64=1,SUM($O$5:O64),"")</f>
        <v/>
      </c>
    </row>
    <row r="65" customFormat="false" ht="15" hidden="false" customHeight="false" outlineLevel="0" collapsed="false">
      <c r="A65" s="35"/>
      <c r="B65" s="36" t="str">
        <f aca="false">IF($A65="","",TRIM(SUBSTITUTE(SUBSTITUTE(SUBSTITUTE(SUBSTITUTE(SUBSTITUTE(SUBSTITUTE(UPPER(IFERROR(INDEX('Base de Personas'!$C7:C21,MATCH($A65,'Base de Personas'!$B7:B21,0)),IFERROR(INDEX($B$5:B64,MATCH($A65,$A$5:A64,0)),""))),"Á","A"),"É","E"),"Í","I"),"Ó","O"),"Ú","U"),"Ü","U")))</f>
        <v/>
      </c>
      <c r="C65" s="37" t="str">
        <f aca="false">IF($A65="","",TRIM(SUBSTITUTE(SUBSTITUTE(SUBSTITUTE(SUBSTITUTE(SUBSTITUTE(SUBSTITUTE(UPPER(IFERROR(INDEX('Base de Personas'!$D7:D21,MATCH($A65,'Base de Personas'!$B7:B21,0)),IFERROR(INDEX($C$5:C64,MATCH($A65,$A$5:A64,0)),""))),"Á","A"),"É","E"),"Í","I"),"Ó","O"),"Ú","U"),"Ü","U")))</f>
        <v/>
      </c>
      <c r="D65" s="36" t="str">
        <f aca="false">IF($A65="","",TRIM(SUBSTITUTE(SUBSTITUTE(SUBSTITUTE(SUBSTITUTE(SUBSTITUTE(SUBSTITUTE(UPPER(IFERROR(INDEX('Base de Personas'!$E7:E21,MATCH($A65,'Base de Personas'!$B7:B21,0)),IFERROR(INDEX($D$5:D64,MATCH($A65,$A$5:A64,0)),""))),"Á","A"),"É","E"),"Í","I"),"Ó","O"),"Ú","U"),"Ü","U")))</f>
        <v/>
      </c>
      <c r="E65" s="36" t="str">
        <f aca="false">IF($A65="","",TRIM(SUBSTITUTE(SUBSTITUTE(SUBSTITUTE(SUBSTITUTE(SUBSTITUTE(SUBSTITUTE(UPPER(IFERROR(INDEX('Base de Personas'!$F7:F21,MATCH($A65,'Base de Personas'!$B7:B21,0)),IFERROR(INDEX($E$5:E64,MATCH($A65,$A$5:A64,0)),""))),"Á","A"),"É","E"),"Í","I"),"Ó","O"),"Ú","U"),"Ü","U")))</f>
        <v/>
      </c>
      <c r="F65" s="36" t="str">
        <f aca="false">IF($A65="","",TRIM(SUBSTITUTE(SUBSTITUTE(SUBSTITUTE(SUBSTITUTE(SUBSTITUTE(SUBSTITUTE(UPPER(IFERROR(INDEX('Base de Personas'!$G7:G21,MATCH($A65,'Base de Personas'!$B7:B21,0)),IFERROR(INDEX($F$5:F64,MATCH($A65,$A$5:A64,0)),""))),"Á","A"),"É","E"),"Í","I"),"Ó","O"),"Ú","U"),"Ü","U")))</f>
        <v/>
      </c>
      <c r="G65" s="37" t="str">
        <f aca="false">IF($A65="","",TRIM(SUBSTITUTE(SUBSTITUTE(SUBSTITUTE(SUBSTITUTE(SUBSTITUTE(SUBSTITUTE(UPPER(IFERROR(INDEX('Base de Personas'!$H7:H21,MATCH($A65,'Base de Personas'!$B7:B21,0)),IFERROR(INDEX($G$5:G64,MATCH($A65,$A$5:A64,0)),""))),"Á","A"),"É","E"),"Í","I"),"Ó","O"),"Ú","U"),"Ü","U")))</f>
        <v/>
      </c>
      <c r="H65" s="38" t="str">
        <f aca="false">IF($A65="","",IFERROR(INDEX('Base de Personas'!$I$7:$I$21,MATCH($A65,'Base de Personas'!$B$7:$B$21,0)),IFERROR(INDEX($H$5:H64,MATCH($A65,$A$5:A64,0)),"")))</f>
        <v/>
      </c>
      <c r="I65" s="39"/>
      <c r="J65" s="40"/>
      <c r="K65" s="40"/>
      <c r="L65" s="39"/>
      <c r="M65" s="41" t="str">
        <f aca="false">IF($A65="","",IF(K65=_xlfn.MAXIFS($K$5:$K$304,$A$5:$A$304,$A65),1,0))</f>
        <v/>
      </c>
      <c r="N65" s="41" t="str">
        <f aca="false">IF($A65="","",IF(M65=1,$A65&amp;"-ACT",""))</f>
        <v/>
      </c>
      <c r="O65" s="41" t="str">
        <f aca="false">IF($A65="","",IF(AND(COUNTIF('Base de Personas'!$B$7:$B$21,$A65)=0,COUNTIF($A$5:A65,$A65)=1),1,0))</f>
        <v/>
      </c>
      <c r="P65" s="41" t="str">
        <f aca="false">IF(O65=1,SUM($O$5:O65),"")</f>
        <v/>
      </c>
    </row>
    <row r="66" customFormat="false" ht="15" hidden="false" customHeight="false" outlineLevel="0" collapsed="false">
      <c r="A66" s="35"/>
      <c r="B66" s="36" t="str">
        <f aca="false">IF($A66="","",TRIM(SUBSTITUTE(SUBSTITUTE(SUBSTITUTE(SUBSTITUTE(SUBSTITUTE(SUBSTITUTE(UPPER(IFERROR(INDEX('Base de Personas'!$C7:C21,MATCH($A66,'Base de Personas'!$B7:B21,0)),IFERROR(INDEX($B$5:B65,MATCH($A66,$A$5:A65,0)),""))),"Á","A"),"É","E"),"Í","I"),"Ó","O"),"Ú","U"),"Ü","U")))</f>
        <v/>
      </c>
      <c r="C66" s="37" t="str">
        <f aca="false">IF($A66="","",TRIM(SUBSTITUTE(SUBSTITUTE(SUBSTITUTE(SUBSTITUTE(SUBSTITUTE(SUBSTITUTE(UPPER(IFERROR(INDEX('Base de Personas'!$D7:D21,MATCH($A66,'Base de Personas'!$B7:B21,0)),IFERROR(INDEX($C$5:C65,MATCH($A66,$A$5:A65,0)),""))),"Á","A"),"É","E"),"Í","I"),"Ó","O"),"Ú","U"),"Ü","U")))</f>
        <v/>
      </c>
      <c r="D66" s="36" t="str">
        <f aca="false">IF($A66="","",TRIM(SUBSTITUTE(SUBSTITUTE(SUBSTITUTE(SUBSTITUTE(SUBSTITUTE(SUBSTITUTE(UPPER(IFERROR(INDEX('Base de Personas'!$E7:E21,MATCH($A66,'Base de Personas'!$B7:B21,0)),IFERROR(INDEX($D$5:D65,MATCH($A66,$A$5:A65,0)),""))),"Á","A"),"É","E"),"Í","I"),"Ó","O"),"Ú","U"),"Ü","U")))</f>
        <v/>
      </c>
      <c r="E66" s="36" t="str">
        <f aca="false">IF($A66="","",TRIM(SUBSTITUTE(SUBSTITUTE(SUBSTITUTE(SUBSTITUTE(SUBSTITUTE(SUBSTITUTE(UPPER(IFERROR(INDEX('Base de Personas'!$F7:F21,MATCH($A66,'Base de Personas'!$B7:B21,0)),IFERROR(INDEX($E$5:E65,MATCH($A66,$A$5:A65,0)),""))),"Á","A"),"É","E"),"Í","I"),"Ó","O"),"Ú","U"),"Ü","U")))</f>
        <v/>
      </c>
      <c r="F66" s="36" t="str">
        <f aca="false">IF($A66="","",TRIM(SUBSTITUTE(SUBSTITUTE(SUBSTITUTE(SUBSTITUTE(SUBSTITUTE(SUBSTITUTE(UPPER(IFERROR(INDEX('Base de Personas'!$G7:G21,MATCH($A66,'Base de Personas'!$B7:B21,0)),IFERROR(INDEX($F$5:F65,MATCH($A66,$A$5:A65,0)),""))),"Á","A"),"É","E"),"Í","I"),"Ó","O"),"Ú","U"),"Ü","U")))</f>
        <v/>
      </c>
      <c r="G66" s="37" t="str">
        <f aca="false">IF($A66="","",TRIM(SUBSTITUTE(SUBSTITUTE(SUBSTITUTE(SUBSTITUTE(SUBSTITUTE(SUBSTITUTE(UPPER(IFERROR(INDEX('Base de Personas'!$H7:H21,MATCH($A66,'Base de Personas'!$B7:B21,0)),IFERROR(INDEX($G$5:G65,MATCH($A66,$A$5:A65,0)),""))),"Á","A"),"É","E"),"Í","I"),"Ó","O"),"Ú","U"),"Ü","U")))</f>
        <v/>
      </c>
      <c r="H66" s="38" t="str">
        <f aca="false">IF($A66="","",IFERROR(INDEX('Base de Personas'!$I$7:$I$21,MATCH($A66,'Base de Personas'!$B$7:$B$21,0)),IFERROR(INDEX($H$5:H65,MATCH($A66,$A$5:A65,0)),"")))</f>
        <v/>
      </c>
      <c r="I66" s="39"/>
      <c r="J66" s="40"/>
      <c r="K66" s="40"/>
      <c r="L66" s="39"/>
      <c r="M66" s="41" t="str">
        <f aca="false">IF($A66="","",IF(K66=_xlfn.MAXIFS($K$5:$K$304,$A$5:$A$304,$A66),1,0))</f>
        <v/>
      </c>
      <c r="N66" s="41" t="str">
        <f aca="false">IF($A66="","",IF(M66=1,$A66&amp;"-ACT",""))</f>
        <v/>
      </c>
      <c r="O66" s="41" t="str">
        <f aca="false">IF($A66="","",IF(AND(COUNTIF('Base de Personas'!$B$7:$B$21,$A66)=0,COUNTIF($A$5:A66,$A66)=1),1,0))</f>
        <v/>
      </c>
      <c r="P66" s="41" t="str">
        <f aca="false">IF(O66=1,SUM($O$5:O66),"")</f>
        <v/>
      </c>
    </row>
    <row r="67" customFormat="false" ht="15" hidden="false" customHeight="false" outlineLevel="0" collapsed="false">
      <c r="A67" s="35"/>
      <c r="B67" s="36" t="str">
        <f aca="false">IF($A67="","",TRIM(SUBSTITUTE(SUBSTITUTE(SUBSTITUTE(SUBSTITUTE(SUBSTITUTE(SUBSTITUTE(UPPER(IFERROR(INDEX('Base de Personas'!$C7:C21,MATCH($A67,'Base de Personas'!$B7:B21,0)),IFERROR(INDEX($B$5:B66,MATCH($A67,$A$5:A66,0)),""))),"Á","A"),"É","E"),"Í","I"),"Ó","O"),"Ú","U"),"Ü","U")))</f>
        <v/>
      </c>
      <c r="C67" s="37" t="str">
        <f aca="false">IF($A67="","",TRIM(SUBSTITUTE(SUBSTITUTE(SUBSTITUTE(SUBSTITUTE(SUBSTITUTE(SUBSTITUTE(UPPER(IFERROR(INDEX('Base de Personas'!$D7:D21,MATCH($A67,'Base de Personas'!$B7:B21,0)),IFERROR(INDEX($C$5:C66,MATCH($A67,$A$5:A66,0)),""))),"Á","A"),"É","E"),"Í","I"),"Ó","O"),"Ú","U"),"Ü","U")))</f>
        <v/>
      </c>
      <c r="D67" s="36" t="str">
        <f aca="false">IF($A67="","",TRIM(SUBSTITUTE(SUBSTITUTE(SUBSTITUTE(SUBSTITUTE(SUBSTITUTE(SUBSTITUTE(UPPER(IFERROR(INDEX('Base de Personas'!$E7:E21,MATCH($A67,'Base de Personas'!$B7:B21,0)),IFERROR(INDEX($D$5:D66,MATCH($A67,$A$5:A66,0)),""))),"Á","A"),"É","E"),"Í","I"),"Ó","O"),"Ú","U"),"Ü","U")))</f>
        <v/>
      </c>
      <c r="E67" s="36" t="str">
        <f aca="false">IF($A67="","",TRIM(SUBSTITUTE(SUBSTITUTE(SUBSTITUTE(SUBSTITUTE(SUBSTITUTE(SUBSTITUTE(UPPER(IFERROR(INDEX('Base de Personas'!$F7:F21,MATCH($A67,'Base de Personas'!$B7:B21,0)),IFERROR(INDEX($E$5:E66,MATCH($A67,$A$5:A66,0)),""))),"Á","A"),"É","E"),"Í","I"),"Ó","O"),"Ú","U"),"Ü","U")))</f>
        <v/>
      </c>
      <c r="F67" s="36" t="str">
        <f aca="false">IF($A67="","",TRIM(SUBSTITUTE(SUBSTITUTE(SUBSTITUTE(SUBSTITUTE(SUBSTITUTE(SUBSTITUTE(UPPER(IFERROR(INDEX('Base de Personas'!$G7:G21,MATCH($A67,'Base de Personas'!$B7:B21,0)),IFERROR(INDEX($F$5:F66,MATCH($A67,$A$5:A66,0)),""))),"Á","A"),"É","E"),"Í","I"),"Ó","O"),"Ú","U"),"Ü","U")))</f>
        <v/>
      </c>
      <c r="G67" s="37" t="str">
        <f aca="false">IF($A67="","",TRIM(SUBSTITUTE(SUBSTITUTE(SUBSTITUTE(SUBSTITUTE(SUBSTITUTE(SUBSTITUTE(UPPER(IFERROR(INDEX('Base de Personas'!$H7:H21,MATCH($A67,'Base de Personas'!$B7:B21,0)),IFERROR(INDEX($G$5:G66,MATCH($A67,$A$5:A66,0)),""))),"Á","A"),"É","E"),"Í","I"),"Ó","O"),"Ú","U"),"Ü","U")))</f>
        <v/>
      </c>
      <c r="H67" s="38" t="str">
        <f aca="false">IF($A67="","",IFERROR(INDEX('Base de Personas'!$I$7:$I$21,MATCH($A67,'Base de Personas'!$B$7:$B$21,0)),IFERROR(INDEX($H$5:H66,MATCH($A67,$A$5:A66,0)),"")))</f>
        <v/>
      </c>
      <c r="I67" s="39"/>
      <c r="J67" s="40"/>
      <c r="K67" s="40"/>
      <c r="L67" s="39"/>
      <c r="M67" s="41" t="str">
        <f aca="false">IF($A67="","",IF(K67=_xlfn.MAXIFS($K$5:$K$304,$A$5:$A$304,$A67),1,0))</f>
        <v/>
      </c>
      <c r="N67" s="41" t="str">
        <f aca="false">IF($A67="","",IF(M67=1,$A67&amp;"-ACT",""))</f>
        <v/>
      </c>
      <c r="O67" s="41" t="str">
        <f aca="false">IF($A67="","",IF(AND(COUNTIF('Base de Personas'!$B$7:$B$21,$A67)=0,COUNTIF($A$5:A67,$A67)=1),1,0))</f>
        <v/>
      </c>
      <c r="P67" s="41" t="str">
        <f aca="false">IF(O67=1,SUM($O$5:O67),"")</f>
        <v/>
      </c>
    </row>
    <row r="68" customFormat="false" ht="15" hidden="false" customHeight="false" outlineLevel="0" collapsed="false">
      <c r="A68" s="35"/>
      <c r="B68" s="36" t="str">
        <f aca="false">IF($A68="","",TRIM(SUBSTITUTE(SUBSTITUTE(SUBSTITUTE(SUBSTITUTE(SUBSTITUTE(SUBSTITUTE(UPPER(IFERROR(INDEX('Base de Personas'!$C7:C21,MATCH($A68,'Base de Personas'!$B7:B21,0)),IFERROR(INDEX($B$5:B67,MATCH($A68,$A$5:A67,0)),""))),"Á","A"),"É","E"),"Í","I"),"Ó","O"),"Ú","U"),"Ü","U")))</f>
        <v/>
      </c>
      <c r="C68" s="37" t="str">
        <f aca="false">IF($A68="","",TRIM(SUBSTITUTE(SUBSTITUTE(SUBSTITUTE(SUBSTITUTE(SUBSTITUTE(SUBSTITUTE(UPPER(IFERROR(INDEX('Base de Personas'!$D7:D21,MATCH($A68,'Base de Personas'!$B7:B21,0)),IFERROR(INDEX($C$5:C67,MATCH($A68,$A$5:A67,0)),""))),"Á","A"),"É","E"),"Í","I"),"Ó","O"),"Ú","U"),"Ü","U")))</f>
        <v/>
      </c>
      <c r="D68" s="36" t="str">
        <f aca="false">IF($A68="","",TRIM(SUBSTITUTE(SUBSTITUTE(SUBSTITUTE(SUBSTITUTE(SUBSTITUTE(SUBSTITUTE(UPPER(IFERROR(INDEX('Base de Personas'!$E7:E21,MATCH($A68,'Base de Personas'!$B7:B21,0)),IFERROR(INDEX($D$5:D67,MATCH($A68,$A$5:A67,0)),""))),"Á","A"),"É","E"),"Í","I"),"Ó","O"),"Ú","U"),"Ü","U")))</f>
        <v/>
      </c>
      <c r="E68" s="36" t="str">
        <f aca="false">IF($A68="","",TRIM(SUBSTITUTE(SUBSTITUTE(SUBSTITUTE(SUBSTITUTE(SUBSTITUTE(SUBSTITUTE(UPPER(IFERROR(INDEX('Base de Personas'!$F7:F21,MATCH($A68,'Base de Personas'!$B7:B21,0)),IFERROR(INDEX($E$5:E67,MATCH($A68,$A$5:A67,0)),""))),"Á","A"),"É","E"),"Í","I"),"Ó","O"),"Ú","U"),"Ü","U")))</f>
        <v/>
      </c>
      <c r="F68" s="36" t="str">
        <f aca="false">IF($A68="","",TRIM(SUBSTITUTE(SUBSTITUTE(SUBSTITUTE(SUBSTITUTE(SUBSTITUTE(SUBSTITUTE(UPPER(IFERROR(INDEX('Base de Personas'!$G7:G21,MATCH($A68,'Base de Personas'!$B7:B21,0)),IFERROR(INDEX($F$5:F67,MATCH($A68,$A$5:A67,0)),""))),"Á","A"),"É","E"),"Í","I"),"Ó","O"),"Ú","U"),"Ü","U")))</f>
        <v/>
      </c>
      <c r="G68" s="37" t="str">
        <f aca="false">IF($A68="","",TRIM(SUBSTITUTE(SUBSTITUTE(SUBSTITUTE(SUBSTITUTE(SUBSTITUTE(SUBSTITUTE(UPPER(IFERROR(INDEX('Base de Personas'!$H7:H21,MATCH($A68,'Base de Personas'!$B7:B21,0)),IFERROR(INDEX($G$5:G67,MATCH($A68,$A$5:A67,0)),""))),"Á","A"),"É","E"),"Í","I"),"Ó","O"),"Ú","U"),"Ü","U")))</f>
        <v/>
      </c>
      <c r="H68" s="38" t="str">
        <f aca="false">IF($A68="","",IFERROR(INDEX('Base de Personas'!$I$7:$I$21,MATCH($A68,'Base de Personas'!$B$7:$B$21,0)),IFERROR(INDEX($H$5:H67,MATCH($A68,$A$5:A67,0)),"")))</f>
        <v/>
      </c>
      <c r="I68" s="39"/>
      <c r="J68" s="40"/>
      <c r="K68" s="40"/>
      <c r="L68" s="39"/>
      <c r="M68" s="41" t="str">
        <f aca="false">IF($A68="","",IF(K68=_xlfn.MAXIFS($K$5:$K$304,$A$5:$A$304,$A68),1,0))</f>
        <v/>
      </c>
      <c r="N68" s="41" t="str">
        <f aca="false">IF($A68="","",IF(M68=1,$A68&amp;"-ACT",""))</f>
        <v/>
      </c>
      <c r="O68" s="41" t="str">
        <f aca="false">IF($A68="","",IF(AND(COUNTIF('Base de Personas'!$B$7:$B$21,$A68)=0,COUNTIF($A$5:A68,$A68)=1),1,0))</f>
        <v/>
      </c>
      <c r="P68" s="41" t="str">
        <f aca="false">IF(O68=1,SUM($O$5:O68),"")</f>
        <v/>
      </c>
    </row>
    <row r="69" customFormat="false" ht="15" hidden="false" customHeight="false" outlineLevel="0" collapsed="false">
      <c r="A69" s="35"/>
      <c r="B69" s="36" t="str">
        <f aca="false">IF($A69="","",TRIM(SUBSTITUTE(SUBSTITUTE(SUBSTITUTE(SUBSTITUTE(SUBSTITUTE(SUBSTITUTE(UPPER(IFERROR(INDEX('Base de Personas'!$C7:C21,MATCH($A69,'Base de Personas'!$B7:B21,0)),IFERROR(INDEX($B$5:B68,MATCH($A69,$A$5:A68,0)),""))),"Á","A"),"É","E"),"Í","I"),"Ó","O"),"Ú","U"),"Ü","U")))</f>
        <v/>
      </c>
      <c r="C69" s="37" t="str">
        <f aca="false">IF($A69="","",TRIM(SUBSTITUTE(SUBSTITUTE(SUBSTITUTE(SUBSTITUTE(SUBSTITUTE(SUBSTITUTE(UPPER(IFERROR(INDEX('Base de Personas'!$D7:D21,MATCH($A69,'Base de Personas'!$B7:B21,0)),IFERROR(INDEX($C$5:C68,MATCH($A69,$A$5:A68,0)),""))),"Á","A"),"É","E"),"Í","I"),"Ó","O"),"Ú","U"),"Ü","U")))</f>
        <v/>
      </c>
      <c r="D69" s="36" t="str">
        <f aca="false">IF($A69="","",TRIM(SUBSTITUTE(SUBSTITUTE(SUBSTITUTE(SUBSTITUTE(SUBSTITUTE(SUBSTITUTE(UPPER(IFERROR(INDEX('Base de Personas'!$E7:E21,MATCH($A69,'Base de Personas'!$B7:B21,0)),IFERROR(INDEX($D$5:D68,MATCH($A69,$A$5:A68,0)),""))),"Á","A"),"É","E"),"Í","I"),"Ó","O"),"Ú","U"),"Ü","U")))</f>
        <v/>
      </c>
      <c r="E69" s="36" t="str">
        <f aca="false">IF($A69="","",TRIM(SUBSTITUTE(SUBSTITUTE(SUBSTITUTE(SUBSTITUTE(SUBSTITUTE(SUBSTITUTE(UPPER(IFERROR(INDEX('Base de Personas'!$F7:F21,MATCH($A69,'Base de Personas'!$B7:B21,0)),IFERROR(INDEX($E$5:E68,MATCH($A69,$A$5:A68,0)),""))),"Á","A"),"É","E"),"Í","I"),"Ó","O"),"Ú","U"),"Ü","U")))</f>
        <v/>
      </c>
      <c r="F69" s="36" t="str">
        <f aca="false">IF($A69="","",TRIM(SUBSTITUTE(SUBSTITUTE(SUBSTITUTE(SUBSTITUTE(SUBSTITUTE(SUBSTITUTE(UPPER(IFERROR(INDEX('Base de Personas'!$G7:G21,MATCH($A69,'Base de Personas'!$B7:B21,0)),IFERROR(INDEX($F$5:F68,MATCH($A69,$A$5:A68,0)),""))),"Á","A"),"É","E"),"Í","I"),"Ó","O"),"Ú","U"),"Ü","U")))</f>
        <v/>
      </c>
      <c r="G69" s="37" t="str">
        <f aca="false">IF($A69="","",TRIM(SUBSTITUTE(SUBSTITUTE(SUBSTITUTE(SUBSTITUTE(SUBSTITUTE(SUBSTITUTE(UPPER(IFERROR(INDEX('Base de Personas'!$H7:H21,MATCH($A69,'Base de Personas'!$B7:B21,0)),IFERROR(INDEX($G$5:G68,MATCH($A69,$A$5:A68,0)),""))),"Á","A"),"É","E"),"Í","I"),"Ó","O"),"Ú","U"),"Ü","U")))</f>
        <v/>
      </c>
      <c r="H69" s="38" t="str">
        <f aca="false">IF($A69="","",IFERROR(INDEX('Base de Personas'!$I$7:$I$21,MATCH($A69,'Base de Personas'!$B$7:$B$21,0)),IFERROR(INDEX($H$5:H68,MATCH($A69,$A$5:A68,0)),"")))</f>
        <v/>
      </c>
      <c r="I69" s="39"/>
      <c r="J69" s="40"/>
      <c r="K69" s="40"/>
      <c r="L69" s="39"/>
      <c r="M69" s="41" t="str">
        <f aca="false">IF($A69="","",IF(K69=_xlfn.MAXIFS($K$5:$K$304,$A$5:$A$304,$A69),1,0))</f>
        <v/>
      </c>
      <c r="N69" s="41" t="str">
        <f aca="false">IF($A69="","",IF(M69=1,$A69&amp;"-ACT",""))</f>
        <v/>
      </c>
      <c r="O69" s="41" t="str">
        <f aca="false">IF($A69="","",IF(AND(COUNTIF('Base de Personas'!$B$7:$B$21,$A69)=0,COUNTIF($A$5:A69,$A69)=1),1,0))</f>
        <v/>
      </c>
      <c r="P69" s="41" t="str">
        <f aca="false">IF(O69=1,SUM($O$5:O69),"")</f>
        <v/>
      </c>
    </row>
    <row r="70" customFormat="false" ht="15" hidden="false" customHeight="false" outlineLevel="0" collapsed="false">
      <c r="A70" s="35"/>
      <c r="B70" s="36" t="str">
        <f aca="false">IF($A70="","",TRIM(SUBSTITUTE(SUBSTITUTE(SUBSTITUTE(SUBSTITUTE(SUBSTITUTE(SUBSTITUTE(UPPER(IFERROR(INDEX('Base de Personas'!$C7:C21,MATCH($A70,'Base de Personas'!$B7:B21,0)),IFERROR(INDEX($B$5:B69,MATCH($A70,$A$5:A69,0)),""))),"Á","A"),"É","E"),"Í","I"),"Ó","O"),"Ú","U"),"Ü","U")))</f>
        <v/>
      </c>
      <c r="C70" s="37" t="str">
        <f aca="false">IF($A70="","",TRIM(SUBSTITUTE(SUBSTITUTE(SUBSTITUTE(SUBSTITUTE(SUBSTITUTE(SUBSTITUTE(UPPER(IFERROR(INDEX('Base de Personas'!$D7:D21,MATCH($A70,'Base de Personas'!$B7:B21,0)),IFERROR(INDEX($C$5:C69,MATCH($A70,$A$5:A69,0)),""))),"Á","A"),"É","E"),"Í","I"),"Ó","O"),"Ú","U"),"Ü","U")))</f>
        <v/>
      </c>
      <c r="D70" s="36" t="str">
        <f aca="false">IF($A70="","",TRIM(SUBSTITUTE(SUBSTITUTE(SUBSTITUTE(SUBSTITUTE(SUBSTITUTE(SUBSTITUTE(UPPER(IFERROR(INDEX('Base de Personas'!$E7:E21,MATCH($A70,'Base de Personas'!$B7:B21,0)),IFERROR(INDEX($D$5:D69,MATCH($A70,$A$5:A69,0)),""))),"Á","A"),"É","E"),"Í","I"),"Ó","O"),"Ú","U"),"Ü","U")))</f>
        <v/>
      </c>
      <c r="E70" s="36" t="str">
        <f aca="false">IF($A70="","",TRIM(SUBSTITUTE(SUBSTITUTE(SUBSTITUTE(SUBSTITUTE(SUBSTITUTE(SUBSTITUTE(UPPER(IFERROR(INDEX('Base de Personas'!$F7:F21,MATCH($A70,'Base de Personas'!$B7:B21,0)),IFERROR(INDEX($E$5:E69,MATCH($A70,$A$5:A69,0)),""))),"Á","A"),"É","E"),"Í","I"),"Ó","O"),"Ú","U"),"Ü","U")))</f>
        <v/>
      </c>
      <c r="F70" s="36" t="str">
        <f aca="false">IF($A70="","",TRIM(SUBSTITUTE(SUBSTITUTE(SUBSTITUTE(SUBSTITUTE(SUBSTITUTE(SUBSTITUTE(UPPER(IFERROR(INDEX('Base de Personas'!$G7:G21,MATCH($A70,'Base de Personas'!$B7:B21,0)),IFERROR(INDEX($F$5:F69,MATCH($A70,$A$5:A69,0)),""))),"Á","A"),"É","E"),"Í","I"),"Ó","O"),"Ú","U"),"Ü","U")))</f>
        <v/>
      </c>
      <c r="G70" s="37" t="str">
        <f aca="false">IF($A70="","",TRIM(SUBSTITUTE(SUBSTITUTE(SUBSTITUTE(SUBSTITUTE(SUBSTITUTE(SUBSTITUTE(UPPER(IFERROR(INDEX('Base de Personas'!$H7:H21,MATCH($A70,'Base de Personas'!$B7:B21,0)),IFERROR(INDEX($G$5:G69,MATCH($A70,$A$5:A69,0)),""))),"Á","A"),"É","E"),"Í","I"),"Ó","O"),"Ú","U"),"Ü","U")))</f>
        <v/>
      </c>
      <c r="H70" s="38" t="str">
        <f aca="false">IF($A70="","",IFERROR(INDEX('Base de Personas'!$I$7:$I$21,MATCH($A70,'Base de Personas'!$B$7:$B$21,0)),IFERROR(INDEX($H$5:H69,MATCH($A70,$A$5:A69,0)),"")))</f>
        <v/>
      </c>
      <c r="I70" s="39"/>
      <c r="J70" s="40"/>
      <c r="K70" s="40"/>
      <c r="L70" s="39"/>
      <c r="M70" s="41" t="str">
        <f aca="false">IF($A70="","",IF(K70=_xlfn.MAXIFS($K$5:$K$304,$A$5:$A$304,$A70),1,0))</f>
        <v/>
      </c>
      <c r="N70" s="41" t="str">
        <f aca="false">IF($A70="","",IF(M70=1,$A70&amp;"-ACT",""))</f>
        <v/>
      </c>
      <c r="O70" s="41" t="str">
        <f aca="false">IF($A70="","",IF(AND(COUNTIF('Base de Personas'!$B$7:$B$21,$A70)=0,COUNTIF($A$5:A70,$A70)=1),1,0))</f>
        <v/>
      </c>
      <c r="P70" s="41" t="str">
        <f aca="false">IF(O70=1,SUM($O$5:O70),"")</f>
        <v/>
      </c>
    </row>
    <row r="71" customFormat="false" ht="15" hidden="false" customHeight="false" outlineLevel="0" collapsed="false">
      <c r="A71" s="35"/>
      <c r="B71" s="36" t="str">
        <f aca="false">IF($A71="","",TRIM(SUBSTITUTE(SUBSTITUTE(SUBSTITUTE(SUBSTITUTE(SUBSTITUTE(SUBSTITUTE(UPPER(IFERROR(INDEX('Base de Personas'!$C7:C21,MATCH($A71,'Base de Personas'!$B7:B21,0)),IFERROR(INDEX($B$5:B70,MATCH($A71,$A$5:A70,0)),""))),"Á","A"),"É","E"),"Í","I"),"Ó","O"),"Ú","U"),"Ü","U")))</f>
        <v/>
      </c>
      <c r="C71" s="37" t="str">
        <f aca="false">IF($A71="","",TRIM(SUBSTITUTE(SUBSTITUTE(SUBSTITUTE(SUBSTITUTE(SUBSTITUTE(SUBSTITUTE(UPPER(IFERROR(INDEX('Base de Personas'!$D7:D21,MATCH($A71,'Base de Personas'!$B7:B21,0)),IFERROR(INDEX($C$5:C70,MATCH($A71,$A$5:A70,0)),""))),"Á","A"),"É","E"),"Í","I"),"Ó","O"),"Ú","U"),"Ü","U")))</f>
        <v/>
      </c>
      <c r="D71" s="36" t="str">
        <f aca="false">IF($A71="","",TRIM(SUBSTITUTE(SUBSTITUTE(SUBSTITUTE(SUBSTITUTE(SUBSTITUTE(SUBSTITUTE(UPPER(IFERROR(INDEX('Base de Personas'!$E7:E21,MATCH($A71,'Base de Personas'!$B7:B21,0)),IFERROR(INDEX($D$5:D70,MATCH($A71,$A$5:A70,0)),""))),"Á","A"),"É","E"),"Í","I"),"Ó","O"),"Ú","U"),"Ü","U")))</f>
        <v/>
      </c>
      <c r="E71" s="36" t="str">
        <f aca="false">IF($A71="","",TRIM(SUBSTITUTE(SUBSTITUTE(SUBSTITUTE(SUBSTITUTE(SUBSTITUTE(SUBSTITUTE(UPPER(IFERROR(INDEX('Base de Personas'!$F7:F21,MATCH($A71,'Base de Personas'!$B7:B21,0)),IFERROR(INDEX($E$5:E70,MATCH($A71,$A$5:A70,0)),""))),"Á","A"),"É","E"),"Í","I"),"Ó","O"),"Ú","U"),"Ü","U")))</f>
        <v/>
      </c>
      <c r="F71" s="36" t="str">
        <f aca="false">IF($A71="","",TRIM(SUBSTITUTE(SUBSTITUTE(SUBSTITUTE(SUBSTITUTE(SUBSTITUTE(SUBSTITUTE(UPPER(IFERROR(INDEX('Base de Personas'!$G7:G21,MATCH($A71,'Base de Personas'!$B7:B21,0)),IFERROR(INDEX($F$5:F70,MATCH($A71,$A$5:A70,0)),""))),"Á","A"),"É","E"),"Í","I"),"Ó","O"),"Ú","U"),"Ü","U")))</f>
        <v/>
      </c>
      <c r="G71" s="37" t="str">
        <f aca="false">IF($A71="","",TRIM(SUBSTITUTE(SUBSTITUTE(SUBSTITUTE(SUBSTITUTE(SUBSTITUTE(SUBSTITUTE(UPPER(IFERROR(INDEX('Base de Personas'!$H7:H21,MATCH($A71,'Base de Personas'!$B7:B21,0)),IFERROR(INDEX($G$5:G70,MATCH($A71,$A$5:A70,0)),""))),"Á","A"),"É","E"),"Í","I"),"Ó","O"),"Ú","U"),"Ü","U")))</f>
        <v/>
      </c>
      <c r="H71" s="38" t="str">
        <f aca="false">IF($A71="","",IFERROR(INDEX('Base de Personas'!$I$7:$I$21,MATCH($A71,'Base de Personas'!$B$7:$B$21,0)),IFERROR(INDEX($H$5:H70,MATCH($A71,$A$5:A70,0)),"")))</f>
        <v/>
      </c>
      <c r="I71" s="39"/>
      <c r="J71" s="40"/>
      <c r="K71" s="40"/>
      <c r="L71" s="39"/>
      <c r="M71" s="41" t="str">
        <f aca="false">IF($A71="","",IF(K71=_xlfn.MAXIFS($K$5:$K$304,$A$5:$A$304,$A71),1,0))</f>
        <v/>
      </c>
      <c r="N71" s="41" t="str">
        <f aca="false">IF($A71="","",IF(M71=1,$A71&amp;"-ACT",""))</f>
        <v/>
      </c>
      <c r="O71" s="41" t="str">
        <f aca="false">IF($A71="","",IF(AND(COUNTIF('Base de Personas'!$B$7:$B$21,$A71)=0,COUNTIF($A$5:A71,$A71)=1),1,0))</f>
        <v/>
      </c>
      <c r="P71" s="41" t="str">
        <f aca="false">IF(O71=1,SUM($O$5:O71),"")</f>
        <v/>
      </c>
    </row>
    <row r="72" customFormat="false" ht="15" hidden="false" customHeight="false" outlineLevel="0" collapsed="false">
      <c r="A72" s="35"/>
      <c r="B72" s="36" t="str">
        <f aca="false">IF($A72="","",TRIM(SUBSTITUTE(SUBSTITUTE(SUBSTITUTE(SUBSTITUTE(SUBSTITUTE(SUBSTITUTE(UPPER(IFERROR(INDEX('Base de Personas'!$C7:C21,MATCH($A72,'Base de Personas'!$B7:B21,0)),IFERROR(INDEX($B$5:B71,MATCH($A72,$A$5:A71,0)),""))),"Á","A"),"É","E"),"Í","I"),"Ó","O"),"Ú","U"),"Ü","U")))</f>
        <v/>
      </c>
      <c r="C72" s="37" t="str">
        <f aca="false">IF($A72="","",TRIM(SUBSTITUTE(SUBSTITUTE(SUBSTITUTE(SUBSTITUTE(SUBSTITUTE(SUBSTITUTE(UPPER(IFERROR(INDEX('Base de Personas'!$D7:D21,MATCH($A72,'Base de Personas'!$B7:B21,0)),IFERROR(INDEX($C$5:C71,MATCH($A72,$A$5:A71,0)),""))),"Á","A"),"É","E"),"Í","I"),"Ó","O"),"Ú","U"),"Ü","U")))</f>
        <v/>
      </c>
      <c r="D72" s="36" t="str">
        <f aca="false">IF($A72="","",TRIM(SUBSTITUTE(SUBSTITUTE(SUBSTITUTE(SUBSTITUTE(SUBSTITUTE(SUBSTITUTE(UPPER(IFERROR(INDEX('Base de Personas'!$E7:E21,MATCH($A72,'Base de Personas'!$B7:B21,0)),IFERROR(INDEX($D$5:D71,MATCH($A72,$A$5:A71,0)),""))),"Á","A"),"É","E"),"Í","I"),"Ó","O"),"Ú","U"),"Ü","U")))</f>
        <v/>
      </c>
      <c r="E72" s="36" t="str">
        <f aca="false">IF($A72="","",TRIM(SUBSTITUTE(SUBSTITUTE(SUBSTITUTE(SUBSTITUTE(SUBSTITUTE(SUBSTITUTE(UPPER(IFERROR(INDEX('Base de Personas'!$F7:F21,MATCH($A72,'Base de Personas'!$B7:B21,0)),IFERROR(INDEX($E$5:E71,MATCH($A72,$A$5:A71,0)),""))),"Á","A"),"É","E"),"Í","I"),"Ó","O"),"Ú","U"),"Ü","U")))</f>
        <v/>
      </c>
      <c r="F72" s="36" t="str">
        <f aca="false">IF($A72="","",TRIM(SUBSTITUTE(SUBSTITUTE(SUBSTITUTE(SUBSTITUTE(SUBSTITUTE(SUBSTITUTE(UPPER(IFERROR(INDEX('Base de Personas'!$G7:G21,MATCH($A72,'Base de Personas'!$B7:B21,0)),IFERROR(INDEX($F$5:F71,MATCH($A72,$A$5:A71,0)),""))),"Á","A"),"É","E"),"Í","I"),"Ó","O"),"Ú","U"),"Ü","U")))</f>
        <v/>
      </c>
      <c r="G72" s="37" t="str">
        <f aca="false">IF($A72="","",TRIM(SUBSTITUTE(SUBSTITUTE(SUBSTITUTE(SUBSTITUTE(SUBSTITUTE(SUBSTITUTE(UPPER(IFERROR(INDEX('Base de Personas'!$H7:H21,MATCH($A72,'Base de Personas'!$B7:B21,0)),IFERROR(INDEX($G$5:G71,MATCH($A72,$A$5:A71,0)),""))),"Á","A"),"É","E"),"Í","I"),"Ó","O"),"Ú","U"),"Ü","U")))</f>
        <v/>
      </c>
      <c r="H72" s="38" t="str">
        <f aca="false">IF($A72="","",IFERROR(INDEX('Base de Personas'!$I$7:$I$21,MATCH($A72,'Base de Personas'!$B$7:$B$21,0)),IFERROR(INDEX($H$5:H71,MATCH($A72,$A$5:A71,0)),"")))</f>
        <v/>
      </c>
      <c r="I72" s="39"/>
      <c r="J72" s="40"/>
      <c r="K72" s="40"/>
      <c r="L72" s="39"/>
      <c r="M72" s="41" t="str">
        <f aca="false">IF($A72="","",IF(K72=_xlfn.MAXIFS($K$5:$K$304,$A$5:$A$304,$A72),1,0))</f>
        <v/>
      </c>
      <c r="N72" s="41" t="str">
        <f aca="false">IF($A72="","",IF(M72=1,$A72&amp;"-ACT",""))</f>
        <v/>
      </c>
      <c r="O72" s="41" t="str">
        <f aca="false">IF($A72="","",IF(AND(COUNTIF('Base de Personas'!$B$7:$B$21,$A72)=0,COUNTIF($A$5:A72,$A72)=1),1,0))</f>
        <v/>
      </c>
      <c r="P72" s="41" t="str">
        <f aca="false">IF(O72=1,SUM($O$5:O72),"")</f>
        <v/>
      </c>
    </row>
    <row r="73" customFormat="false" ht="15" hidden="false" customHeight="false" outlineLevel="0" collapsed="false">
      <c r="A73" s="35"/>
      <c r="B73" s="36" t="str">
        <f aca="false">IF($A73="","",TRIM(SUBSTITUTE(SUBSTITUTE(SUBSTITUTE(SUBSTITUTE(SUBSTITUTE(SUBSTITUTE(UPPER(IFERROR(INDEX('Base de Personas'!$C7:C21,MATCH($A73,'Base de Personas'!$B7:B21,0)),IFERROR(INDEX($B$5:B72,MATCH($A73,$A$5:A72,0)),""))),"Á","A"),"É","E"),"Í","I"),"Ó","O"),"Ú","U"),"Ü","U")))</f>
        <v/>
      </c>
      <c r="C73" s="37" t="str">
        <f aca="false">IF($A73="","",TRIM(SUBSTITUTE(SUBSTITUTE(SUBSTITUTE(SUBSTITUTE(SUBSTITUTE(SUBSTITUTE(UPPER(IFERROR(INDEX('Base de Personas'!$D7:D21,MATCH($A73,'Base de Personas'!$B7:B21,0)),IFERROR(INDEX($C$5:C72,MATCH($A73,$A$5:A72,0)),""))),"Á","A"),"É","E"),"Í","I"),"Ó","O"),"Ú","U"),"Ü","U")))</f>
        <v/>
      </c>
      <c r="D73" s="36" t="str">
        <f aca="false">IF($A73="","",TRIM(SUBSTITUTE(SUBSTITUTE(SUBSTITUTE(SUBSTITUTE(SUBSTITUTE(SUBSTITUTE(UPPER(IFERROR(INDEX('Base de Personas'!$E7:E21,MATCH($A73,'Base de Personas'!$B7:B21,0)),IFERROR(INDEX($D$5:D72,MATCH($A73,$A$5:A72,0)),""))),"Á","A"),"É","E"),"Í","I"),"Ó","O"),"Ú","U"),"Ü","U")))</f>
        <v/>
      </c>
      <c r="E73" s="36" t="str">
        <f aca="false">IF($A73="","",TRIM(SUBSTITUTE(SUBSTITUTE(SUBSTITUTE(SUBSTITUTE(SUBSTITUTE(SUBSTITUTE(UPPER(IFERROR(INDEX('Base de Personas'!$F7:F21,MATCH($A73,'Base de Personas'!$B7:B21,0)),IFERROR(INDEX($E$5:E72,MATCH($A73,$A$5:A72,0)),""))),"Á","A"),"É","E"),"Í","I"),"Ó","O"),"Ú","U"),"Ü","U")))</f>
        <v/>
      </c>
      <c r="F73" s="36" t="str">
        <f aca="false">IF($A73="","",TRIM(SUBSTITUTE(SUBSTITUTE(SUBSTITUTE(SUBSTITUTE(SUBSTITUTE(SUBSTITUTE(UPPER(IFERROR(INDEX('Base de Personas'!$G7:G21,MATCH($A73,'Base de Personas'!$B7:B21,0)),IFERROR(INDEX($F$5:F72,MATCH($A73,$A$5:A72,0)),""))),"Á","A"),"É","E"),"Í","I"),"Ó","O"),"Ú","U"),"Ü","U")))</f>
        <v/>
      </c>
      <c r="G73" s="37" t="str">
        <f aca="false">IF($A73="","",TRIM(SUBSTITUTE(SUBSTITUTE(SUBSTITUTE(SUBSTITUTE(SUBSTITUTE(SUBSTITUTE(UPPER(IFERROR(INDEX('Base de Personas'!$H7:H21,MATCH($A73,'Base de Personas'!$B7:B21,0)),IFERROR(INDEX($G$5:G72,MATCH($A73,$A$5:A72,0)),""))),"Á","A"),"É","E"),"Í","I"),"Ó","O"),"Ú","U"),"Ü","U")))</f>
        <v/>
      </c>
      <c r="H73" s="38" t="str">
        <f aca="false">IF($A73="","",IFERROR(INDEX('Base de Personas'!$I$7:$I$21,MATCH($A73,'Base de Personas'!$B$7:$B$21,0)),IFERROR(INDEX($H$5:H72,MATCH($A73,$A$5:A72,0)),"")))</f>
        <v/>
      </c>
      <c r="I73" s="39"/>
      <c r="J73" s="40"/>
      <c r="K73" s="40"/>
      <c r="L73" s="39"/>
      <c r="M73" s="41" t="str">
        <f aca="false">IF($A73="","",IF(K73=_xlfn.MAXIFS($K$5:$K$304,$A$5:$A$304,$A73),1,0))</f>
        <v/>
      </c>
      <c r="N73" s="41" t="str">
        <f aca="false">IF($A73="","",IF(M73=1,$A73&amp;"-ACT",""))</f>
        <v/>
      </c>
      <c r="O73" s="41" t="str">
        <f aca="false">IF($A73="","",IF(AND(COUNTIF('Base de Personas'!$B$7:$B$21,$A73)=0,COUNTIF($A$5:A73,$A73)=1),1,0))</f>
        <v/>
      </c>
      <c r="P73" s="41" t="str">
        <f aca="false">IF(O73=1,SUM($O$5:O73),"")</f>
        <v/>
      </c>
    </row>
    <row r="74" customFormat="false" ht="15" hidden="false" customHeight="false" outlineLevel="0" collapsed="false">
      <c r="A74" s="35"/>
      <c r="B74" s="36" t="str">
        <f aca="false">IF($A74="","",TRIM(SUBSTITUTE(SUBSTITUTE(SUBSTITUTE(SUBSTITUTE(SUBSTITUTE(SUBSTITUTE(UPPER(IFERROR(INDEX('Base de Personas'!$C7:C21,MATCH($A74,'Base de Personas'!$B7:B21,0)),IFERROR(INDEX($B$5:B73,MATCH($A74,$A$5:A73,0)),""))),"Á","A"),"É","E"),"Í","I"),"Ó","O"),"Ú","U"),"Ü","U")))</f>
        <v/>
      </c>
      <c r="C74" s="37" t="str">
        <f aca="false">IF($A74="","",TRIM(SUBSTITUTE(SUBSTITUTE(SUBSTITUTE(SUBSTITUTE(SUBSTITUTE(SUBSTITUTE(UPPER(IFERROR(INDEX('Base de Personas'!$D7:D21,MATCH($A74,'Base de Personas'!$B7:B21,0)),IFERROR(INDEX($C$5:C73,MATCH($A74,$A$5:A73,0)),""))),"Á","A"),"É","E"),"Í","I"),"Ó","O"),"Ú","U"),"Ü","U")))</f>
        <v/>
      </c>
      <c r="D74" s="36" t="str">
        <f aca="false">IF($A74="","",TRIM(SUBSTITUTE(SUBSTITUTE(SUBSTITUTE(SUBSTITUTE(SUBSTITUTE(SUBSTITUTE(UPPER(IFERROR(INDEX('Base de Personas'!$E7:E21,MATCH($A74,'Base de Personas'!$B7:B21,0)),IFERROR(INDEX($D$5:D73,MATCH($A74,$A$5:A73,0)),""))),"Á","A"),"É","E"),"Í","I"),"Ó","O"),"Ú","U"),"Ü","U")))</f>
        <v/>
      </c>
      <c r="E74" s="36" t="str">
        <f aca="false">IF($A74="","",TRIM(SUBSTITUTE(SUBSTITUTE(SUBSTITUTE(SUBSTITUTE(SUBSTITUTE(SUBSTITUTE(UPPER(IFERROR(INDEX('Base de Personas'!$F7:F21,MATCH($A74,'Base de Personas'!$B7:B21,0)),IFERROR(INDEX($E$5:E73,MATCH($A74,$A$5:A73,0)),""))),"Á","A"),"É","E"),"Í","I"),"Ó","O"),"Ú","U"),"Ü","U")))</f>
        <v/>
      </c>
      <c r="F74" s="36" t="str">
        <f aca="false">IF($A74="","",TRIM(SUBSTITUTE(SUBSTITUTE(SUBSTITUTE(SUBSTITUTE(SUBSTITUTE(SUBSTITUTE(UPPER(IFERROR(INDEX('Base de Personas'!$G7:G21,MATCH($A74,'Base de Personas'!$B7:B21,0)),IFERROR(INDEX($F$5:F73,MATCH($A74,$A$5:A73,0)),""))),"Á","A"),"É","E"),"Í","I"),"Ó","O"),"Ú","U"),"Ü","U")))</f>
        <v/>
      </c>
      <c r="G74" s="37" t="str">
        <f aca="false">IF($A74="","",TRIM(SUBSTITUTE(SUBSTITUTE(SUBSTITUTE(SUBSTITUTE(SUBSTITUTE(SUBSTITUTE(UPPER(IFERROR(INDEX('Base de Personas'!$H7:H21,MATCH($A74,'Base de Personas'!$B7:B21,0)),IFERROR(INDEX($G$5:G73,MATCH($A74,$A$5:A73,0)),""))),"Á","A"),"É","E"),"Í","I"),"Ó","O"),"Ú","U"),"Ü","U")))</f>
        <v/>
      </c>
      <c r="H74" s="38" t="str">
        <f aca="false">IF($A74="","",IFERROR(INDEX('Base de Personas'!$I$7:$I$21,MATCH($A74,'Base de Personas'!$B$7:$B$21,0)),IFERROR(INDEX($H$5:H73,MATCH($A74,$A$5:A73,0)),"")))</f>
        <v/>
      </c>
      <c r="I74" s="39"/>
      <c r="J74" s="40"/>
      <c r="K74" s="40"/>
      <c r="L74" s="39"/>
      <c r="M74" s="41" t="str">
        <f aca="false">IF($A74="","",IF(K74=_xlfn.MAXIFS($K$5:$K$304,$A$5:$A$304,$A74),1,0))</f>
        <v/>
      </c>
      <c r="N74" s="41" t="str">
        <f aca="false">IF($A74="","",IF(M74=1,$A74&amp;"-ACT",""))</f>
        <v/>
      </c>
      <c r="O74" s="41" t="str">
        <f aca="false">IF($A74="","",IF(AND(COUNTIF('Base de Personas'!$B$7:$B$21,$A74)=0,COUNTIF($A$5:A74,$A74)=1),1,0))</f>
        <v/>
      </c>
      <c r="P74" s="41" t="str">
        <f aca="false">IF(O74=1,SUM($O$5:O74),"")</f>
        <v/>
      </c>
    </row>
    <row r="75" customFormat="false" ht="15" hidden="false" customHeight="false" outlineLevel="0" collapsed="false">
      <c r="A75" s="35"/>
      <c r="B75" s="36" t="str">
        <f aca="false">IF($A75="","",TRIM(SUBSTITUTE(SUBSTITUTE(SUBSTITUTE(SUBSTITUTE(SUBSTITUTE(SUBSTITUTE(UPPER(IFERROR(INDEX('Base de Personas'!$C7:C21,MATCH($A75,'Base de Personas'!$B7:B21,0)),IFERROR(INDEX($B$5:B74,MATCH($A75,$A$5:A74,0)),""))),"Á","A"),"É","E"),"Í","I"),"Ó","O"),"Ú","U"),"Ü","U")))</f>
        <v/>
      </c>
      <c r="C75" s="37" t="str">
        <f aca="false">IF($A75="","",TRIM(SUBSTITUTE(SUBSTITUTE(SUBSTITUTE(SUBSTITUTE(SUBSTITUTE(SUBSTITUTE(UPPER(IFERROR(INDEX('Base de Personas'!$D7:D21,MATCH($A75,'Base de Personas'!$B7:B21,0)),IFERROR(INDEX($C$5:C74,MATCH($A75,$A$5:A74,0)),""))),"Á","A"),"É","E"),"Í","I"),"Ó","O"),"Ú","U"),"Ü","U")))</f>
        <v/>
      </c>
      <c r="D75" s="36" t="str">
        <f aca="false">IF($A75="","",TRIM(SUBSTITUTE(SUBSTITUTE(SUBSTITUTE(SUBSTITUTE(SUBSTITUTE(SUBSTITUTE(UPPER(IFERROR(INDEX('Base de Personas'!$E7:E21,MATCH($A75,'Base de Personas'!$B7:B21,0)),IFERROR(INDEX($D$5:D74,MATCH($A75,$A$5:A74,0)),""))),"Á","A"),"É","E"),"Í","I"),"Ó","O"),"Ú","U"),"Ü","U")))</f>
        <v/>
      </c>
      <c r="E75" s="36" t="str">
        <f aca="false">IF($A75="","",TRIM(SUBSTITUTE(SUBSTITUTE(SUBSTITUTE(SUBSTITUTE(SUBSTITUTE(SUBSTITUTE(UPPER(IFERROR(INDEX('Base de Personas'!$F7:F21,MATCH($A75,'Base de Personas'!$B7:B21,0)),IFERROR(INDEX($E$5:E74,MATCH($A75,$A$5:A74,0)),""))),"Á","A"),"É","E"),"Í","I"),"Ó","O"),"Ú","U"),"Ü","U")))</f>
        <v/>
      </c>
      <c r="F75" s="36" t="str">
        <f aca="false">IF($A75="","",TRIM(SUBSTITUTE(SUBSTITUTE(SUBSTITUTE(SUBSTITUTE(SUBSTITUTE(SUBSTITUTE(UPPER(IFERROR(INDEX('Base de Personas'!$G7:G21,MATCH($A75,'Base de Personas'!$B7:B21,0)),IFERROR(INDEX($F$5:F74,MATCH($A75,$A$5:A74,0)),""))),"Á","A"),"É","E"),"Í","I"),"Ó","O"),"Ú","U"),"Ü","U")))</f>
        <v/>
      </c>
      <c r="G75" s="37" t="str">
        <f aca="false">IF($A75="","",TRIM(SUBSTITUTE(SUBSTITUTE(SUBSTITUTE(SUBSTITUTE(SUBSTITUTE(SUBSTITUTE(UPPER(IFERROR(INDEX('Base de Personas'!$H7:H21,MATCH($A75,'Base de Personas'!$B7:B21,0)),IFERROR(INDEX($G$5:G74,MATCH($A75,$A$5:A74,0)),""))),"Á","A"),"É","E"),"Í","I"),"Ó","O"),"Ú","U"),"Ü","U")))</f>
        <v/>
      </c>
      <c r="H75" s="38" t="str">
        <f aca="false">IF($A75="","",IFERROR(INDEX('Base de Personas'!$I$7:$I$21,MATCH($A75,'Base de Personas'!$B$7:$B$21,0)),IFERROR(INDEX($H$5:H74,MATCH($A75,$A$5:A74,0)),"")))</f>
        <v/>
      </c>
      <c r="I75" s="39"/>
      <c r="J75" s="40"/>
      <c r="K75" s="40"/>
      <c r="L75" s="39"/>
      <c r="M75" s="41" t="str">
        <f aca="false">IF($A75="","",IF(K75=_xlfn.MAXIFS($K$5:$K$304,$A$5:$A$304,$A75),1,0))</f>
        <v/>
      </c>
      <c r="N75" s="41" t="str">
        <f aca="false">IF($A75="","",IF(M75=1,$A75&amp;"-ACT",""))</f>
        <v/>
      </c>
      <c r="O75" s="41" t="str">
        <f aca="false">IF($A75="","",IF(AND(COUNTIF('Base de Personas'!$B$7:$B$21,$A75)=0,COUNTIF($A$5:A75,$A75)=1),1,0))</f>
        <v/>
      </c>
      <c r="P75" s="41" t="str">
        <f aca="false">IF(O75=1,SUM($O$5:O75),"")</f>
        <v/>
      </c>
    </row>
    <row r="76" customFormat="false" ht="15" hidden="false" customHeight="false" outlineLevel="0" collapsed="false">
      <c r="A76" s="35"/>
      <c r="B76" s="36" t="str">
        <f aca="false">IF($A76="","",TRIM(SUBSTITUTE(SUBSTITUTE(SUBSTITUTE(SUBSTITUTE(SUBSTITUTE(SUBSTITUTE(UPPER(IFERROR(INDEX('Base de Personas'!$C7:C21,MATCH($A76,'Base de Personas'!$B7:B21,0)),IFERROR(INDEX($B$5:B75,MATCH($A76,$A$5:A75,0)),""))),"Á","A"),"É","E"),"Í","I"),"Ó","O"),"Ú","U"),"Ü","U")))</f>
        <v/>
      </c>
      <c r="C76" s="37" t="str">
        <f aca="false">IF($A76="","",TRIM(SUBSTITUTE(SUBSTITUTE(SUBSTITUTE(SUBSTITUTE(SUBSTITUTE(SUBSTITUTE(UPPER(IFERROR(INDEX('Base de Personas'!$D7:D21,MATCH($A76,'Base de Personas'!$B7:B21,0)),IFERROR(INDEX($C$5:C75,MATCH($A76,$A$5:A75,0)),""))),"Á","A"),"É","E"),"Í","I"),"Ó","O"),"Ú","U"),"Ü","U")))</f>
        <v/>
      </c>
      <c r="D76" s="36" t="str">
        <f aca="false">IF($A76="","",TRIM(SUBSTITUTE(SUBSTITUTE(SUBSTITUTE(SUBSTITUTE(SUBSTITUTE(SUBSTITUTE(UPPER(IFERROR(INDEX('Base de Personas'!$E7:E21,MATCH($A76,'Base de Personas'!$B7:B21,0)),IFERROR(INDEX($D$5:D75,MATCH($A76,$A$5:A75,0)),""))),"Á","A"),"É","E"),"Í","I"),"Ó","O"),"Ú","U"),"Ü","U")))</f>
        <v/>
      </c>
      <c r="E76" s="36" t="str">
        <f aca="false">IF($A76="","",TRIM(SUBSTITUTE(SUBSTITUTE(SUBSTITUTE(SUBSTITUTE(SUBSTITUTE(SUBSTITUTE(UPPER(IFERROR(INDEX('Base de Personas'!$F7:F21,MATCH($A76,'Base de Personas'!$B7:B21,0)),IFERROR(INDEX($E$5:E75,MATCH($A76,$A$5:A75,0)),""))),"Á","A"),"É","E"),"Í","I"),"Ó","O"),"Ú","U"),"Ü","U")))</f>
        <v/>
      </c>
      <c r="F76" s="36" t="str">
        <f aca="false">IF($A76="","",TRIM(SUBSTITUTE(SUBSTITUTE(SUBSTITUTE(SUBSTITUTE(SUBSTITUTE(SUBSTITUTE(UPPER(IFERROR(INDEX('Base de Personas'!$G7:G21,MATCH($A76,'Base de Personas'!$B7:B21,0)),IFERROR(INDEX($F$5:F75,MATCH($A76,$A$5:A75,0)),""))),"Á","A"),"É","E"),"Í","I"),"Ó","O"),"Ú","U"),"Ü","U")))</f>
        <v/>
      </c>
      <c r="G76" s="37" t="str">
        <f aca="false">IF($A76="","",TRIM(SUBSTITUTE(SUBSTITUTE(SUBSTITUTE(SUBSTITUTE(SUBSTITUTE(SUBSTITUTE(UPPER(IFERROR(INDEX('Base de Personas'!$H7:H21,MATCH($A76,'Base de Personas'!$B7:B21,0)),IFERROR(INDEX($G$5:G75,MATCH($A76,$A$5:A75,0)),""))),"Á","A"),"É","E"),"Í","I"),"Ó","O"),"Ú","U"),"Ü","U")))</f>
        <v/>
      </c>
      <c r="H76" s="38" t="str">
        <f aca="false">IF($A76="","",IFERROR(INDEX('Base de Personas'!$I$7:$I$21,MATCH($A76,'Base de Personas'!$B$7:$B$21,0)),IFERROR(INDEX($H$5:H75,MATCH($A76,$A$5:A75,0)),"")))</f>
        <v/>
      </c>
      <c r="I76" s="39"/>
      <c r="J76" s="40"/>
      <c r="K76" s="40"/>
      <c r="L76" s="39"/>
      <c r="M76" s="41" t="str">
        <f aca="false">IF($A76="","",IF(K76=_xlfn.MAXIFS($K$5:$K$304,$A$5:$A$304,$A76),1,0))</f>
        <v/>
      </c>
      <c r="N76" s="41" t="str">
        <f aca="false">IF($A76="","",IF(M76=1,$A76&amp;"-ACT",""))</f>
        <v/>
      </c>
      <c r="O76" s="41" t="str">
        <f aca="false">IF($A76="","",IF(AND(COUNTIF('Base de Personas'!$B$7:$B$21,$A76)=0,COUNTIF($A$5:A76,$A76)=1),1,0))</f>
        <v/>
      </c>
      <c r="P76" s="41" t="str">
        <f aca="false">IF(O76=1,SUM($O$5:O76),"")</f>
        <v/>
      </c>
    </row>
    <row r="77" customFormat="false" ht="15" hidden="false" customHeight="false" outlineLevel="0" collapsed="false">
      <c r="A77" s="35"/>
      <c r="B77" s="36" t="str">
        <f aca="false">IF($A77="","",TRIM(SUBSTITUTE(SUBSTITUTE(SUBSTITUTE(SUBSTITUTE(SUBSTITUTE(SUBSTITUTE(UPPER(IFERROR(INDEX('Base de Personas'!$C7:C21,MATCH($A77,'Base de Personas'!$B7:B21,0)),IFERROR(INDEX($B$5:B76,MATCH($A77,$A$5:A76,0)),""))),"Á","A"),"É","E"),"Í","I"),"Ó","O"),"Ú","U"),"Ü","U")))</f>
        <v/>
      </c>
      <c r="C77" s="37" t="str">
        <f aca="false">IF($A77="","",TRIM(SUBSTITUTE(SUBSTITUTE(SUBSTITUTE(SUBSTITUTE(SUBSTITUTE(SUBSTITUTE(UPPER(IFERROR(INDEX('Base de Personas'!$D7:D21,MATCH($A77,'Base de Personas'!$B7:B21,0)),IFERROR(INDEX($C$5:C76,MATCH($A77,$A$5:A76,0)),""))),"Á","A"),"É","E"),"Í","I"),"Ó","O"),"Ú","U"),"Ü","U")))</f>
        <v/>
      </c>
      <c r="D77" s="36" t="str">
        <f aca="false">IF($A77="","",TRIM(SUBSTITUTE(SUBSTITUTE(SUBSTITUTE(SUBSTITUTE(SUBSTITUTE(SUBSTITUTE(UPPER(IFERROR(INDEX('Base de Personas'!$E7:E21,MATCH($A77,'Base de Personas'!$B7:B21,0)),IFERROR(INDEX($D$5:D76,MATCH($A77,$A$5:A76,0)),""))),"Á","A"),"É","E"),"Í","I"),"Ó","O"),"Ú","U"),"Ü","U")))</f>
        <v/>
      </c>
      <c r="E77" s="36" t="str">
        <f aca="false">IF($A77="","",TRIM(SUBSTITUTE(SUBSTITUTE(SUBSTITUTE(SUBSTITUTE(SUBSTITUTE(SUBSTITUTE(UPPER(IFERROR(INDEX('Base de Personas'!$F7:F21,MATCH($A77,'Base de Personas'!$B7:B21,0)),IFERROR(INDEX($E$5:E76,MATCH($A77,$A$5:A76,0)),""))),"Á","A"),"É","E"),"Í","I"),"Ó","O"),"Ú","U"),"Ü","U")))</f>
        <v/>
      </c>
      <c r="F77" s="36" t="str">
        <f aca="false">IF($A77="","",TRIM(SUBSTITUTE(SUBSTITUTE(SUBSTITUTE(SUBSTITUTE(SUBSTITUTE(SUBSTITUTE(UPPER(IFERROR(INDEX('Base de Personas'!$G7:G21,MATCH($A77,'Base de Personas'!$B7:B21,0)),IFERROR(INDEX($F$5:F76,MATCH($A77,$A$5:A76,0)),""))),"Á","A"),"É","E"),"Í","I"),"Ó","O"),"Ú","U"),"Ü","U")))</f>
        <v/>
      </c>
      <c r="G77" s="37" t="str">
        <f aca="false">IF($A77="","",TRIM(SUBSTITUTE(SUBSTITUTE(SUBSTITUTE(SUBSTITUTE(SUBSTITUTE(SUBSTITUTE(UPPER(IFERROR(INDEX('Base de Personas'!$H7:H21,MATCH($A77,'Base de Personas'!$B7:B21,0)),IFERROR(INDEX($G$5:G76,MATCH($A77,$A$5:A76,0)),""))),"Á","A"),"É","E"),"Í","I"),"Ó","O"),"Ú","U"),"Ü","U")))</f>
        <v/>
      </c>
      <c r="H77" s="38" t="str">
        <f aca="false">IF($A77="","",IFERROR(INDEX('Base de Personas'!$I$7:$I$21,MATCH($A77,'Base de Personas'!$B$7:$B$21,0)),IFERROR(INDEX($H$5:H76,MATCH($A77,$A$5:A76,0)),"")))</f>
        <v/>
      </c>
      <c r="I77" s="39"/>
      <c r="J77" s="40"/>
      <c r="K77" s="40"/>
      <c r="L77" s="39"/>
      <c r="M77" s="41" t="str">
        <f aca="false">IF($A77="","",IF(K77=_xlfn.MAXIFS($K$5:$K$304,$A$5:$A$304,$A77),1,0))</f>
        <v/>
      </c>
      <c r="N77" s="41" t="str">
        <f aca="false">IF($A77="","",IF(M77=1,$A77&amp;"-ACT",""))</f>
        <v/>
      </c>
      <c r="O77" s="41" t="str">
        <f aca="false">IF($A77="","",IF(AND(COUNTIF('Base de Personas'!$B$7:$B$21,$A77)=0,COUNTIF($A$5:A77,$A77)=1),1,0))</f>
        <v/>
      </c>
      <c r="P77" s="41" t="str">
        <f aca="false">IF(O77=1,SUM($O$5:O77),"")</f>
        <v/>
      </c>
    </row>
    <row r="78" customFormat="false" ht="15" hidden="false" customHeight="false" outlineLevel="0" collapsed="false">
      <c r="A78" s="35"/>
      <c r="B78" s="36" t="str">
        <f aca="false">IF($A78="","",TRIM(SUBSTITUTE(SUBSTITUTE(SUBSTITUTE(SUBSTITUTE(SUBSTITUTE(SUBSTITUTE(UPPER(IFERROR(INDEX('Base de Personas'!$C7:C21,MATCH($A78,'Base de Personas'!$B7:B21,0)),IFERROR(INDEX($B$5:B77,MATCH($A78,$A$5:A77,0)),""))),"Á","A"),"É","E"),"Í","I"),"Ó","O"),"Ú","U"),"Ü","U")))</f>
        <v/>
      </c>
      <c r="C78" s="37" t="str">
        <f aca="false">IF($A78="","",TRIM(SUBSTITUTE(SUBSTITUTE(SUBSTITUTE(SUBSTITUTE(SUBSTITUTE(SUBSTITUTE(UPPER(IFERROR(INDEX('Base de Personas'!$D7:D21,MATCH($A78,'Base de Personas'!$B7:B21,0)),IFERROR(INDEX($C$5:C77,MATCH($A78,$A$5:A77,0)),""))),"Á","A"),"É","E"),"Í","I"),"Ó","O"),"Ú","U"),"Ü","U")))</f>
        <v/>
      </c>
      <c r="D78" s="36" t="str">
        <f aca="false">IF($A78="","",TRIM(SUBSTITUTE(SUBSTITUTE(SUBSTITUTE(SUBSTITUTE(SUBSTITUTE(SUBSTITUTE(UPPER(IFERROR(INDEX('Base de Personas'!$E7:E21,MATCH($A78,'Base de Personas'!$B7:B21,0)),IFERROR(INDEX($D$5:D77,MATCH($A78,$A$5:A77,0)),""))),"Á","A"),"É","E"),"Í","I"),"Ó","O"),"Ú","U"),"Ü","U")))</f>
        <v/>
      </c>
      <c r="E78" s="36" t="str">
        <f aca="false">IF($A78="","",TRIM(SUBSTITUTE(SUBSTITUTE(SUBSTITUTE(SUBSTITUTE(SUBSTITUTE(SUBSTITUTE(UPPER(IFERROR(INDEX('Base de Personas'!$F7:F21,MATCH($A78,'Base de Personas'!$B7:B21,0)),IFERROR(INDEX($E$5:E77,MATCH($A78,$A$5:A77,0)),""))),"Á","A"),"É","E"),"Í","I"),"Ó","O"),"Ú","U"),"Ü","U")))</f>
        <v/>
      </c>
      <c r="F78" s="36" t="str">
        <f aca="false">IF($A78="","",TRIM(SUBSTITUTE(SUBSTITUTE(SUBSTITUTE(SUBSTITUTE(SUBSTITUTE(SUBSTITUTE(UPPER(IFERROR(INDEX('Base de Personas'!$G7:G21,MATCH($A78,'Base de Personas'!$B7:B21,0)),IFERROR(INDEX($F$5:F77,MATCH($A78,$A$5:A77,0)),""))),"Á","A"),"É","E"),"Í","I"),"Ó","O"),"Ú","U"),"Ü","U")))</f>
        <v/>
      </c>
      <c r="G78" s="37" t="str">
        <f aca="false">IF($A78="","",TRIM(SUBSTITUTE(SUBSTITUTE(SUBSTITUTE(SUBSTITUTE(SUBSTITUTE(SUBSTITUTE(UPPER(IFERROR(INDEX('Base de Personas'!$H7:H21,MATCH($A78,'Base de Personas'!$B7:B21,0)),IFERROR(INDEX($G$5:G77,MATCH($A78,$A$5:A77,0)),""))),"Á","A"),"É","E"),"Í","I"),"Ó","O"),"Ú","U"),"Ü","U")))</f>
        <v/>
      </c>
      <c r="H78" s="38" t="str">
        <f aca="false">IF($A78="","",IFERROR(INDEX('Base de Personas'!$I$7:$I$21,MATCH($A78,'Base de Personas'!$B$7:$B$21,0)),IFERROR(INDEX($H$5:H77,MATCH($A78,$A$5:A77,0)),"")))</f>
        <v/>
      </c>
      <c r="I78" s="39"/>
      <c r="J78" s="40"/>
      <c r="K78" s="40"/>
      <c r="L78" s="39"/>
      <c r="M78" s="41" t="str">
        <f aca="false">IF($A78="","",IF(K78=_xlfn.MAXIFS($K$5:$K$304,$A$5:$A$304,$A78),1,0))</f>
        <v/>
      </c>
      <c r="N78" s="41" t="str">
        <f aca="false">IF($A78="","",IF(M78=1,$A78&amp;"-ACT",""))</f>
        <v/>
      </c>
      <c r="O78" s="41" t="str">
        <f aca="false">IF($A78="","",IF(AND(COUNTIF('Base de Personas'!$B$7:$B$21,$A78)=0,COUNTIF($A$5:A78,$A78)=1),1,0))</f>
        <v/>
      </c>
      <c r="P78" s="41" t="str">
        <f aca="false">IF(O78=1,SUM($O$5:O78),"")</f>
        <v/>
      </c>
    </row>
    <row r="79" customFormat="false" ht="15" hidden="false" customHeight="false" outlineLevel="0" collapsed="false">
      <c r="A79" s="35"/>
      <c r="B79" s="36" t="str">
        <f aca="false">IF($A79="","",TRIM(SUBSTITUTE(SUBSTITUTE(SUBSTITUTE(SUBSTITUTE(SUBSTITUTE(SUBSTITUTE(UPPER(IFERROR(INDEX('Base de Personas'!$C7:C21,MATCH($A79,'Base de Personas'!$B7:B21,0)),IFERROR(INDEX($B$5:B78,MATCH($A79,$A$5:A78,0)),""))),"Á","A"),"É","E"),"Í","I"),"Ó","O"),"Ú","U"),"Ü","U")))</f>
        <v/>
      </c>
      <c r="C79" s="37" t="str">
        <f aca="false">IF($A79="","",TRIM(SUBSTITUTE(SUBSTITUTE(SUBSTITUTE(SUBSTITUTE(SUBSTITUTE(SUBSTITUTE(UPPER(IFERROR(INDEX('Base de Personas'!$D7:D21,MATCH($A79,'Base de Personas'!$B7:B21,0)),IFERROR(INDEX($C$5:C78,MATCH($A79,$A$5:A78,0)),""))),"Á","A"),"É","E"),"Í","I"),"Ó","O"),"Ú","U"),"Ü","U")))</f>
        <v/>
      </c>
      <c r="D79" s="36" t="str">
        <f aca="false">IF($A79="","",TRIM(SUBSTITUTE(SUBSTITUTE(SUBSTITUTE(SUBSTITUTE(SUBSTITUTE(SUBSTITUTE(UPPER(IFERROR(INDEX('Base de Personas'!$E7:E21,MATCH($A79,'Base de Personas'!$B7:B21,0)),IFERROR(INDEX($D$5:D78,MATCH($A79,$A$5:A78,0)),""))),"Á","A"),"É","E"),"Í","I"),"Ó","O"),"Ú","U"),"Ü","U")))</f>
        <v/>
      </c>
      <c r="E79" s="36" t="str">
        <f aca="false">IF($A79="","",TRIM(SUBSTITUTE(SUBSTITUTE(SUBSTITUTE(SUBSTITUTE(SUBSTITUTE(SUBSTITUTE(UPPER(IFERROR(INDEX('Base de Personas'!$F7:F21,MATCH($A79,'Base de Personas'!$B7:B21,0)),IFERROR(INDEX($E$5:E78,MATCH($A79,$A$5:A78,0)),""))),"Á","A"),"É","E"),"Í","I"),"Ó","O"),"Ú","U"),"Ü","U")))</f>
        <v/>
      </c>
      <c r="F79" s="36" t="str">
        <f aca="false">IF($A79="","",TRIM(SUBSTITUTE(SUBSTITUTE(SUBSTITUTE(SUBSTITUTE(SUBSTITUTE(SUBSTITUTE(UPPER(IFERROR(INDEX('Base de Personas'!$G7:G21,MATCH($A79,'Base de Personas'!$B7:B21,0)),IFERROR(INDEX($F$5:F78,MATCH($A79,$A$5:A78,0)),""))),"Á","A"),"É","E"),"Í","I"),"Ó","O"),"Ú","U"),"Ü","U")))</f>
        <v/>
      </c>
      <c r="G79" s="37" t="str">
        <f aca="false">IF($A79="","",TRIM(SUBSTITUTE(SUBSTITUTE(SUBSTITUTE(SUBSTITUTE(SUBSTITUTE(SUBSTITUTE(UPPER(IFERROR(INDEX('Base de Personas'!$H7:H21,MATCH($A79,'Base de Personas'!$B7:B21,0)),IFERROR(INDEX($G$5:G78,MATCH($A79,$A$5:A78,0)),""))),"Á","A"),"É","E"),"Í","I"),"Ó","O"),"Ú","U"),"Ü","U")))</f>
        <v/>
      </c>
      <c r="H79" s="38" t="str">
        <f aca="false">IF($A79="","",IFERROR(INDEX('Base de Personas'!$I$7:$I$21,MATCH($A79,'Base de Personas'!$B$7:$B$21,0)),IFERROR(INDEX($H$5:H78,MATCH($A79,$A$5:A78,0)),"")))</f>
        <v/>
      </c>
      <c r="I79" s="39"/>
      <c r="J79" s="40"/>
      <c r="K79" s="40"/>
      <c r="L79" s="39"/>
      <c r="M79" s="41" t="str">
        <f aca="false">IF($A79="","",IF(K79=_xlfn.MAXIFS($K$5:$K$304,$A$5:$A$304,$A79),1,0))</f>
        <v/>
      </c>
      <c r="N79" s="41" t="str">
        <f aca="false">IF($A79="","",IF(M79=1,$A79&amp;"-ACT",""))</f>
        <v/>
      </c>
      <c r="O79" s="41" t="str">
        <f aca="false">IF($A79="","",IF(AND(COUNTIF('Base de Personas'!$B$7:$B$21,$A79)=0,COUNTIF($A$5:A79,$A79)=1),1,0))</f>
        <v/>
      </c>
      <c r="P79" s="41" t="str">
        <f aca="false">IF(O79=1,SUM($O$5:O79),"")</f>
        <v/>
      </c>
    </row>
    <row r="80" customFormat="false" ht="15" hidden="false" customHeight="false" outlineLevel="0" collapsed="false">
      <c r="A80" s="35"/>
      <c r="B80" s="36" t="str">
        <f aca="false">IF($A80="","",TRIM(SUBSTITUTE(SUBSTITUTE(SUBSTITUTE(SUBSTITUTE(SUBSTITUTE(SUBSTITUTE(UPPER(IFERROR(INDEX('Base de Personas'!$C7:C21,MATCH($A80,'Base de Personas'!$B7:B21,0)),IFERROR(INDEX($B$5:B79,MATCH($A80,$A$5:A79,0)),""))),"Á","A"),"É","E"),"Í","I"),"Ó","O"),"Ú","U"),"Ü","U")))</f>
        <v/>
      </c>
      <c r="C80" s="37" t="str">
        <f aca="false">IF($A80="","",TRIM(SUBSTITUTE(SUBSTITUTE(SUBSTITUTE(SUBSTITUTE(SUBSTITUTE(SUBSTITUTE(UPPER(IFERROR(INDEX('Base de Personas'!$D7:D21,MATCH($A80,'Base de Personas'!$B7:B21,0)),IFERROR(INDEX($C$5:C79,MATCH($A80,$A$5:A79,0)),""))),"Á","A"),"É","E"),"Í","I"),"Ó","O"),"Ú","U"),"Ü","U")))</f>
        <v/>
      </c>
      <c r="D80" s="36" t="str">
        <f aca="false">IF($A80="","",TRIM(SUBSTITUTE(SUBSTITUTE(SUBSTITUTE(SUBSTITUTE(SUBSTITUTE(SUBSTITUTE(UPPER(IFERROR(INDEX('Base de Personas'!$E7:E21,MATCH($A80,'Base de Personas'!$B7:B21,0)),IFERROR(INDEX($D$5:D79,MATCH($A80,$A$5:A79,0)),""))),"Á","A"),"É","E"),"Í","I"),"Ó","O"),"Ú","U"),"Ü","U")))</f>
        <v/>
      </c>
      <c r="E80" s="36" t="str">
        <f aca="false">IF($A80="","",TRIM(SUBSTITUTE(SUBSTITUTE(SUBSTITUTE(SUBSTITUTE(SUBSTITUTE(SUBSTITUTE(UPPER(IFERROR(INDEX('Base de Personas'!$F7:F21,MATCH($A80,'Base de Personas'!$B7:B21,0)),IFERROR(INDEX($E$5:E79,MATCH($A80,$A$5:A79,0)),""))),"Á","A"),"É","E"),"Í","I"),"Ó","O"),"Ú","U"),"Ü","U")))</f>
        <v/>
      </c>
      <c r="F80" s="36" t="str">
        <f aca="false">IF($A80="","",TRIM(SUBSTITUTE(SUBSTITUTE(SUBSTITUTE(SUBSTITUTE(SUBSTITUTE(SUBSTITUTE(UPPER(IFERROR(INDEX('Base de Personas'!$G7:G21,MATCH($A80,'Base de Personas'!$B7:B21,0)),IFERROR(INDEX($F$5:F79,MATCH($A80,$A$5:A79,0)),""))),"Á","A"),"É","E"),"Í","I"),"Ó","O"),"Ú","U"),"Ü","U")))</f>
        <v/>
      </c>
      <c r="G80" s="37" t="str">
        <f aca="false">IF($A80="","",TRIM(SUBSTITUTE(SUBSTITUTE(SUBSTITUTE(SUBSTITUTE(SUBSTITUTE(SUBSTITUTE(UPPER(IFERROR(INDEX('Base de Personas'!$H7:H21,MATCH($A80,'Base de Personas'!$B7:B21,0)),IFERROR(INDEX($G$5:G79,MATCH($A80,$A$5:A79,0)),""))),"Á","A"),"É","E"),"Í","I"),"Ó","O"),"Ú","U"),"Ü","U")))</f>
        <v/>
      </c>
      <c r="H80" s="38" t="str">
        <f aca="false">IF($A80="","",IFERROR(INDEX('Base de Personas'!$I$7:$I$21,MATCH($A80,'Base de Personas'!$B$7:$B$21,0)),IFERROR(INDEX($H$5:H79,MATCH($A80,$A$5:A79,0)),"")))</f>
        <v/>
      </c>
      <c r="I80" s="39"/>
      <c r="J80" s="40"/>
      <c r="K80" s="40"/>
      <c r="L80" s="39"/>
      <c r="M80" s="41" t="str">
        <f aca="false">IF($A80="","",IF(K80=_xlfn.MAXIFS($K$5:$K$304,$A$5:$A$304,$A80),1,0))</f>
        <v/>
      </c>
      <c r="N80" s="41" t="str">
        <f aca="false">IF($A80="","",IF(M80=1,$A80&amp;"-ACT",""))</f>
        <v/>
      </c>
      <c r="O80" s="41" t="str">
        <f aca="false">IF($A80="","",IF(AND(COUNTIF('Base de Personas'!$B$7:$B$21,$A80)=0,COUNTIF($A$5:A80,$A80)=1),1,0))</f>
        <v/>
      </c>
      <c r="P80" s="41" t="str">
        <f aca="false">IF(O80=1,SUM($O$5:O80),"")</f>
        <v/>
      </c>
    </row>
    <row r="81" customFormat="false" ht="15" hidden="false" customHeight="false" outlineLevel="0" collapsed="false">
      <c r="A81" s="35"/>
      <c r="B81" s="36" t="str">
        <f aca="false">IF($A81="","",TRIM(SUBSTITUTE(SUBSTITUTE(SUBSTITUTE(SUBSTITUTE(SUBSTITUTE(SUBSTITUTE(UPPER(IFERROR(INDEX('Base de Personas'!$C7:C21,MATCH($A81,'Base de Personas'!$B7:B21,0)),IFERROR(INDEX($B$5:B80,MATCH($A81,$A$5:A80,0)),""))),"Á","A"),"É","E"),"Í","I"),"Ó","O"),"Ú","U"),"Ü","U")))</f>
        <v/>
      </c>
      <c r="C81" s="37" t="str">
        <f aca="false">IF($A81="","",TRIM(SUBSTITUTE(SUBSTITUTE(SUBSTITUTE(SUBSTITUTE(SUBSTITUTE(SUBSTITUTE(UPPER(IFERROR(INDEX('Base de Personas'!$D7:D21,MATCH($A81,'Base de Personas'!$B7:B21,0)),IFERROR(INDEX($C$5:C80,MATCH($A81,$A$5:A80,0)),""))),"Á","A"),"É","E"),"Í","I"),"Ó","O"),"Ú","U"),"Ü","U")))</f>
        <v/>
      </c>
      <c r="D81" s="36" t="str">
        <f aca="false">IF($A81="","",TRIM(SUBSTITUTE(SUBSTITUTE(SUBSTITUTE(SUBSTITUTE(SUBSTITUTE(SUBSTITUTE(UPPER(IFERROR(INDEX('Base de Personas'!$E7:E21,MATCH($A81,'Base de Personas'!$B7:B21,0)),IFERROR(INDEX($D$5:D80,MATCH($A81,$A$5:A80,0)),""))),"Á","A"),"É","E"),"Í","I"),"Ó","O"),"Ú","U"),"Ü","U")))</f>
        <v/>
      </c>
      <c r="E81" s="36" t="str">
        <f aca="false">IF($A81="","",TRIM(SUBSTITUTE(SUBSTITUTE(SUBSTITUTE(SUBSTITUTE(SUBSTITUTE(SUBSTITUTE(UPPER(IFERROR(INDEX('Base de Personas'!$F7:F21,MATCH($A81,'Base de Personas'!$B7:B21,0)),IFERROR(INDEX($E$5:E80,MATCH($A81,$A$5:A80,0)),""))),"Á","A"),"É","E"),"Í","I"),"Ó","O"),"Ú","U"),"Ü","U")))</f>
        <v/>
      </c>
      <c r="F81" s="36" t="str">
        <f aca="false">IF($A81="","",TRIM(SUBSTITUTE(SUBSTITUTE(SUBSTITUTE(SUBSTITUTE(SUBSTITUTE(SUBSTITUTE(UPPER(IFERROR(INDEX('Base de Personas'!$G7:G21,MATCH($A81,'Base de Personas'!$B7:B21,0)),IFERROR(INDEX($F$5:F80,MATCH($A81,$A$5:A80,0)),""))),"Á","A"),"É","E"),"Í","I"),"Ó","O"),"Ú","U"),"Ü","U")))</f>
        <v/>
      </c>
      <c r="G81" s="37" t="str">
        <f aca="false">IF($A81="","",TRIM(SUBSTITUTE(SUBSTITUTE(SUBSTITUTE(SUBSTITUTE(SUBSTITUTE(SUBSTITUTE(UPPER(IFERROR(INDEX('Base de Personas'!$H7:H21,MATCH($A81,'Base de Personas'!$B7:B21,0)),IFERROR(INDEX($G$5:G80,MATCH($A81,$A$5:A80,0)),""))),"Á","A"),"É","E"),"Í","I"),"Ó","O"),"Ú","U"),"Ü","U")))</f>
        <v/>
      </c>
      <c r="H81" s="38" t="str">
        <f aca="false">IF($A81="","",IFERROR(INDEX('Base de Personas'!$I$7:$I$21,MATCH($A81,'Base de Personas'!$B$7:$B$21,0)),IFERROR(INDEX($H$5:H80,MATCH($A81,$A$5:A80,0)),"")))</f>
        <v/>
      </c>
      <c r="I81" s="39"/>
      <c r="J81" s="40"/>
      <c r="K81" s="40"/>
      <c r="L81" s="39"/>
      <c r="M81" s="41" t="str">
        <f aca="false">IF($A81="","",IF(K81=_xlfn.MAXIFS($K$5:$K$304,$A$5:$A$304,$A81),1,0))</f>
        <v/>
      </c>
      <c r="N81" s="41" t="str">
        <f aca="false">IF($A81="","",IF(M81=1,$A81&amp;"-ACT",""))</f>
        <v/>
      </c>
      <c r="O81" s="41" t="str">
        <f aca="false">IF($A81="","",IF(AND(COUNTIF('Base de Personas'!$B$7:$B$21,$A81)=0,COUNTIF($A$5:A81,$A81)=1),1,0))</f>
        <v/>
      </c>
      <c r="P81" s="41" t="str">
        <f aca="false">IF(O81=1,SUM($O$5:O81),"")</f>
        <v/>
      </c>
    </row>
    <row r="82" customFormat="false" ht="15" hidden="false" customHeight="false" outlineLevel="0" collapsed="false">
      <c r="A82" s="35"/>
      <c r="B82" s="36" t="str">
        <f aca="false">IF($A82="","",TRIM(SUBSTITUTE(SUBSTITUTE(SUBSTITUTE(SUBSTITUTE(SUBSTITUTE(SUBSTITUTE(UPPER(IFERROR(INDEX('Base de Personas'!$C7:C21,MATCH($A82,'Base de Personas'!$B7:B21,0)),IFERROR(INDEX($B$5:B81,MATCH($A82,$A$5:A81,0)),""))),"Á","A"),"É","E"),"Í","I"),"Ó","O"),"Ú","U"),"Ü","U")))</f>
        <v/>
      </c>
      <c r="C82" s="37" t="str">
        <f aca="false">IF($A82="","",TRIM(SUBSTITUTE(SUBSTITUTE(SUBSTITUTE(SUBSTITUTE(SUBSTITUTE(SUBSTITUTE(UPPER(IFERROR(INDEX('Base de Personas'!$D7:D21,MATCH($A82,'Base de Personas'!$B7:B21,0)),IFERROR(INDEX($C$5:C81,MATCH($A82,$A$5:A81,0)),""))),"Á","A"),"É","E"),"Í","I"),"Ó","O"),"Ú","U"),"Ü","U")))</f>
        <v/>
      </c>
      <c r="D82" s="36" t="str">
        <f aca="false">IF($A82="","",TRIM(SUBSTITUTE(SUBSTITUTE(SUBSTITUTE(SUBSTITUTE(SUBSTITUTE(SUBSTITUTE(UPPER(IFERROR(INDEX('Base de Personas'!$E7:E21,MATCH($A82,'Base de Personas'!$B7:B21,0)),IFERROR(INDEX($D$5:D81,MATCH($A82,$A$5:A81,0)),""))),"Á","A"),"É","E"),"Í","I"),"Ó","O"),"Ú","U"),"Ü","U")))</f>
        <v/>
      </c>
      <c r="E82" s="36" t="str">
        <f aca="false">IF($A82="","",TRIM(SUBSTITUTE(SUBSTITUTE(SUBSTITUTE(SUBSTITUTE(SUBSTITUTE(SUBSTITUTE(UPPER(IFERROR(INDEX('Base de Personas'!$F7:F21,MATCH($A82,'Base de Personas'!$B7:B21,0)),IFERROR(INDEX($E$5:E81,MATCH($A82,$A$5:A81,0)),""))),"Á","A"),"É","E"),"Í","I"),"Ó","O"),"Ú","U"),"Ü","U")))</f>
        <v/>
      </c>
      <c r="F82" s="36" t="str">
        <f aca="false">IF($A82="","",TRIM(SUBSTITUTE(SUBSTITUTE(SUBSTITUTE(SUBSTITUTE(SUBSTITUTE(SUBSTITUTE(UPPER(IFERROR(INDEX('Base de Personas'!$G7:G21,MATCH($A82,'Base de Personas'!$B7:B21,0)),IFERROR(INDEX($F$5:F81,MATCH($A82,$A$5:A81,0)),""))),"Á","A"),"É","E"),"Í","I"),"Ó","O"),"Ú","U"),"Ü","U")))</f>
        <v/>
      </c>
      <c r="G82" s="37" t="str">
        <f aca="false">IF($A82="","",TRIM(SUBSTITUTE(SUBSTITUTE(SUBSTITUTE(SUBSTITUTE(SUBSTITUTE(SUBSTITUTE(UPPER(IFERROR(INDEX('Base de Personas'!$H7:H21,MATCH($A82,'Base de Personas'!$B7:B21,0)),IFERROR(INDEX($G$5:G81,MATCH($A82,$A$5:A81,0)),""))),"Á","A"),"É","E"),"Í","I"),"Ó","O"),"Ú","U"),"Ü","U")))</f>
        <v/>
      </c>
      <c r="H82" s="38" t="str">
        <f aca="false">IF($A82="","",IFERROR(INDEX('Base de Personas'!$I$7:$I$21,MATCH($A82,'Base de Personas'!$B$7:$B$21,0)),IFERROR(INDEX($H$5:H81,MATCH($A82,$A$5:A81,0)),"")))</f>
        <v/>
      </c>
      <c r="I82" s="39"/>
      <c r="J82" s="40"/>
      <c r="K82" s="40"/>
      <c r="L82" s="39"/>
      <c r="M82" s="41" t="str">
        <f aca="false">IF($A82="","",IF(K82=_xlfn.MAXIFS($K$5:$K$304,$A$5:$A$304,$A82),1,0))</f>
        <v/>
      </c>
      <c r="N82" s="41" t="str">
        <f aca="false">IF($A82="","",IF(M82=1,$A82&amp;"-ACT",""))</f>
        <v/>
      </c>
      <c r="O82" s="41" t="str">
        <f aca="false">IF($A82="","",IF(AND(COUNTIF('Base de Personas'!$B$7:$B$21,$A82)=0,COUNTIF($A$5:A82,$A82)=1),1,0))</f>
        <v/>
      </c>
      <c r="P82" s="41" t="str">
        <f aca="false">IF(O82=1,SUM($O$5:O82),"")</f>
        <v/>
      </c>
    </row>
    <row r="83" customFormat="false" ht="15" hidden="false" customHeight="false" outlineLevel="0" collapsed="false">
      <c r="A83" s="35"/>
      <c r="B83" s="36" t="str">
        <f aca="false">IF($A83="","",TRIM(SUBSTITUTE(SUBSTITUTE(SUBSTITUTE(SUBSTITUTE(SUBSTITUTE(SUBSTITUTE(UPPER(IFERROR(INDEX('Base de Personas'!$C7:C21,MATCH($A83,'Base de Personas'!$B7:B21,0)),IFERROR(INDEX($B$5:B82,MATCH($A83,$A$5:A82,0)),""))),"Á","A"),"É","E"),"Í","I"),"Ó","O"),"Ú","U"),"Ü","U")))</f>
        <v/>
      </c>
      <c r="C83" s="37" t="str">
        <f aca="false">IF($A83="","",TRIM(SUBSTITUTE(SUBSTITUTE(SUBSTITUTE(SUBSTITUTE(SUBSTITUTE(SUBSTITUTE(UPPER(IFERROR(INDEX('Base de Personas'!$D7:D21,MATCH($A83,'Base de Personas'!$B7:B21,0)),IFERROR(INDEX($C$5:C82,MATCH($A83,$A$5:A82,0)),""))),"Á","A"),"É","E"),"Í","I"),"Ó","O"),"Ú","U"),"Ü","U")))</f>
        <v/>
      </c>
      <c r="D83" s="36" t="str">
        <f aca="false">IF($A83="","",TRIM(SUBSTITUTE(SUBSTITUTE(SUBSTITUTE(SUBSTITUTE(SUBSTITUTE(SUBSTITUTE(UPPER(IFERROR(INDEX('Base de Personas'!$E7:E21,MATCH($A83,'Base de Personas'!$B7:B21,0)),IFERROR(INDEX($D$5:D82,MATCH($A83,$A$5:A82,0)),""))),"Á","A"),"É","E"),"Í","I"),"Ó","O"),"Ú","U"),"Ü","U")))</f>
        <v/>
      </c>
      <c r="E83" s="36" t="str">
        <f aca="false">IF($A83="","",TRIM(SUBSTITUTE(SUBSTITUTE(SUBSTITUTE(SUBSTITUTE(SUBSTITUTE(SUBSTITUTE(UPPER(IFERROR(INDEX('Base de Personas'!$F7:F21,MATCH($A83,'Base de Personas'!$B7:B21,0)),IFERROR(INDEX($E$5:E82,MATCH($A83,$A$5:A82,0)),""))),"Á","A"),"É","E"),"Í","I"),"Ó","O"),"Ú","U"),"Ü","U")))</f>
        <v/>
      </c>
      <c r="F83" s="36" t="str">
        <f aca="false">IF($A83="","",TRIM(SUBSTITUTE(SUBSTITUTE(SUBSTITUTE(SUBSTITUTE(SUBSTITUTE(SUBSTITUTE(UPPER(IFERROR(INDEX('Base de Personas'!$G7:G21,MATCH($A83,'Base de Personas'!$B7:B21,0)),IFERROR(INDEX($F$5:F82,MATCH($A83,$A$5:A82,0)),""))),"Á","A"),"É","E"),"Í","I"),"Ó","O"),"Ú","U"),"Ü","U")))</f>
        <v/>
      </c>
      <c r="G83" s="37" t="str">
        <f aca="false">IF($A83="","",TRIM(SUBSTITUTE(SUBSTITUTE(SUBSTITUTE(SUBSTITUTE(SUBSTITUTE(SUBSTITUTE(UPPER(IFERROR(INDEX('Base de Personas'!$H7:H21,MATCH($A83,'Base de Personas'!$B7:B21,0)),IFERROR(INDEX($G$5:G82,MATCH($A83,$A$5:A82,0)),""))),"Á","A"),"É","E"),"Í","I"),"Ó","O"),"Ú","U"),"Ü","U")))</f>
        <v/>
      </c>
      <c r="H83" s="38" t="str">
        <f aca="false">IF($A83="","",IFERROR(INDEX('Base de Personas'!$I$7:$I$21,MATCH($A83,'Base de Personas'!$B$7:$B$21,0)),IFERROR(INDEX($H$5:H82,MATCH($A83,$A$5:A82,0)),"")))</f>
        <v/>
      </c>
      <c r="I83" s="39"/>
      <c r="J83" s="40"/>
      <c r="K83" s="40"/>
      <c r="L83" s="39"/>
      <c r="M83" s="41" t="str">
        <f aca="false">IF($A83="","",IF(K83=_xlfn.MAXIFS($K$5:$K$304,$A$5:$A$304,$A83),1,0))</f>
        <v/>
      </c>
      <c r="N83" s="41" t="str">
        <f aca="false">IF($A83="","",IF(M83=1,$A83&amp;"-ACT",""))</f>
        <v/>
      </c>
      <c r="O83" s="41" t="str">
        <f aca="false">IF($A83="","",IF(AND(COUNTIF('Base de Personas'!$B$7:$B$21,$A83)=0,COUNTIF($A$5:A83,$A83)=1),1,0))</f>
        <v/>
      </c>
      <c r="P83" s="41" t="str">
        <f aca="false">IF(O83=1,SUM($O$5:O83),"")</f>
        <v/>
      </c>
    </row>
    <row r="84" customFormat="false" ht="15" hidden="false" customHeight="false" outlineLevel="0" collapsed="false">
      <c r="A84" s="35"/>
      <c r="B84" s="36" t="str">
        <f aca="false">IF($A84="","",TRIM(SUBSTITUTE(SUBSTITUTE(SUBSTITUTE(SUBSTITUTE(SUBSTITUTE(SUBSTITUTE(UPPER(IFERROR(INDEX('Base de Personas'!$C7:C21,MATCH($A84,'Base de Personas'!$B7:B21,0)),IFERROR(INDEX($B$5:B83,MATCH($A84,$A$5:A83,0)),""))),"Á","A"),"É","E"),"Í","I"),"Ó","O"),"Ú","U"),"Ü","U")))</f>
        <v/>
      </c>
      <c r="C84" s="37" t="str">
        <f aca="false">IF($A84="","",TRIM(SUBSTITUTE(SUBSTITUTE(SUBSTITUTE(SUBSTITUTE(SUBSTITUTE(SUBSTITUTE(UPPER(IFERROR(INDEX('Base de Personas'!$D7:D21,MATCH($A84,'Base de Personas'!$B7:B21,0)),IFERROR(INDEX($C$5:C83,MATCH($A84,$A$5:A83,0)),""))),"Á","A"),"É","E"),"Í","I"),"Ó","O"),"Ú","U"),"Ü","U")))</f>
        <v/>
      </c>
      <c r="D84" s="36" t="str">
        <f aca="false">IF($A84="","",TRIM(SUBSTITUTE(SUBSTITUTE(SUBSTITUTE(SUBSTITUTE(SUBSTITUTE(SUBSTITUTE(UPPER(IFERROR(INDEX('Base de Personas'!$E7:E21,MATCH($A84,'Base de Personas'!$B7:B21,0)),IFERROR(INDEX($D$5:D83,MATCH($A84,$A$5:A83,0)),""))),"Á","A"),"É","E"),"Í","I"),"Ó","O"),"Ú","U"),"Ü","U")))</f>
        <v/>
      </c>
      <c r="E84" s="36" t="str">
        <f aca="false">IF($A84="","",TRIM(SUBSTITUTE(SUBSTITUTE(SUBSTITUTE(SUBSTITUTE(SUBSTITUTE(SUBSTITUTE(UPPER(IFERROR(INDEX('Base de Personas'!$F7:F21,MATCH($A84,'Base de Personas'!$B7:B21,0)),IFERROR(INDEX($E$5:E83,MATCH($A84,$A$5:A83,0)),""))),"Á","A"),"É","E"),"Í","I"),"Ó","O"),"Ú","U"),"Ü","U")))</f>
        <v/>
      </c>
      <c r="F84" s="36" t="str">
        <f aca="false">IF($A84="","",TRIM(SUBSTITUTE(SUBSTITUTE(SUBSTITUTE(SUBSTITUTE(SUBSTITUTE(SUBSTITUTE(UPPER(IFERROR(INDEX('Base de Personas'!$G7:G21,MATCH($A84,'Base de Personas'!$B7:B21,0)),IFERROR(INDEX($F$5:F83,MATCH($A84,$A$5:A83,0)),""))),"Á","A"),"É","E"),"Í","I"),"Ó","O"),"Ú","U"),"Ü","U")))</f>
        <v/>
      </c>
      <c r="G84" s="37" t="str">
        <f aca="false">IF($A84="","",TRIM(SUBSTITUTE(SUBSTITUTE(SUBSTITUTE(SUBSTITUTE(SUBSTITUTE(SUBSTITUTE(UPPER(IFERROR(INDEX('Base de Personas'!$H7:H21,MATCH($A84,'Base de Personas'!$B7:B21,0)),IFERROR(INDEX($G$5:G83,MATCH($A84,$A$5:A83,0)),""))),"Á","A"),"É","E"),"Í","I"),"Ó","O"),"Ú","U"),"Ü","U")))</f>
        <v/>
      </c>
      <c r="H84" s="38" t="str">
        <f aca="false">IF($A84="","",IFERROR(INDEX('Base de Personas'!$I$7:$I$21,MATCH($A84,'Base de Personas'!$B$7:$B$21,0)),IFERROR(INDEX($H$5:H83,MATCH($A84,$A$5:A83,0)),"")))</f>
        <v/>
      </c>
      <c r="I84" s="39"/>
      <c r="J84" s="40"/>
      <c r="K84" s="40"/>
      <c r="L84" s="39"/>
      <c r="M84" s="41" t="str">
        <f aca="false">IF($A84="","",IF(K84=_xlfn.MAXIFS($K$5:$K$304,$A$5:$A$304,$A84),1,0))</f>
        <v/>
      </c>
      <c r="N84" s="41" t="str">
        <f aca="false">IF($A84="","",IF(M84=1,$A84&amp;"-ACT",""))</f>
        <v/>
      </c>
      <c r="O84" s="41" t="str">
        <f aca="false">IF($A84="","",IF(AND(COUNTIF('Base de Personas'!$B$7:$B$21,$A84)=0,COUNTIF($A$5:A84,$A84)=1),1,0))</f>
        <v/>
      </c>
      <c r="P84" s="41" t="str">
        <f aca="false">IF(O84=1,SUM($O$5:O84),"")</f>
        <v/>
      </c>
    </row>
    <row r="85" customFormat="false" ht="15" hidden="false" customHeight="false" outlineLevel="0" collapsed="false">
      <c r="A85" s="35"/>
      <c r="B85" s="36" t="str">
        <f aca="false">IF($A85="","",TRIM(SUBSTITUTE(SUBSTITUTE(SUBSTITUTE(SUBSTITUTE(SUBSTITUTE(SUBSTITUTE(UPPER(IFERROR(INDEX('Base de Personas'!$C7:C21,MATCH($A85,'Base de Personas'!$B7:B21,0)),IFERROR(INDEX($B$5:B84,MATCH($A85,$A$5:A84,0)),""))),"Á","A"),"É","E"),"Í","I"),"Ó","O"),"Ú","U"),"Ü","U")))</f>
        <v/>
      </c>
      <c r="C85" s="37" t="str">
        <f aca="false">IF($A85="","",TRIM(SUBSTITUTE(SUBSTITUTE(SUBSTITUTE(SUBSTITUTE(SUBSTITUTE(SUBSTITUTE(UPPER(IFERROR(INDEX('Base de Personas'!$D7:D21,MATCH($A85,'Base de Personas'!$B7:B21,0)),IFERROR(INDEX($C$5:C84,MATCH($A85,$A$5:A84,0)),""))),"Á","A"),"É","E"),"Í","I"),"Ó","O"),"Ú","U"),"Ü","U")))</f>
        <v/>
      </c>
      <c r="D85" s="36" t="str">
        <f aca="false">IF($A85="","",TRIM(SUBSTITUTE(SUBSTITUTE(SUBSTITUTE(SUBSTITUTE(SUBSTITUTE(SUBSTITUTE(UPPER(IFERROR(INDEX('Base de Personas'!$E7:E21,MATCH($A85,'Base de Personas'!$B7:B21,0)),IFERROR(INDEX($D$5:D84,MATCH($A85,$A$5:A84,0)),""))),"Á","A"),"É","E"),"Í","I"),"Ó","O"),"Ú","U"),"Ü","U")))</f>
        <v/>
      </c>
      <c r="E85" s="36" t="str">
        <f aca="false">IF($A85="","",TRIM(SUBSTITUTE(SUBSTITUTE(SUBSTITUTE(SUBSTITUTE(SUBSTITUTE(SUBSTITUTE(UPPER(IFERROR(INDEX('Base de Personas'!$F7:F21,MATCH($A85,'Base de Personas'!$B7:B21,0)),IFERROR(INDEX($E$5:E84,MATCH($A85,$A$5:A84,0)),""))),"Á","A"),"É","E"),"Í","I"),"Ó","O"),"Ú","U"),"Ü","U")))</f>
        <v/>
      </c>
      <c r="F85" s="36" t="str">
        <f aca="false">IF($A85="","",TRIM(SUBSTITUTE(SUBSTITUTE(SUBSTITUTE(SUBSTITUTE(SUBSTITUTE(SUBSTITUTE(UPPER(IFERROR(INDEX('Base de Personas'!$G7:G21,MATCH($A85,'Base de Personas'!$B7:B21,0)),IFERROR(INDEX($F$5:F84,MATCH($A85,$A$5:A84,0)),""))),"Á","A"),"É","E"),"Í","I"),"Ó","O"),"Ú","U"),"Ü","U")))</f>
        <v/>
      </c>
      <c r="G85" s="37" t="str">
        <f aca="false">IF($A85="","",TRIM(SUBSTITUTE(SUBSTITUTE(SUBSTITUTE(SUBSTITUTE(SUBSTITUTE(SUBSTITUTE(UPPER(IFERROR(INDEX('Base de Personas'!$H7:H21,MATCH($A85,'Base de Personas'!$B7:B21,0)),IFERROR(INDEX($G$5:G84,MATCH($A85,$A$5:A84,0)),""))),"Á","A"),"É","E"),"Í","I"),"Ó","O"),"Ú","U"),"Ü","U")))</f>
        <v/>
      </c>
      <c r="H85" s="38" t="str">
        <f aca="false">IF($A85="","",IFERROR(INDEX('Base de Personas'!$I$7:$I$21,MATCH($A85,'Base de Personas'!$B$7:$B$21,0)),IFERROR(INDEX($H$5:H84,MATCH($A85,$A$5:A84,0)),"")))</f>
        <v/>
      </c>
      <c r="I85" s="39"/>
      <c r="J85" s="40"/>
      <c r="K85" s="40"/>
      <c r="L85" s="39"/>
      <c r="M85" s="41" t="str">
        <f aca="false">IF($A85="","",IF(K85=_xlfn.MAXIFS($K$5:$K$304,$A$5:$A$304,$A85),1,0))</f>
        <v/>
      </c>
      <c r="N85" s="41" t="str">
        <f aca="false">IF($A85="","",IF(M85=1,$A85&amp;"-ACT",""))</f>
        <v/>
      </c>
      <c r="O85" s="41" t="str">
        <f aca="false">IF($A85="","",IF(AND(COUNTIF('Base de Personas'!$B$7:$B$21,$A85)=0,COUNTIF($A$5:A85,$A85)=1),1,0))</f>
        <v/>
      </c>
      <c r="P85" s="41" t="str">
        <f aca="false">IF(O85=1,SUM($O$5:O85),"")</f>
        <v/>
      </c>
    </row>
    <row r="86" customFormat="false" ht="15" hidden="false" customHeight="false" outlineLevel="0" collapsed="false">
      <c r="A86" s="35"/>
      <c r="B86" s="36" t="str">
        <f aca="false">IF($A86="","",TRIM(SUBSTITUTE(SUBSTITUTE(SUBSTITUTE(SUBSTITUTE(SUBSTITUTE(SUBSTITUTE(UPPER(IFERROR(INDEX('Base de Personas'!$C7:C21,MATCH($A86,'Base de Personas'!$B7:B21,0)),IFERROR(INDEX($B$5:B85,MATCH($A86,$A$5:A85,0)),""))),"Á","A"),"É","E"),"Í","I"),"Ó","O"),"Ú","U"),"Ü","U")))</f>
        <v/>
      </c>
      <c r="C86" s="37" t="str">
        <f aca="false">IF($A86="","",TRIM(SUBSTITUTE(SUBSTITUTE(SUBSTITUTE(SUBSTITUTE(SUBSTITUTE(SUBSTITUTE(UPPER(IFERROR(INDEX('Base de Personas'!$D7:D21,MATCH($A86,'Base de Personas'!$B7:B21,0)),IFERROR(INDEX($C$5:C85,MATCH($A86,$A$5:A85,0)),""))),"Á","A"),"É","E"),"Í","I"),"Ó","O"),"Ú","U"),"Ü","U")))</f>
        <v/>
      </c>
      <c r="D86" s="36" t="str">
        <f aca="false">IF($A86="","",TRIM(SUBSTITUTE(SUBSTITUTE(SUBSTITUTE(SUBSTITUTE(SUBSTITUTE(SUBSTITUTE(UPPER(IFERROR(INDEX('Base de Personas'!$E7:E21,MATCH($A86,'Base de Personas'!$B7:B21,0)),IFERROR(INDEX($D$5:D85,MATCH($A86,$A$5:A85,0)),""))),"Á","A"),"É","E"),"Í","I"),"Ó","O"),"Ú","U"),"Ü","U")))</f>
        <v/>
      </c>
      <c r="E86" s="36" t="str">
        <f aca="false">IF($A86="","",TRIM(SUBSTITUTE(SUBSTITUTE(SUBSTITUTE(SUBSTITUTE(SUBSTITUTE(SUBSTITUTE(UPPER(IFERROR(INDEX('Base de Personas'!$F7:F21,MATCH($A86,'Base de Personas'!$B7:B21,0)),IFERROR(INDEX($E$5:E85,MATCH($A86,$A$5:A85,0)),""))),"Á","A"),"É","E"),"Í","I"),"Ó","O"),"Ú","U"),"Ü","U")))</f>
        <v/>
      </c>
      <c r="F86" s="36" t="str">
        <f aca="false">IF($A86="","",TRIM(SUBSTITUTE(SUBSTITUTE(SUBSTITUTE(SUBSTITUTE(SUBSTITUTE(SUBSTITUTE(UPPER(IFERROR(INDEX('Base de Personas'!$G7:G21,MATCH($A86,'Base de Personas'!$B7:B21,0)),IFERROR(INDEX($F$5:F85,MATCH($A86,$A$5:A85,0)),""))),"Á","A"),"É","E"),"Í","I"),"Ó","O"),"Ú","U"),"Ü","U")))</f>
        <v/>
      </c>
      <c r="G86" s="37" t="str">
        <f aca="false">IF($A86="","",TRIM(SUBSTITUTE(SUBSTITUTE(SUBSTITUTE(SUBSTITUTE(SUBSTITUTE(SUBSTITUTE(UPPER(IFERROR(INDEX('Base de Personas'!$H7:H21,MATCH($A86,'Base de Personas'!$B7:B21,0)),IFERROR(INDEX($G$5:G85,MATCH($A86,$A$5:A85,0)),""))),"Á","A"),"É","E"),"Í","I"),"Ó","O"),"Ú","U"),"Ü","U")))</f>
        <v/>
      </c>
      <c r="H86" s="38" t="str">
        <f aca="false">IF($A86="","",IFERROR(INDEX('Base de Personas'!$I$7:$I$21,MATCH($A86,'Base de Personas'!$B$7:$B$21,0)),IFERROR(INDEX($H$5:H85,MATCH($A86,$A$5:A85,0)),"")))</f>
        <v/>
      </c>
      <c r="I86" s="39"/>
      <c r="J86" s="40"/>
      <c r="K86" s="40"/>
      <c r="L86" s="39"/>
      <c r="M86" s="41" t="str">
        <f aca="false">IF($A86="","",IF(K86=_xlfn.MAXIFS($K$5:$K$304,$A$5:$A$304,$A86),1,0))</f>
        <v/>
      </c>
      <c r="N86" s="41" t="str">
        <f aca="false">IF($A86="","",IF(M86=1,$A86&amp;"-ACT",""))</f>
        <v/>
      </c>
      <c r="O86" s="41" t="str">
        <f aca="false">IF($A86="","",IF(AND(COUNTIF('Base de Personas'!$B$7:$B$21,$A86)=0,COUNTIF($A$5:A86,$A86)=1),1,0))</f>
        <v/>
      </c>
      <c r="P86" s="41" t="str">
        <f aca="false">IF(O86=1,SUM($O$5:O86),"")</f>
        <v/>
      </c>
    </row>
    <row r="87" customFormat="false" ht="15" hidden="false" customHeight="false" outlineLevel="0" collapsed="false">
      <c r="A87" s="35"/>
      <c r="B87" s="36" t="str">
        <f aca="false">IF($A87="","",TRIM(SUBSTITUTE(SUBSTITUTE(SUBSTITUTE(SUBSTITUTE(SUBSTITUTE(SUBSTITUTE(UPPER(IFERROR(INDEX('Base de Personas'!$C7:C21,MATCH($A87,'Base de Personas'!$B7:B21,0)),IFERROR(INDEX($B$5:B86,MATCH($A87,$A$5:A86,0)),""))),"Á","A"),"É","E"),"Í","I"),"Ó","O"),"Ú","U"),"Ü","U")))</f>
        <v/>
      </c>
      <c r="C87" s="37" t="str">
        <f aca="false">IF($A87="","",TRIM(SUBSTITUTE(SUBSTITUTE(SUBSTITUTE(SUBSTITUTE(SUBSTITUTE(SUBSTITUTE(UPPER(IFERROR(INDEX('Base de Personas'!$D7:D21,MATCH($A87,'Base de Personas'!$B7:B21,0)),IFERROR(INDEX($C$5:C86,MATCH($A87,$A$5:A86,0)),""))),"Á","A"),"É","E"),"Í","I"),"Ó","O"),"Ú","U"),"Ü","U")))</f>
        <v/>
      </c>
      <c r="D87" s="36" t="str">
        <f aca="false">IF($A87="","",TRIM(SUBSTITUTE(SUBSTITUTE(SUBSTITUTE(SUBSTITUTE(SUBSTITUTE(SUBSTITUTE(UPPER(IFERROR(INDEX('Base de Personas'!$E7:E21,MATCH($A87,'Base de Personas'!$B7:B21,0)),IFERROR(INDEX($D$5:D86,MATCH($A87,$A$5:A86,0)),""))),"Á","A"),"É","E"),"Í","I"),"Ó","O"),"Ú","U"),"Ü","U")))</f>
        <v/>
      </c>
      <c r="E87" s="36" t="str">
        <f aca="false">IF($A87="","",TRIM(SUBSTITUTE(SUBSTITUTE(SUBSTITUTE(SUBSTITUTE(SUBSTITUTE(SUBSTITUTE(UPPER(IFERROR(INDEX('Base de Personas'!$F7:F21,MATCH($A87,'Base de Personas'!$B7:B21,0)),IFERROR(INDEX($E$5:E86,MATCH($A87,$A$5:A86,0)),""))),"Á","A"),"É","E"),"Í","I"),"Ó","O"),"Ú","U"),"Ü","U")))</f>
        <v/>
      </c>
      <c r="F87" s="36" t="str">
        <f aca="false">IF($A87="","",TRIM(SUBSTITUTE(SUBSTITUTE(SUBSTITUTE(SUBSTITUTE(SUBSTITUTE(SUBSTITUTE(UPPER(IFERROR(INDEX('Base de Personas'!$G7:G21,MATCH($A87,'Base de Personas'!$B7:B21,0)),IFERROR(INDEX($F$5:F86,MATCH($A87,$A$5:A86,0)),""))),"Á","A"),"É","E"),"Í","I"),"Ó","O"),"Ú","U"),"Ü","U")))</f>
        <v/>
      </c>
      <c r="G87" s="37" t="str">
        <f aca="false">IF($A87="","",TRIM(SUBSTITUTE(SUBSTITUTE(SUBSTITUTE(SUBSTITUTE(SUBSTITUTE(SUBSTITUTE(UPPER(IFERROR(INDEX('Base de Personas'!$H7:H21,MATCH($A87,'Base de Personas'!$B7:B21,0)),IFERROR(INDEX($G$5:G86,MATCH($A87,$A$5:A86,0)),""))),"Á","A"),"É","E"),"Í","I"),"Ó","O"),"Ú","U"),"Ü","U")))</f>
        <v/>
      </c>
      <c r="H87" s="38" t="str">
        <f aca="false">IF($A87="","",IFERROR(INDEX('Base de Personas'!$I$7:$I$21,MATCH($A87,'Base de Personas'!$B$7:$B$21,0)),IFERROR(INDEX($H$5:H86,MATCH($A87,$A$5:A86,0)),"")))</f>
        <v/>
      </c>
      <c r="I87" s="39"/>
      <c r="J87" s="40"/>
      <c r="K87" s="40"/>
      <c r="L87" s="39"/>
      <c r="M87" s="41" t="str">
        <f aca="false">IF($A87="","",IF(K87=_xlfn.MAXIFS($K$5:$K$304,$A$5:$A$304,$A87),1,0))</f>
        <v/>
      </c>
      <c r="N87" s="41" t="str">
        <f aca="false">IF($A87="","",IF(M87=1,$A87&amp;"-ACT",""))</f>
        <v/>
      </c>
      <c r="O87" s="41" t="str">
        <f aca="false">IF($A87="","",IF(AND(COUNTIF('Base de Personas'!$B$7:$B$21,$A87)=0,COUNTIF($A$5:A87,$A87)=1),1,0))</f>
        <v/>
      </c>
      <c r="P87" s="41" t="str">
        <f aca="false">IF(O87=1,SUM($O$5:O87),"")</f>
        <v/>
      </c>
    </row>
    <row r="88" customFormat="false" ht="15" hidden="false" customHeight="false" outlineLevel="0" collapsed="false">
      <c r="A88" s="35"/>
      <c r="B88" s="36" t="str">
        <f aca="false">IF($A88="","",TRIM(SUBSTITUTE(SUBSTITUTE(SUBSTITUTE(SUBSTITUTE(SUBSTITUTE(SUBSTITUTE(UPPER(IFERROR(INDEX('Base de Personas'!$C7:C21,MATCH($A88,'Base de Personas'!$B7:B21,0)),IFERROR(INDEX($B$5:B87,MATCH($A88,$A$5:A87,0)),""))),"Á","A"),"É","E"),"Í","I"),"Ó","O"),"Ú","U"),"Ü","U")))</f>
        <v/>
      </c>
      <c r="C88" s="37" t="str">
        <f aca="false">IF($A88="","",TRIM(SUBSTITUTE(SUBSTITUTE(SUBSTITUTE(SUBSTITUTE(SUBSTITUTE(SUBSTITUTE(UPPER(IFERROR(INDEX('Base de Personas'!$D7:D21,MATCH($A88,'Base de Personas'!$B7:B21,0)),IFERROR(INDEX($C$5:C87,MATCH($A88,$A$5:A87,0)),""))),"Á","A"),"É","E"),"Í","I"),"Ó","O"),"Ú","U"),"Ü","U")))</f>
        <v/>
      </c>
      <c r="D88" s="36" t="str">
        <f aca="false">IF($A88="","",TRIM(SUBSTITUTE(SUBSTITUTE(SUBSTITUTE(SUBSTITUTE(SUBSTITUTE(SUBSTITUTE(UPPER(IFERROR(INDEX('Base de Personas'!$E7:E21,MATCH($A88,'Base de Personas'!$B7:B21,0)),IFERROR(INDEX($D$5:D87,MATCH($A88,$A$5:A87,0)),""))),"Á","A"),"É","E"),"Í","I"),"Ó","O"),"Ú","U"),"Ü","U")))</f>
        <v/>
      </c>
      <c r="E88" s="36" t="str">
        <f aca="false">IF($A88="","",TRIM(SUBSTITUTE(SUBSTITUTE(SUBSTITUTE(SUBSTITUTE(SUBSTITUTE(SUBSTITUTE(UPPER(IFERROR(INDEX('Base de Personas'!$F7:F21,MATCH($A88,'Base de Personas'!$B7:B21,0)),IFERROR(INDEX($E$5:E87,MATCH($A88,$A$5:A87,0)),""))),"Á","A"),"É","E"),"Í","I"),"Ó","O"),"Ú","U"),"Ü","U")))</f>
        <v/>
      </c>
      <c r="F88" s="36" t="str">
        <f aca="false">IF($A88="","",TRIM(SUBSTITUTE(SUBSTITUTE(SUBSTITUTE(SUBSTITUTE(SUBSTITUTE(SUBSTITUTE(UPPER(IFERROR(INDEX('Base de Personas'!$G7:G21,MATCH($A88,'Base de Personas'!$B7:B21,0)),IFERROR(INDEX($F$5:F87,MATCH($A88,$A$5:A87,0)),""))),"Á","A"),"É","E"),"Í","I"),"Ó","O"),"Ú","U"),"Ü","U")))</f>
        <v/>
      </c>
      <c r="G88" s="37" t="str">
        <f aca="false">IF($A88="","",TRIM(SUBSTITUTE(SUBSTITUTE(SUBSTITUTE(SUBSTITUTE(SUBSTITUTE(SUBSTITUTE(UPPER(IFERROR(INDEX('Base de Personas'!$H7:H21,MATCH($A88,'Base de Personas'!$B7:B21,0)),IFERROR(INDEX($G$5:G87,MATCH($A88,$A$5:A87,0)),""))),"Á","A"),"É","E"),"Í","I"),"Ó","O"),"Ú","U"),"Ü","U")))</f>
        <v/>
      </c>
      <c r="H88" s="38" t="str">
        <f aca="false">IF($A88="","",IFERROR(INDEX('Base de Personas'!$I$7:$I$21,MATCH($A88,'Base de Personas'!$B$7:$B$21,0)),IFERROR(INDEX($H$5:H87,MATCH($A88,$A$5:A87,0)),"")))</f>
        <v/>
      </c>
      <c r="I88" s="39"/>
      <c r="J88" s="40"/>
      <c r="K88" s="40"/>
      <c r="L88" s="39"/>
      <c r="M88" s="41" t="str">
        <f aca="false">IF($A88="","",IF(K88=_xlfn.MAXIFS($K$5:$K$304,$A$5:$A$304,$A88),1,0))</f>
        <v/>
      </c>
      <c r="N88" s="41" t="str">
        <f aca="false">IF($A88="","",IF(M88=1,$A88&amp;"-ACT",""))</f>
        <v/>
      </c>
      <c r="O88" s="41" t="str">
        <f aca="false">IF($A88="","",IF(AND(COUNTIF('Base de Personas'!$B$7:$B$21,$A88)=0,COUNTIF($A$5:A88,$A88)=1),1,0))</f>
        <v/>
      </c>
      <c r="P88" s="41" t="str">
        <f aca="false">IF(O88=1,SUM($O$5:O88),"")</f>
        <v/>
      </c>
    </row>
    <row r="89" customFormat="false" ht="15" hidden="false" customHeight="false" outlineLevel="0" collapsed="false">
      <c r="A89" s="35"/>
      <c r="B89" s="36" t="str">
        <f aca="false">IF($A89="","",TRIM(SUBSTITUTE(SUBSTITUTE(SUBSTITUTE(SUBSTITUTE(SUBSTITUTE(SUBSTITUTE(UPPER(IFERROR(INDEX('Base de Personas'!$C7:C21,MATCH($A89,'Base de Personas'!$B7:B21,0)),IFERROR(INDEX($B$5:B88,MATCH($A89,$A$5:A88,0)),""))),"Á","A"),"É","E"),"Í","I"),"Ó","O"),"Ú","U"),"Ü","U")))</f>
        <v/>
      </c>
      <c r="C89" s="37" t="str">
        <f aca="false">IF($A89="","",TRIM(SUBSTITUTE(SUBSTITUTE(SUBSTITUTE(SUBSTITUTE(SUBSTITUTE(SUBSTITUTE(UPPER(IFERROR(INDEX('Base de Personas'!$D7:D21,MATCH($A89,'Base de Personas'!$B7:B21,0)),IFERROR(INDEX($C$5:C88,MATCH($A89,$A$5:A88,0)),""))),"Á","A"),"É","E"),"Í","I"),"Ó","O"),"Ú","U"),"Ü","U")))</f>
        <v/>
      </c>
      <c r="D89" s="36" t="str">
        <f aca="false">IF($A89="","",TRIM(SUBSTITUTE(SUBSTITUTE(SUBSTITUTE(SUBSTITUTE(SUBSTITUTE(SUBSTITUTE(UPPER(IFERROR(INDEX('Base de Personas'!$E7:E21,MATCH($A89,'Base de Personas'!$B7:B21,0)),IFERROR(INDEX($D$5:D88,MATCH($A89,$A$5:A88,0)),""))),"Á","A"),"É","E"),"Í","I"),"Ó","O"),"Ú","U"),"Ü","U")))</f>
        <v/>
      </c>
      <c r="E89" s="36" t="str">
        <f aca="false">IF($A89="","",TRIM(SUBSTITUTE(SUBSTITUTE(SUBSTITUTE(SUBSTITUTE(SUBSTITUTE(SUBSTITUTE(UPPER(IFERROR(INDEX('Base de Personas'!$F7:F21,MATCH($A89,'Base de Personas'!$B7:B21,0)),IFERROR(INDEX($E$5:E88,MATCH($A89,$A$5:A88,0)),""))),"Á","A"),"É","E"),"Í","I"),"Ó","O"),"Ú","U"),"Ü","U")))</f>
        <v/>
      </c>
      <c r="F89" s="36" t="str">
        <f aca="false">IF($A89="","",TRIM(SUBSTITUTE(SUBSTITUTE(SUBSTITUTE(SUBSTITUTE(SUBSTITUTE(SUBSTITUTE(UPPER(IFERROR(INDEX('Base de Personas'!$G7:G21,MATCH($A89,'Base de Personas'!$B7:B21,0)),IFERROR(INDEX($F$5:F88,MATCH($A89,$A$5:A88,0)),""))),"Á","A"),"É","E"),"Í","I"),"Ó","O"),"Ú","U"),"Ü","U")))</f>
        <v/>
      </c>
      <c r="G89" s="37" t="str">
        <f aca="false">IF($A89="","",TRIM(SUBSTITUTE(SUBSTITUTE(SUBSTITUTE(SUBSTITUTE(SUBSTITUTE(SUBSTITUTE(UPPER(IFERROR(INDEX('Base de Personas'!$H7:H21,MATCH($A89,'Base de Personas'!$B7:B21,0)),IFERROR(INDEX($G$5:G88,MATCH($A89,$A$5:A88,0)),""))),"Á","A"),"É","E"),"Í","I"),"Ó","O"),"Ú","U"),"Ü","U")))</f>
        <v/>
      </c>
      <c r="H89" s="38" t="str">
        <f aca="false">IF($A89="","",IFERROR(INDEX('Base de Personas'!$I$7:$I$21,MATCH($A89,'Base de Personas'!$B$7:$B$21,0)),IFERROR(INDEX($H$5:H88,MATCH($A89,$A$5:A88,0)),"")))</f>
        <v/>
      </c>
      <c r="I89" s="39"/>
      <c r="J89" s="40"/>
      <c r="K89" s="40"/>
      <c r="L89" s="39"/>
      <c r="M89" s="41" t="str">
        <f aca="false">IF($A89="","",IF(K89=_xlfn.MAXIFS($K$5:$K$304,$A$5:$A$304,$A89),1,0))</f>
        <v/>
      </c>
      <c r="N89" s="41" t="str">
        <f aca="false">IF($A89="","",IF(M89=1,$A89&amp;"-ACT",""))</f>
        <v/>
      </c>
      <c r="O89" s="41" t="str">
        <f aca="false">IF($A89="","",IF(AND(COUNTIF('Base de Personas'!$B$7:$B$21,$A89)=0,COUNTIF($A$5:A89,$A89)=1),1,0))</f>
        <v/>
      </c>
      <c r="P89" s="41" t="str">
        <f aca="false">IF(O89=1,SUM($O$5:O89),"")</f>
        <v/>
      </c>
    </row>
    <row r="90" customFormat="false" ht="15" hidden="false" customHeight="false" outlineLevel="0" collapsed="false">
      <c r="A90" s="35"/>
      <c r="B90" s="36" t="str">
        <f aca="false">IF($A90="","",TRIM(SUBSTITUTE(SUBSTITUTE(SUBSTITUTE(SUBSTITUTE(SUBSTITUTE(SUBSTITUTE(UPPER(IFERROR(INDEX('Base de Personas'!$C7:C21,MATCH($A90,'Base de Personas'!$B7:B21,0)),IFERROR(INDEX($B$5:B89,MATCH($A90,$A$5:A89,0)),""))),"Á","A"),"É","E"),"Í","I"),"Ó","O"),"Ú","U"),"Ü","U")))</f>
        <v/>
      </c>
      <c r="C90" s="37" t="str">
        <f aca="false">IF($A90="","",TRIM(SUBSTITUTE(SUBSTITUTE(SUBSTITUTE(SUBSTITUTE(SUBSTITUTE(SUBSTITUTE(UPPER(IFERROR(INDEX('Base de Personas'!$D7:D21,MATCH($A90,'Base de Personas'!$B7:B21,0)),IFERROR(INDEX($C$5:C89,MATCH($A90,$A$5:A89,0)),""))),"Á","A"),"É","E"),"Í","I"),"Ó","O"),"Ú","U"),"Ü","U")))</f>
        <v/>
      </c>
      <c r="D90" s="36" t="str">
        <f aca="false">IF($A90="","",TRIM(SUBSTITUTE(SUBSTITUTE(SUBSTITUTE(SUBSTITUTE(SUBSTITUTE(SUBSTITUTE(UPPER(IFERROR(INDEX('Base de Personas'!$E7:E21,MATCH($A90,'Base de Personas'!$B7:B21,0)),IFERROR(INDEX($D$5:D89,MATCH($A90,$A$5:A89,0)),""))),"Á","A"),"É","E"),"Í","I"),"Ó","O"),"Ú","U"),"Ü","U")))</f>
        <v/>
      </c>
      <c r="E90" s="36" t="str">
        <f aca="false">IF($A90="","",TRIM(SUBSTITUTE(SUBSTITUTE(SUBSTITUTE(SUBSTITUTE(SUBSTITUTE(SUBSTITUTE(UPPER(IFERROR(INDEX('Base de Personas'!$F7:F21,MATCH($A90,'Base de Personas'!$B7:B21,0)),IFERROR(INDEX($E$5:E89,MATCH($A90,$A$5:A89,0)),""))),"Á","A"),"É","E"),"Í","I"),"Ó","O"),"Ú","U"),"Ü","U")))</f>
        <v/>
      </c>
      <c r="F90" s="36" t="str">
        <f aca="false">IF($A90="","",TRIM(SUBSTITUTE(SUBSTITUTE(SUBSTITUTE(SUBSTITUTE(SUBSTITUTE(SUBSTITUTE(UPPER(IFERROR(INDEX('Base de Personas'!$G7:G21,MATCH($A90,'Base de Personas'!$B7:B21,0)),IFERROR(INDEX($F$5:F89,MATCH($A90,$A$5:A89,0)),""))),"Á","A"),"É","E"),"Í","I"),"Ó","O"),"Ú","U"),"Ü","U")))</f>
        <v/>
      </c>
      <c r="G90" s="37" t="str">
        <f aca="false">IF($A90="","",TRIM(SUBSTITUTE(SUBSTITUTE(SUBSTITUTE(SUBSTITUTE(SUBSTITUTE(SUBSTITUTE(UPPER(IFERROR(INDEX('Base de Personas'!$H7:H21,MATCH($A90,'Base de Personas'!$B7:B21,0)),IFERROR(INDEX($G$5:G89,MATCH($A90,$A$5:A89,0)),""))),"Á","A"),"É","E"),"Í","I"),"Ó","O"),"Ú","U"),"Ü","U")))</f>
        <v/>
      </c>
      <c r="H90" s="38" t="str">
        <f aca="false">IF($A90="","",IFERROR(INDEX('Base de Personas'!$I$7:$I$21,MATCH($A90,'Base de Personas'!$B$7:$B$21,0)),IFERROR(INDEX($H$5:H89,MATCH($A90,$A$5:A89,0)),"")))</f>
        <v/>
      </c>
      <c r="I90" s="39"/>
      <c r="J90" s="40"/>
      <c r="K90" s="40"/>
      <c r="L90" s="39"/>
      <c r="M90" s="41" t="str">
        <f aca="false">IF($A90="","",IF(K90=_xlfn.MAXIFS($K$5:$K$304,$A$5:$A$304,$A90),1,0))</f>
        <v/>
      </c>
      <c r="N90" s="41" t="str">
        <f aca="false">IF($A90="","",IF(M90=1,$A90&amp;"-ACT",""))</f>
        <v/>
      </c>
      <c r="O90" s="41" t="str">
        <f aca="false">IF($A90="","",IF(AND(COUNTIF('Base de Personas'!$B$7:$B$21,$A90)=0,COUNTIF($A$5:A90,$A90)=1),1,0))</f>
        <v/>
      </c>
      <c r="P90" s="41" t="str">
        <f aca="false">IF(O90=1,SUM($O$5:O90),"")</f>
        <v/>
      </c>
    </row>
    <row r="91" customFormat="false" ht="15" hidden="false" customHeight="false" outlineLevel="0" collapsed="false">
      <c r="A91" s="35"/>
      <c r="B91" s="36" t="str">
        <f aca="false">IF($A91="","",TRIM(SUBSTITUTE(SUBSTITUTE(SUBSTITUTE(SUBSTITUTE(SUBSTITUTE(SUBSTITUTE(UPPER(IFERROR(INDEX('Base de Personas'!$C7:C21,MATCH($A91,'Base de Personas'!$B7:B21,0)),IFERROR(INDEX($B$5:B90,MATCH($A91,$A$5:A90,0)),""))),"Á","A"),"É","E"),"Í","I"),"Ó","O"),"Ú","U"),"Ü","U")))</f>
        <v/>
      </c>
      <c r="C91" s="37" t="str">
        <f aca="false">IF($A91="","",TRIM(SUBSTITUTE(SUBSTITUTE(SUBSTITUTE(SUBSTITUTE(SUBSTITUTE(SUBSTITUTE(UPPER(IFERROR(INDEX('Base de Personas'!$D7:D21,MATCH($A91,'Base de Personas'!$B7:B21,0)),IFERROR(INDEX($C$5:C90,MATCH($A91,$A$5:A90,0)),""))),"Á","A"),"É","E"),"Í","I"),"Ó","O"),"Ú","U"),"Ü","U")))</f>
        <v/>
      </c>
      <c r="D91" s="36" t="str">
        <f aca="false">IF($A91="","",TRIM(SUBSTITUTE(SUBSTITUTE(SUBSTITUTE(SUBSTITUTE(SUBSTITUTE(SUBSTITUTE(UPPER(IFERROR(INDEX('Base de Personas'!$E7:E21,MATCH($A91,'Base de Personas'!$B7:B21,0)),IFERROR(INDEX($D$5:D90,MATCH($A91,$A$5:A90,0)),""))),"Á","A"),"É","E"),"Í","I"),"Ó","O"),"Ú","U"),"Ü","U")))</f>
        <v/>
      </c>
      <c r="E91" s="36" t="str">
        <f aca="false">IF($A91="","",TRIM(SUBSTITUTE(SUBSTITUTE(SUBSTITUTE(SUBSTITUTE(SUBSTITUTE(SUBSTITUTE(UPPER(IFERROR(INDEX('Base de Personas'!$F7:F21,MATCH($A91,'Base de Personas'!$B7:B21,0)),IFERROR(INDEX($E$5:E90,MATCH($A91,$A$5:A90,0)),""))),"Á","A"),"É","E"),"Í","I"),"Ó","O"),"Ú","U"),"Ü","U")))</f>
        <v/>
      </c>
      <c r="F91" s="36" t="str">
        <f aca="false">IF($A91="","",TRIM(SUBSTITUTE(SUBSTITUTE(SUBSTITUTE(SUBSTITUTE(SUBSTITUTE(SUBSTITUTE(UPPER(IFERROR(INDEX('Base de Personas'!$G7:G21,MATCH($A91,'Base de Personas'!$B7:B21,0)),IFERROR(INDEX($F$5:F90,MATCH($A91,$A$5:A90,0)),""))),"Á","A"),"É","E"),"Í","I"),"Ó","O"),"Ú","U"),"Ü","U")))</f>
        <v/>
      </c>
      <c r="G91" s="37" t="str">
        <f aca="false">IF($A91="","",TRIM(SUBSTITUTE(SUBSTITUTE(SUBSTITUTE(SUBSTITUTE(SUBSTITUTE(SUBSTITUTE(UPPER(IFERROR(INDEX('Base de Personas'!$H7:H21,MATCH($A91,'Base de Personas'!$B7:B21,0)),IFERROR(INDEX($G$5:G90,MATCH($A91,$A$5:A90,0)),""))),"Á","A"),"É","E"),"Í","I"),"Ó","O"),"Ú","U"),"Ü","U")))</f>
        <v/>
      </c>
      <c r="H91" s="38" t="str">
        <f aca="false">IF($A91="","",IFERROR(INDEX('Base de Personas'!$I$7:$I$21,MATCH($A91,'Base de Personas'!$B$7:$B$21,0)),IFERROR(INDEX($H$5:H90,MATCH($A91,$A$5:A90,0)),"")))</f>
        <v/>
      </c>
      <c r="I91" s="39"/>
      <c r="J91" s="40"/>
      <c r="K91" s="40"/>
      <c r="L91" s="39"/>
      <c r="M91" s="41" t="str">
        <f aca="false">IF($A91="","",IF(K91=_xlfn.MAXIFS($K$5:$K$304,$A$5:$A$304,$A91),1,0))</f>
        <v/>
      </c>
      <c r="N91" s="41" t="str">
        <f aca="false">IF($A91="","",IF(M91=1,$A91&amp;"-ACT",""))</f>
        <v/>
      </c>
      <c r="O91" s="41" t="str">
        <f aca="false">IF($A91="","",IF(AND(COUNTIF('Base de Personas'!$B$7:$B$21,$A91)=0,COUNTIF($A$5:A91,$A91)=1),1,0))</f>
        <v/>
      </c>
      <c r="P91" s="41" t="str">
        <f aca="false">IF(O91=1,SUM($O$5:O91),"")</f>
        <v/>
      </c>
    </row>
    <row r="92" customFormat="false" ht="15" hidden="false" customHeight="false" outlineLevel="0" collapsed="false">
      <c r="A92" s="35"/>
      <c r="B92" s="36" t="str">
        <f aca="false">IF($A92="","",TRIM(SUBSTITUTE(SUBSTITUTE(SUBSTITUTE(SUBSTITUTE(SUBSTITUTE(SUBSTITUTE(UPPER(IFERROR(INDEX('Base de Personas'!$C7:C21,MATCH($A92,'Base de Personas'!$B7:B21,0)),IFERROR(INDEX($B$5:B91,MATCH($A92,$A$5:A91,0)),""))),"Á","A"),"É","E"),"Í","I"),"Ó","O"),"Ú","U"),"Ü","U")))</f>
        <v/>
      </c>
      <c r="C92" s="37" t="str">
        <f aca="false">IF($A92="","",TRIM(SUBSTITUTE(SUBSTITUTE(SUBSTITUTE(SUBSTITUTE(SUBSTITUTE(SUBSTITUTE(UPPER(IFERROR(INDEX('Base de Personas'!$D7:D21,MATCH($A92,'Base de Personas'!$B7:B21,0)),IFERROR(INDEX($C$5:C91,MATCH($A92,$A$5:A91,0)),""))),"Á","A"),"É","E"),"Í","I"),"Ó","O"),"Ú","U"),"Ü","U")))</f>
        <v/>
      </c>
      <c r="D92" s="36" t="str">
        <f aca="false">IF($A92="","",TRIM(SUBSTITUTE(SUBSTITUTE(SUBSTITUTE(SUBSTITUTE(SUBSTITUTE(SUBSTITUTE(UPPER(IFERROR(INDEX('Base de Personas'!$E7:E21,MATCH($A92,'Base de Personas'!$B7:B21,0)),IFERROR(INDEX($D$5:D91,MATCH($A92,$A$5:A91,0)),""))),"Á","A"),"É","E"),"Í","I"),"Ó","O"),"Ú","U"),"Ü","U")))</f>
        <v/>
      </c>
      <c r="E92" s="36" t="str">
        <f aca="false">IF($A92="","",TRIM(SUBSTITUTE(SUBSTITUTE(SUBSTITUTE(SUBSTITUTE(SUBSTITUTE(SUBSTITUTE(UPPER(IFERROR(INDEX('Base de Personas'!$F7:F21,MATCH($A92,'Base de Personas'!$B7:B21,0)),IFERROR(INDEX($E$5:E91,MATCH($A92,$A$5:A91,0)),""))),"Á","A"),"É","E"),"Í","I"),"Ó","O"),"Ú","U"),"Ü","U")))</f>
        <v/>
      </c>
      <c r="F92" s="36" t="str">
        <f aca="false">IF($A92="","",TRIM(SUBSTITUTE(SUBSTITUTE(SUBSTITUTE(SUBSTITUTE(SUBSTITUTE(SUBSTITUTE(UPPER(IFERROR(INDEX('Base de Personas'!$G7:G21,MATCH($A92,'Base de Personas'!$B7:B21,0)),IFERROR(INDEX($F$5:F91,MATCH($A92,$A$5:A91,0)),""))),"Á","A"),"É","E"),"Í","I"),"Ó","O"),"Ú","U"),"Ü","U")))</f>
        <v/>
      </c>
      <c r="G92" s="37" t="str">
        <f aca="false">IF($A92="","",TRIM(SUBSTITUTE(SUBSTITUTE(SUBSTITUTE(SUBSTITUTE(SUBSTITUTE(SUBSTITUTE(UPPER(IFERROR(INDEX('Base de Personas'!$H7:H21,MATCH($A92,'Base de Personas'!$B7:B21,0)),IFERROR(INDEX($G$5:G91,MATCH($A92,$A$5:A91,0)),""))),"Á","A"),"É","E"),"Í","I"),"Ó","O"),"Ú","U"),"Ü","U")))</f>
        <v/>
      </c>
      <c r="H92" s="38" t="str">
        <f aca="false">IF($A92="","",IFERROR(INDEX('Base de Personas'!$I$7:$I$21,MATCH($A92,'Base de Personas'!$B$7:$B$21,0)),IFERROR(INDEX($H$5:H91,MATCH($A92,$A$5:A91,0)),"")))</f>
        <v/>
      </c>
      <c r="I92" s="39"/>
      <c r="J92" s="40"/>
      <c r="K92" s="40"/>
      <c r="L92" s="39"/>
      <c r="M92" s="41" t="str">
        <f aca="false">IF($A92="","",IF(K92=_xlfn.MAXIFS($K$5:$K$304,$A$5:$A$304,$A92),1,0))</f>
        <v/>
      </c>
      <c r="N92" s="41" t="str">
        <f aca="false">IF($A92="","",IF(M92=1,$A92&amp;"-ACT",""))</f>
        <v/>
      </c>
      <c r="O92" s="41" t="str">
        <f aca="false">IF($A92="","",IF(AND(COUNTIF('Base de Personas'!$B$7:$B$21,$A92)=0,COUNTIF($A$5:A92,$A92)=1),1,0))</f>
        <v/>
      </c>
      <c r="P92" s="41" t="str">
        <f aca="false">IF(O92=1,SUM($O$5:O92),"")</f>
        <v/>
      </c>
    </row>
    <row r="93" customFormat="false" ht="15" hidden="false" customHeight="false" outlineLevel="0" collapsed="false">
      <c r="A93" s="35"/>
      <c r="B93" s="36" t="str">
        <f aca="false">IF($A93="","",TRIM(SUBSTITUTE(SUBSTITUTE(SUBSTITUTE(SUBSTITUTE(SUBSTITUTE(SUBSTITUTE(UPPER(IFERROR(INDEX('Base de Personas'!$C7:C21,MATCH($A93,'Base de Personas'!$B7:B21,0)),IFERROR(INDEX($B$5:B92,MATCH($A93,$A$5:A92,0)),""))),"Á","A"),"É","E"),"Í","I"),"Ó","O"),"Ú","U"),"Ü","U")))</f>
        <v/>
      </c>
      <c r="C93" s="37" t="str">
        <f aca="false">IF($A93="","",TRIM(SUBSTITUTE(SUBSTITUTE(SUBSTITUTE(SUBSTITUTE(SUBSTITUTE(SUBSTITUTE(UPPER(IFERROR(INDEX('Base de Personas'!$D7:D21,MATCH($A93,'Base de Personas'!$B7:B21,0)),IFERROR(INDEX($C$5:C92,MATCH($A93,$A$5:A92,0)),""))),"Á","A"),"É","E"),"Í","I"),"Ó","O"),"Ú","U"),"Ü","U")))</f>
        <v/>
      </c>
      <c r="D93" s="36" t="str">
        <f aca="false">IF($A93="","",TRIM(SUBSTITUTE(SUBSTITUTE(SUBSTITUTE(SUBSTITUTE(SUBSTITUTE(SUBSTITUTE(UPPER(IFERROR(INDEX('Base de Personas'!$E7:E21,MATCH($A93,'Base de Personas'!$B7:B21,0)),IFERROR(INDEX($D$5:D92,MATCH($A93,$A$5:A92,0)),""))),"Á","A"),"É","E"),"Í","I"),"Ó","O"),"Ú","U"),"Ü","U")))</f>
        <v/>
      </c>
      <c r="E93" s="36" t="str">
        <f aca="false">IF($A93="","",TRIM(SUBSTITUTE(SUBSTITUTE(SUBSTITUTE(SUBSTITUTE(SUBSTITUTE(SUBSTITUTE(UPPER(IFERROR(INDEX('Base de Personas'!$F7:F21,MATCH($A93,'Base de Personas'!$B7:B21,0)),IFERROR(INDEX($E$5:E92,MATCH($A93,$A$5:A92,0)),""))),"Á","A"),"É","E"),"Í","I"),"Ó","O"),"Ú","U"),"Ü","U")))</f>
        <v/>
      </c>
      <c r="F93" s="36" t="str">
        <f aca="false">IF($A93="","",TRIM(SUBSTITUTE(SUBSTITUTE(SUBSTITUTE(SUBSTITUTE(SUBSTITUTE(SUBSTITUTE(UPPER(IFERROR(INDEX('Base de Personas'!$G7:G21,MATCH($A93,'Base de Personas'!$B7:B21,0)),IFERROR(INDEX($F$5:F92,MATCH($A93,$A$5:A92,0)),""))),"Á","A"),"É","E"),"Í","I"),"Ó","O"),"Ú","U"),"Ü","U")))</f>
        <v/>
      </c>
      <c r="G93" s="37" t="str">
        <f aca="false">IF($A93="","",TRIM(SUBSTITUTE(SUBSTITUTE(SUBSTITUTE(SUBSTITUTE(SUBSTITUTE(SUBSTITUTE(UPPER(IFERROR(INDEX('Base de Personas'!$H7:H21,MATCH($A93,'Base de Personas'!$B7:B21,0)),IFERROR(INDEX($G$5:G92,MATCH($A93,$A$5:A92,0)),""))),"Á","A"),"É","E"),"Í","I"),"Ó","O"),"Ú","U"),"Ü","U")))</f>
        <v/>
      </c>
      <c r="H93" s="38" t="str">
        <f aca="false">IF($A93="","",IFERROR(INDEX('Base de Personas'!$I$7:$I$21,MATCH($A93,'Base de Personas'!$B$7:$B$21,0)),IFERROR(INDEX($H$5:H92,MATCH($A93,$A$5:A92,0)),"")))</f>
        <v/>
      </c>
      <c r="I93" s="39"/>
      <c r="J93" s="40"/>
      <c r="K93" s="40"/>
      <c r="L93" s="39"/>
      <c r="M93" s="41" t="str">
        <f aca="false">IF($A93="","",IF(K93=_xlfn.MAXIFS($K$5:$K$304,$A$5:$A$304,$A93),1,0))</f>
        <v/>
      </c>
      <c r="N93" s="41" t="str">
        <f aca="false">IF($A93="","",IF(M93=1,$A93&amp;"-ACT",""))</f>
        <v/>
      </c>
      <c r="O93" s="41" t="str">
        <f aca="false">IF($A93="","",IF(AND(COUNTIF('Base de Personas'!$B$7:$B$21,$A93)=0,COUNTIF($A$5:A93,$A93)=1),1,0))</f>
        <v/>
      </c>
      <c r="P93" s="41" t="str">
        <f aca="false">IF(O93=1,SUM($O$5:O93),"")</f>
        <v/>
      </c>
    </row>
    <row r="94" customFormat="false" ht="15" hidden="false" customHeight="false" outlineLevel="0" collapsed="false">
      <c r="A94" s="35"/>
      <c r="B94" s="36" t="str">
        <f aca="false">IF($A94="","",TRIM(SUBSTITUTE(SUBSTITUTE(SUBSTITUTE(SUBSTITUTE(SUBSTITUTE(SUBSTITUTE(UPPER(IFERROR(INDEX('Base de Personas'!$C7:C21,MATCH($A94,'Base de Personas'!$B7:B21,0)),IFERROR(INDEX($B$5:B93,MATCH($A94,$A$5:A93,0)),""))),"Á","A"),"É","E"),"Í","I"),"Ó","O"),"Ú","U"),"Ü","U")))</f>
        <v/>
      </c>
      <c r="C94" s="37" t="str">
        <f aca="false">IF($A94="","",TRIM(SUBSTITUTE(SUBSTITUTE(SUBSTITUTE(SUBSTITUTE(SUBSTITUTE(SUBSTITUTE(UPPER(IFERROR(INDEX('Base de Personas'!$D7:D21,MATCH($A94,'Base de Personas'!$B7:B21,0)),IFERROR(INDEX($C$5:C93,MATCH($A94,$A$5:A93,0)),""))),"Á","A"),"É","E"),"Í","I"),"Ó","O"),"Ú","U"),"Ü","U")))</f>
        <v/>
      </c>
      <c r="D94" s="36" t="str">
        <f aca="false">IF($A94="","",TRIM(SUBSTITUTE(SUBSTITUTE(SUBSTITUTE(SUBSTITUTE(SUBSTITUTE(SUBSTITUTE(UPPER(IFERROR(INDEX('Base de Personas'!$E7:E21,MATCH($A94,'Base de Personas'!$B7:B21,0)),IFERROR(INDEX($D$5:D93,MATCH($A94,$A$5:A93,0)),""))),"Á","A"),"É","E"),"Í","I"),"Ó","O"),"Ú","U"),"Ü","U")))</f>
        <v/>
      </c>
      <c r="E94" s="36" t="str">
        <f aca="false">IF($A94="","",TRIM(SUBSTITUTE(SUBSTITUTE(SUBSTITUTE(SUBSTITUTE(SUBSTITUTE(SUBSTITUTE(UPPER(IFERROR(INDEX('Base de Personas'!$F7:F21,MATCH($A94,'Base de Personas'!$B7:B21,0)),IFERROR(INDEX($E$5:E93,MATCH($A94,$A$5:A93,0)),""))),"Á","A"),"É","E"),"Í","I"),"Ó","O"),"Ú","U"),"Ü","U")))</f>
        <v/>
      </c>
      <c r="F94" s="36" t="str">
        <f aca="false">IF($A94="","",TRIM(SUBSTITUTE(SUBSTITUTE(SUBSTITUTE(SUBSTITUTE(SUBSTITUTE(SUBSTITUTE(UPPER(IFERROR(INDEX('Base de Personas'!$G7:G21,MATCH($A94,'Base de Personas'!$B7:B21,0)),IFERROR(INDEX($F$5:F93,MATCH($A94,$A$5:A93,0)),""))),"Á","A"),"É","E"),"Í","I"),"Ó","O"),"Ú","U"),"Ü","U")))</f>
        <v/>
      </c>
      <c r="G94" s="37" t="str">
        <f aca="false">IF($A94="","",TRIM(SUBSTITUTE(SUBSTITUTE(SUBSTITUTE(SUBSTITUTE(SUBSTITUTE(SUBSTITUTE(UPPER(IFERROR(INDEX('Base de Personas'!$H7:H21,MATCH($A94,'Base de Personas'!$B7:B21,0)),IFERROR(INDEX($G$5:G93,MATCH($A94,$A$5:A93,0)),""))),"Á","A"),"É","E"),"Í","I"),"Ó","O"),"Ú","U"),"Ü","U")))</f>
        <v/>
      </c>
      <c r="H94" s="38" t="str">
        <f aca="false">IF($A94="","",IFERROR(INDEX('Base de Personas'!$I$7:$I$21,MATCH($A94,'Base de Personas'!$B$7:$B$21,0)),IFERROR(INDEX($H$5:H93,MATCH($A94,$A$5:A93,0)),"")))</f>
        <v/>
      </c>
      <c r="I94" s="39"/>
      <c r="J94" s="40"/>
      <c r="K94" s="40"/>
      <c r="L94" s="39"/>
      <c r="M94" s="41" t="str">
        <f aca="false">IF($A94="","",IF(K94=_xlfn.MAXIFS($K$5:$K$304,$A$5:$A$304,$A94),1,0))</f>
        <v/>
      </c>
      <c r="N94" s="41" t="str">
        <f aca="false">IF($A94="","",IF(M94=1,$A94&amp;"-ACT",""))</f>
        <v/>
      </c>
      <c r="O94" s="41" t="str">
        <f aca="false">IF($A94="","",IF(AND(COUNTIF('Base de Personas'!$B$7:$B$21,$A94)=0,COUNTIF($A$5:A94,$A94)=1),1,0))</f>
        <v/>
      </c>
      <c r="P94" s="41" t="str">
        <f aca="false">IF(O94=1,SUM($O$5:O94),"")</f>
        <v/>
      </c>
    </row>
    <row r="95" customFormat="false" ht="15" hidden="false" customHeight="false" outlineLevel="0" collapsed="false">
      <c r="A95" s="35"/>
      <c r="B95" s="36" t="str">
        <f aca="false">IF($A95="","",TRIM(SUBSTITUTE(SUBSTITUTE(SUBSTITUTE(SUBSTITUTE(SUBSTITUTE(SUBSTITUTE(UPPER(IFERROR(INDEX('Base de Personas'!$C7:C21,MATCH($A95,'Base de Personas'!$B7:B21,0)),IFERROR(INDEX($B$5:B94,MATCH($A95,$A$5:A94,0)),""))),"Á","A"),"É","E"),"Í","I"),"Ó","O"),"Ú","U"),"Ü","U")))</f>
        <v/>
      </c>
      <c r="C95" s="37" t="str">
        <f aca="false">IF($A95="","",TRIM(SUBSTITUTE(SUBSTITUTE(SUBSTITUTE(SUBSTITUTE(SUBSTITUTE(SUBSTITUTE(UPPER(IFERROR(INDEX('Base de Personas'!$D7:D21,MATCH($A95,'Base de Personas'!$B7:B21,0)),IFERROR(INDEX($C$5:C94,MATCH($A95,$A$5:A94,0)),""))),"Á","A"),"É","E"),"Í","I"),"Ó","O"),"Ú","U"),"Ü","U")))</f>
        <v/>
      </c>
      <c r="D95" s="36" t="str">
        <f aca="false">IF($A95="","",TRIM(SUBSTITUTE(SUBSTITUTE(SUBSTITUTE(SUBSTITUTE(SUBSTITUTE(SUBSTITUTE(UPPER(IFERROR(INDEX('Base de Personas'!$E7:E21,MATCH($A95,'Base de Personas'!$B7:B21,0)),IFERROR(INDEX($D$5:D94,MATCH($A95,$A$5:A94,0)),""))),"Á","A"),"É","E"),"Í","I"),"Ó","O"),"Ú","U"),"Ü","U")))</f>
        <v/>
      </c>
      <c r="E95" s="36" t="str">
        <f aca="false">IF($A95="","",TRIM(SUBSTITUTE(SUBSTITUTE(SUBSTITUTE(SUBSTITUTE(SUBSTITUTE(SUBSTITUTE(UPPER(IFERROR(INDEX('Base de Personas'!$F7:F21,MATCH($A95,'Base de Personas'!$B7:B21,0)),IFERROR(INDEX($E$5:E94,MATCH($A95,$A$5:A94,0)),""))),"Á","A"),"É","E"),"Í","I"),"Ó","O"),"Ú","U"),"Ü","U")))</f>
        <v/>
      </c>
      <c r="F95" s="36" t="str">
        <f aca="false">IF($A95="","",TRIM(SUBSTITUTE(SUBSTITUTE(SUBSTITUTE(SUBSTITUTE(SUBSTITUTE(SUBSTITUTE(UPPER(IFERROR(INDEX('Base de Personas'!$G7:G21,MATCH($A95,'Base de Personas'!$B7:B21,0)),IFERROR(INDEX($F$5:F94,MATCH($A95,$A$5:A94,0)),""))),"Á","A"),"É","E"),"Í","I"),"Ó","O"),"Ú","U"),"Ü","U")))</f>
        <v/>
      </c>
      <c r="G95" s="37" t="str">
        <f aca="false">IF($A95="","",TRIM(SUBSTITUTE(SUBSTITUTE(SUBSTITUTE(SUBSTITUTE(SUBSTITUTE(SUBSTITUTE(UPPER(IFERROR(INDEX('Base de Personas'!$H7:H21,MATCH($A95,'Base de Personas'!$B7:B21,0)),IFERROR(INDEX($G$5:G94,MATCH($A95,$A$5:A94,0)),""))),"Á","A"),"É","E"),"Í","I"),"Ó","O"),"Ú","U"),"Ü","U")))</f>
        <v/>
      </c>
      <c r="H95" s="38" t="str">
        <f aca="false">IF($A95="","",IFERROR(INDEX('Base de Personas'!$I$7:$I$21,MATCH($A95,'Base de Personas'!$B$7:$B$21,0)),IFERROR(INDEX($H$5:H94,MATCH($A95,$A$5:A94,0)),"")))</f>
        <v/>
      </c>
      <c r="I95" s="39"/>
      <c r="J95" s="40"/>
      <c r="K95" s="40"/>
      <c r="L95" s="39"/>
      <c r="M95" s="41" t="str">
        <f aca="false">IF($A95="","",IF(K95=_xlfn.MAXIFS($K$5:$K$304,$A$5:$A$304,$A95),1,0))</f>
        <v/>
      </c>
      <c r="N95" s="41" t="str">
        <f aca="false">IF($A95="","",IF(M95=1,$A95&amp;"-ACT",""))</f>
        <v/>
      </c>
      <c r="O95" s="41" t="str">
        <f aca="false">IF($A95="","",IF(AND(COUNTIF('Base de Personas'!$B$7:$B$21,$A95)=0,COUNTIF($A$5:A95,$A95)=1),1,0))</f>
        <v/>
      </c>
      <c r="P95" s="41" t="str">
        <f aca="false">IF(O95=1,SUM($O$5:O95),"")</f>
        <v/>
      </c>
    </row>
    <row r="96" customFormat="false" ht="15" hidden="false" customHeight="false" outlineLevel="0" collapsed="false">
      <c r="A96" s="35"/>
      <c r="B96" s="36" t="str">
        <f aca="false">IF($A96="","",TRIM(SUBSTITUTE(SUBSTITUTE(SUBSTITUTE(SUBSTITUTE(SUBSTITUTE(SUBSTITUTE(UPPER(IFERROR(INDEX('Base de Personas'!$C7:C21,MATCH($A96,'Base de Personas'!$B7:B21,0)),IFERROR(INDEX($B$5:B95,MATCH($A96,$A$5:A95,0)),""))),"Á","A"),"É","E"),"Í","I"),"Ó","O"),"Ú","U"),"Ü","U")))</f>
        <v/>
      </c>
      <c r="C96" s="37" t="str">
        <f aca="false">IF($A96="","",TRIM(SUBSTITUTE(SUBSTITUTE(SUBSTITUTE(SUBSTITUTE(SUBSTITUTE(SUBSTITUTE(UPPER(IFERROR(INDEX('Base de Personas'!$D7:D21,MATCH($A96,'Base de Personas'!$B7:B21,0)),IFERROR(INDEX($C$5:C95,MATCH($A96,$A$5:A95,0)),""))),"Á","A"),"É","E"),"Í","I"),"Ó","O"),"Ú","U"),"Ü","U")))</f>
        <v/>
      </c>
      <c r="D96" s="36" t="str">
        <f aca="false">IF($A96="","",TRIM(SUBSTITUTE(SUBSTITUTE(SUBSTITUTE(SUBSTITUTE(SUBSTITUTE(SUBSTITUTE(UPPER(IFERROR(INDEX('Base de Personas'!$E7:E21,MATCH($A96,'Base de Personas'!$B7:B21,0)),IFERROR(INDEX($D$5:D95,MATCH($A96,$A$5:A95,0)),""))),"Á","A"),"É","E"),"Í","I"),"Ó","O"),"Ú","U"),"Ü","U")))</f>
        <v/>
      </c>
      <c r="E96" s="36" t="str">
        <f aca="false">IF($A96="","",TRIM(SUBSTITUTE(SUBSTITUTE(SUBSTITUTE(SUBSTITUTE(SUBSTITUTE(SUBSTITUTE(UPPER(IFERROR(INDEX('Base de Personas'!$F7:F21,MATCH($A96,'Base de Personas'!$B7:B21,0)),IFERROR(INDEX($E$5:E95,MATCH($A96,$A$5:A95,0)),""))),"Á","A"),"É","E"),"Í","I"),"Ó","O"),"Ú","U"),"Ü","U")))</f>
        <v/>
      </c>
      <c r="F96" s="36" t="str">
        <f aca="false">IF($A96="","",TRIM(SUBSTITUTE(SUBSTITUTE(SUBSTITUTE(SUBSTITUTE(SUBSTITUTE(SUBSTITUTE(UPPER(IFERROR(INDEX('Base de Personas'!$G7:G21,MATCH($A96,'Base de Personas'!$B7:B21,0)),IFERROR(INDEX($F$5:F95,MATCH($A96,$A$5:A95,0)),""))),"Á","A"),"É","E"),"Í","I"),"Ó","O"),"Ú","U"),"Ü","U")))</f>
        <v/>
      </c>
      <c r="G96" s="37" t="str">
        <f aca="false">IF($A96="","",TRIM(SUBSTITUTE(SUBSTITUTE(SUBSTITUTE(SUBSTITUTE(SUBSTITUTE(SUBSTITUTE(UPPER(IFERROR(INDEX('Base de Personas'!$H7:H21,MATCH($A96,'Base de Personas'!$B7:B21,0)),IFERROR(INDEX($G$5:G95,MATCH($A96,$A$5:A95,0)),""))),"Á","A"),"É","E"),"Í","I"),"Ó","O"),"Ú","U"),"Ü","U")))</f>
        <v/>
      </c>
      <c r="H96" s="38" t="str">
        <f aca="false">IF($A96="","",IFERROR(INDEX('Base de Personas'!$I$7:$I$21,MATCH($A96,'Base de Personas'!$B$7:$B$21,0)),IFERROR(INDEX($H$5:H95,MATCH($A96,$A$5:A95,0)),"")))</f>
        <v/>
      </c>
      <c r="I96" s="39"/>
      <c r="J96" s="40"/>
      <c r="K96" s="40"/>
      <c r="L96" s="39"/>
      <c r="M96" s="41" t="str">
        <f aca="false">IF($A96="","",IF(K96=_xlfn.MAXIFS($K$5:$K$304,$A$5:$A$304,$A96),1,0))</f>
        <v/>
      </c>
      <c r="N96" s="41" t="str">
        <f aca="false">IF($A96="","",IF(M96=1,$A96&amp;"-ACT",""))</f>
        <v/>
      </c>
      <c r="O96" s="41" t="str">
        <f aca="false">IF($A96="","",IF(AND(COUNTIF('Base de Personas'!$B$7:$B$21,$A96)=0,COUNTIF($A$5:A96,$A96)=1),1,0))</f>
        <v/>
      </c>
      <c r="P96" s="41" t="str">
        <f aca="false">IF(O96=1,SUM($O$5:O96),"")</f>
        <v/>
      </c>
    </row>
    <row r="97" customFormat="false" ht="15" hidden="false" customHeight="false" outlineLevel="0" collapsed="false">
      <c r="A97" s="35"/>
      <c r="B97" s="36" t="str">
        <f aca="false">IF($A97="","",TRIM(SUBSTITUTE(SUBSTITUTE(SUBSTITUTE(SUBSTITUTE(SUBSTITUTE(SUBSTITUTE(UPPER(IFERROR(INDEX('Base de Personas'!$C7:C21,MATCH($A97,'Base de Personas'!$B7:B21,0)),IFERROR(INDEX($B$5:B96,MATCH($A97,$A$5:A96,0)),""))),"Á","A"),"É","E"),"Í","I"),"Ó","O"),"Ú","U"),"Ü","U")))</f>
        <v/>
      </c>
      <c r="C97" s="37" t="str">
        <f aca="false">IF($A97="","",TRIM(SUBSTITUTE(SUBSTITUTE(SUBSTITUTE(SUBSTITUTE(SUBSTITUTE(SUBSTITUTE(UPPER(IFERROR(INDEX('Base de Personas'!$D7:D21,MATCH($A97,'Base de Personas'!$B7:B21,0)),IFERROR(INDEX($C$5:C96,MATCH($A97,$A$5:A96,0)),""))),"Á","A"),"É","E"),"Í","I"),"Ó","O"),"Ú","U"),"Ü","U")))</f>
        <v/>
      </c>
      <c r="D97" s="36" t="str">
        <f aca="false">IF($A97="","",TRIM(SUBSTITUTE(SUBSTITUTE(SUBSTITUTE(SUBSTITUTE(SUBSTITUTE(SUBSTITUTE(UPPER(IFERROR(INDEX('Base de Personas'!$E7:E21,MATCH($A97,'Base de Personas'!$B7:B21,0)),IFERROR(INDEX($D$5:D96,MATCH($A97,$A$5:A96,0)),""))),"Á","A"),"É","E"),"Í","I"),"Ó","O"),"Ú","U"),"Ü","U")))</f>
        <v/>
      </c>
      <c r="E97" s="36" t="str">
        <f aca="false">IF($A97="","",TRIM(SUBSTITUTE(SUBSTITUTE(SUBSTITUTE(SUBSTITUTE(SUBSTITUTE(SUBSTITUTE(UPPER(IFERROR(INDEX('Base de Personas'!$F7:F21,MATCH($A97,'Base de Personas'!$B7:B21,0)),IFERROR(INDEX($E$5:E96,MATCH($A97,$A$5:A96,0)),""))),"Á","A"),"É","E"),"Í","I"),"Ó","O"),"Ú","U"),"Ü","U")))</f>
        <v/>
      </c>
      <c r="F97" s="36" t="str">
        <f aca="false">IF($A97="","",TRIM(SUBSTITUTE(SUBSTITUTE(SUBSTITUTE(SUBSTITUTE(SUBSTITUTE(SUBSTITUTE(UPPER(IFERROR(INDEX('Base de Personas'!$G7:G21,MATCH($A97,'Base de Personas'!$B7:B21,0)),IFERROR(INDEX($F$5:F96,MATCH($A97,$A$5:A96,0)),""))),"Á","A"),"É","E"),"Í","I"),"Ó","O"),"Ú","U"),"Ü","U")))</f>
        <v/>
      </c>
      <c r="G97" s="37" t="str">
        <f aca="false">IF($A97="","",TRIM(SUBSTITUTE(SUBSTITUTE(SUBSTITUTE(SUBSTITUTE(SUBSTITUTE(SUBSTITUTE(UPPER(IFERROR(INDEX('Base de Personas'!$H7:H21,MATCH($A97,'Base de Personas'!$B7:B21,0)),IFERROR(INDEX($G$5:G96,MATCH($A97,$A$5:A96,0)),""))),"Á","A"),"É","E"),"Í","I"),"Ó","O"),"Ú","U"),"Ü","U")))</f>
        <v/>
      </c>
      <c r="H97" s="38" t="str">
        <f aca="false">IF($A97="","",IFERROR(INDEX('Base de Personas'!$I$7:$I$21,MATCH($A97,'Base de Personas'!$B$7:$B$21,0)),IFERROR(INDEX($H$5:H96,MATCH($A97,$A$5:A96,0)),"")))</f>
        <v/>
      </c>
      <c r="I97" s="39"/>
      <c r="J97" s="40"/>
      <c r="K97" s="40"/>
      <c r="L97" s="39"/>
      <c r="M97" s="41" t="str">
        <f aca="false">IF($A97="","",IF(K97=_xlfn.MAXIFS($K$5:$K$304,$A$5:$A$304,$A97),1,0))</f>
        <v/>
      </c>
      <c r="N97" s="41" t="str">
        <f aca="false">IF($A97="","",IF(M97=1,$A97&amp;"-ACT",""))</f>
        <v/>
      </c>
      <c r="O97" s="41" t="str">
        <f aca="false">IF($A97="","",IF(AND(COUNTIF('Base de Personas'!$B$7:$B$21,$A97)=0,COUNTIF($A$5:A97,$A97)=1),1,0))</f>
        <v/>
      </c>
      <c r="P97" s="41" t="str">
        <f aca="false">IF(O97=1,SUM($O$5:O97),"")</f>
        <v/>
      </c>
    </row>
    <row r="98" customFormat="false" ht="15" hidden="false" customHeight="false" outlineLevel="0" collapsed="false">
      <c r="A98" s="35"/>
      <c r="B98" s="36" t="str">
        <f aca="false">IF($A98="","",TRIM(SUBSTITUTE(SUBSTITUTE(SUBSTITUTE(SUBSTITUTE(SUBSTITUTE(SUBSTITUTE(UPPER(IFERROR(INDEX('Base de Personas'!$C7:C21,MATCH($A98,'Base de Personas'!$B7:B21,0)),IFERROR(INDEX($B$5:B97,MATCH($A98,$A$5:A97,0)),""))),"Á","A"),"É","E"),"Í","I"),"Ó","O"),"Ú","U"),"Ü","U")))</f>
        <v/>
      </c>
      <c r="C98" s="37" t="str">
        <f aca="false">IF($A98="","",TRIM(SUBSTITUTE(SUBSTITUTE(SUBSTITUTE(SUBSTITUTE(SUBSTITUTE(SUBSTITUTE(UPPER(IFERROR(INDEX('Base de Personas'!$D7:D21,MATCH($A98,'Base de Personas'!$B7:B21,0)),IFERROR(INDEX($C$5:C97,MATCH($A98,$A$5:A97,0)),""))),"Á","A"),"É","E"),"Í","I"),"Ó","O"),"Ú","U"),"Ü","U")))</f>
        <v/>
      </c>
      <c r="D98" s="36" t="str">
        <f aca="false">IF($A98="","",TRIM(SUBSTITUTE(SUBSTITUTE(SUBSTITUTE(SUBSTITUTE(SUBSTITUTE(SUBSTITUTE(UPPER(IFERROR(INDEX('Base de Personas'!$E7:E21,MATCH($A98,'Base de Personas'!$B7:B21,0)),IFERROR(INDEX($D$5:D97,MATCH($A98,$A$5:A97,0)),""))),"Á","A"),"É","E"),"Í","I"),"Ó","O"),"Ú","U"),"Ü","U")))</f>
        <v/>
      </c>
      <c r="E98" s="36" t="str">
        <f aca="false">IF($A98="","",TRIM(SUBSTITUTE(SUBSTITUTE(SUBSTITUTE(SUBSTITUTE(SUBSTITUTE(SUBSTITUTE(UPPER(IFERROR(INDEX('Base de Personas'!$F7:F21,MATCH($A98,'Base de Personas'!$B7:B21,0)),IFERROR(INDEX($E$5:E97,MATCH($A98,$A$5:A97,0)),""))),"Á","A"),"É","E"),"Í","I"),"Ó","O"),"Ú","U"),"Ü","U")))</f>
        <v/>
      </c>
      <c r="F98" s="36" t="str">
        <f aca="false">IF($A98="","",TRIM(SUBSTITUTE(SUBSTITUTE(SUBSTITUTE(SUBSTITUTE(SUBSTITUTE(SUBSTITUTE(UPPER(IFERROR(INDEX('Base de Personas'!$G7:G21,MATCH($A98,'Base de Personas'!$B7:B21,0)),IFERROR(INDEX($F$5:F97,MATCH($A98,$A$5:A97,0)),""))),"Á","A"),"É","E"),"Í","I"),"Ó","O"),"Ú","U"),"Ü","U")))</f>
        <v/>
      </c>
      <c r="G98" s="37" t="str">
        <f aca="false">IF($A98="","",TRIM(SUBSTITUTE(SUBSTITUTE(SUBSTITUTE(SUBSTITUTE(SUBSTITUTE(SUBSTITUTE(UPPER(IFERROR(INDEX('Base de Personas'!$H7:H21,MATCH($A98,'Base de Personas'!$B7:B21,0)),IFERROR(INDEX($G$5:G97,MATCH($A98,$A$5:A97,0)),""))),"Á","A"),"É","E"),"Í","I"),"Ó","O"),"Ú","U"),"Ü","U")))</f>
        <v/>
      </c>
      <c r="H98" s="38" t="str">
        <f aca="false">IF($A98="","",IFERROR(INDEX('Base de Personas'!$I$7:$I$21,MATCH($A98,'Base de Personas'!$B$7:$B$21,0)),IFERROR(INDEX($H$5:H97,MATCH($A98,$A$5:A97,0)),"")))</f>
        <v/>
      </c>
      <c r="I98" s="39"/>
      <c r="J98" s="40"/>
      <c r="K98" s="40"/>
      <c r="L98" s="39"/>
      <c r="M98" s="41" t="str">
        <f aca="false">IF($A98="","",IF(K98=_xlfn.MAXIFS($K$5:$K$304,$A$5:$A$304,$A98),1,0))</f>
        <v/>
      </c>
      <c r="N98" s="41" t="str">
        <f aca="false">IF($A98="","",IF(M98=1,$A98&amp;"-ACT",""))</f>
        <v/>
      </c>
      <c r="O98" s="41" t="str">
        <f aca="false">IF($A98="","",IF(AND(COUNTIF('Base de Personas'!$B$7:$B$21,$A98)=0,COUNTIF($A$5:A98,$A98)=1),1,0))</f>
        <v/>
      </c>
      <c r="P98" s="41" t="str">
        <f aca="false">IF(O98=1,SUM($O$5:O98),"")</f>
        <v/>
      </c>
    </row>
    <row r="99" customFormat="false" ht="15" hidden="false" customHeight="false" outlineLevel="0" collapsed="false">
      <c r="A99" s="35"/>
      <c r="B99" s="36" t="str">
        <f aca="false">IF($A99="","",TRIM(SUBSTITUTE(SUBSTITUTE(SUBSTITUTE(SUBSTITUTE(SUBSTITUTE(SUBSTITUTE(UPPER(IFERROR(INDEX('Base de Personas'!$C7:C21,MATCH($A99,'Base de Personas'!$B7:B21,0)),IFERROR(INDEX($B$5:B98,MATCH($A99,$A$5:A98,0)),""))),"Á","A"),"É","E"),"Í","I"),"Ó","O"),"Ú","U"),"Ü","U")))</f>
        <v/>
      </c>
      <c r="C99" s="37" t="str">
        <f aca="false">IF($A99="","",TRIM(SUBSTITUTE(SUBSTITUTE(SUBSTITUTE(SUBSTITUTE(SUBSTITUTE(SUBSTITUTE(UPPER(IFERROR(INDEX('Base de Personas'!$D7:D21,MATCH($A99,'Base de Personas'!$B7:B21,0)),IFERROR(INDEX($C$5:C98,MATCH($A99,$A$5:A98,0)),""))),"Á","A"),"É","E"),"Í","I"),"Ó","O"),"Ú","U"),"Ü","U")))</f>
        <v/>
      </c>
      <c r="D99" s="36" t="str">
        <f aca="false">IF($A99="","",TRIM(SUBSTITUTE(SUBSTITUTE(SUBSTITUTE(SUBSTITUTE(SUBSTITUTE(SUBSTITUTE(UPPER(IFERROR(INDEX('Base de Personas'!$E7:E21,MATCH($A99,'Base de Personas'!$B7:B21,0)),IFERROR(INDEX($D$5:D98,MATCH($A99,$A$5:A98,0)),""))),"Á","A"),"É","E"),"Í","I"),"Ó","O"),"Ú","U"),"Ü","U")))</f>
        <v/>
      </c>
      <c r="E99" s="36" t="str">
        <f aca="false">IF($A99="","",TRIM(SUBSTITUTE(SUBSTITUTE(SUBSTITUTE(SUBSTITUTE(SUBSTITUTE(SUBSTITUTE(UPPER(IFERROR(INDEX('Base de Personas'!$F7:F21,MATCH($A99,'Base de Personas'!$B7:B21,0)),IFERROR(INDEX($E$5:E98,MATCH($A99,$A$5:A98,0)),""))),"Á","A"),"É","E"),"Í","I"),"Ó","O"),"Ú","U"),"Ü","U")))</f>
        <v/>
      </c>
      <c r="F99" s="36" t="str">
        <f aca="false">IF($A99="","",TRIM(SUBSTITUTE(SUBSTITUTE(SUBSTITUTE(SUBSTITUTE(SUBSTITUTE(SUBSTITUTE(UPPER(IFERROR(INDEX('Base de Personas'!$G7:G21,MATCH($A99,'Base de Personas'!$B7:B21,0)),IFERROR(INDEX($F$5:F98,MATCH($A99,$A$5:A98,0)),""))),"Á","A"),"É","E"),"Í","I"),"Ó","O"),"Ú","U"),"Ü","U")))</f>
        <v/>
      </c>
      <c r="G99" s="37" t="str">
        <f aca="false">IF($A99="","",TRIM(SUBSTITUTE(SUBSTITUTE(SUBSTITUTE(SUBSTITUTE(SUBSTITUTE(SUBSTITUTE(UPPER(IFERROR(INDEX('Base de Personas'!$H7:H21,MATCH($A99,'Base de Personas'!$B7:B21,0)),IFERROR(INDEX($G$5:G98,MATCH($A99,$A$5:A98,0)),""))),"Á","A"),"É","E"),"Í","I"),"Ó","O"),"Ú","U"),"Ü","U")))</f>
        <v/>
      </c>
      <c r="H99" s="38" t="str">
        <f aca="false">IF($A99="","",IFERROR(INDEX('Base de Personas'!$I$7:$I$21,MATCH($A99,'Base de Personas'!$B$7:$B$21,0)),IFERROR(INDEX($H$5:H98,MATCH($A99,$A$5:A98,0)),"")))</f>
        <v/>
      </c>
      <c r="I99" s="39"/>
      <c r="J99" s="40"/>
      <c r="K99" s="40"/>
      <c r="L99" s="39"/>
      <c r="M99" s="41" t="str">
        <f aca="false">IF($A99="","",IF(K99=_xlfn.MAXIFS($K$5:$K$304,$A$5:$A$304,$A99),1,0))</f>
        <v/>
      </c>
      <c r="N99" s="41" t="str">
        <f aca="false">IF($A99="","",IF(M99=1,$A99&amp;"-ACT",""))</f>
        <v/>
      </c>
      <c r="O99" s="41" t="str">
        <f aca="false">IF($A99="","",IF(AND(COUNTIF('Base de Personas'!$B$7:$B$21,$A99)=0,COUNTIF($A$5:A99,$A99)=1),1,0))</f>
        <v/>
      </c>
      <c r="P99" s="41" t="str">
        <f aca="false">IF(O99=1,SUM($O$5:O99),"")</f>
        <v/>
      </c>
    </row>
    <row r="100" customFormat="false" ht="15" hidden="false" customHeight="false" outlineLevel="0" collapsed="false">
      <c r="A100" s="35"/>
      <c r="B100" s="36" t="str">
        <f aca="false">IF($A100="","",TRIM(SUBSTITUTE(SUBSTITUTE(SUBSTITUTE(SUBSTITUTE(SUBSTITUTE(SUBSTITUTE(UPPER(IFERROR(INDEX('Base de Personas'!$C7:C21,MATCH($A100,'Base de Personas'!$B7:B21,0)),IFERROR(INDEX($B$5:B99,MATCH($A100,$A$5:A99,0)),""))),"Á","A"),"É","E"),"Í","I"),"Ó","O"),"Ú","U"),"Ü","U")))</f>
        <v/>
      </c>
      <c r="C100" s="37" t="str">
        <f aca="false">IF($A100="","",TRIM(SUBSTITUTE(SUBSTITUTE(SUBSTITUTE(SUBSTITUTE(SUBSTITUTE(SUBSTITUTE(UPPER(IFERROR(INDEX('Base de Personas'!$D7:D21,MATCH($A100,'Base de Personas'!$B7:B21,0)),IFERROR(INDEX($C$5:C99,MATCH($A100,$A$5:A99,0)),""))),"Á","A"),"É","E"),"Í","I"),"Ó","O"),"Ú","U"),"Ü","U")))</f>
        <v/>
      </c>
      <c r="D100" s="36" t="str">
        <f aca="false">IF($A100="","",TRIM(SUBSTITUTE(SUBSTITUTE(SUBSTITUTE(SUBSTITUTE(SUBSTITUTE(SUBSTITUTE(UPPER(IFERROR(INDEX('Base de Personas'!$E7:E21,MATCH($A100,'Base de Personas'!$B7:B21,0)),IFERROR(INDEX($D$5:D99,MATCH($A100,$A$5:A99,0)),""))),"Á","A"),"É","E"),"Í","I"),"Ó","O"),"Ú","U"),"Ü","U")))</f>
        <v/>
      </c>
      <c r="E100" s="36" t="str">
        <f aca="false">IF($A100="","",TRIM(SUBSTITUTE(SUBSTITUTE(SUBSTITUTE(SUBSTITUTE(SUBSTITUTE(SUBSTITUTE(UPPER(IFERROR(INDEX('Base de Personas'!$F7:F21,MATCH($A100,'Base de Personas'!$B7:B21,0)),IFERROR(INDEX($E$5:E99,MATCH($A100,$A$5:A99,0)),""))),"Á","A"),"É","E"),"Í","I"),"Ó","O"),"Ú","U"),"Ü","U")))</f>
        <v/>
      </c>
      <c r="F100" s="36" t="str">
        <f aca="false">IF($A100="","",TRIM(SUBSTITUTE(SUBSTITUTE(SUBSTITUTE(SUBSTITUTE(SUBSTITUTE(SUBSTITUTE(UPPER(IFERROR(INDEX('Base de Personas'!$G7:G21,MATCH($A100,'Base de Personas'!$B7:B21,0)),IFERROR(INDEX($F$5:F99,MATCH($A100,$A$5:A99,0)),""))),"Á","A"),"É","E"),"Í","I"),"Ó","O"),"Ú","U"),"Ü","U")))</f>
        <v/>
      </c>
      <c r="G100" s="37" t="str">
        <f aca="false">IF($A100="","",TRIM(SUBSTITUTE(SUBSTITUTE(SUBSTITUTE(SUBSTITUTE(SUBSTITUTE(SUBSTITUTE(UPPER(IFERROR(INDEX('Base de Personas'!$H7:H21,MATCH($A100,'Base de Personas'!$B7:B21,0)),IFERROR(INDEX($G$5:G99,MATCH($A100,$A$5:A99,0)),""))),"Á","A"),"É","E"),"Í","I"),"Ó","O"),"Ú","U"),"Ü","U")))</f>
        <v/>
      </c>
      <c r="H100" s="38" t="str">
        <f aca="false">IF($A100="","",IFERROR(INDEX('Base de Personas'!$I$7:$I$21,MATCH($A100,'Base de Personas'!$B$7:$B$21,0)),IFERROR(INDEX($H$5:H99,MATCH($A100,$A$5:A99,0)),"")))</f>
        <v/>
      </c>
      <c r="I100" s="39"/>
      <c r="J100" s="40"/>
      <c r="K100" s="40"/>
      <c r="L100" s="39"/>
      <c r="M100" s="41" t="str">
        <f aca="false">IF($A100="","",IF(K100=_xlfn.MAXIFS($K$5:$K$304,$A$5:$A$304,$A100),1,0))</f>
        <v/>
      </c>
      <c r="N100" s="41" t="str">
        <f aca="false">IF($A100="","",IF(M100=1,$A100&amp;"-ACT",""))</f>
        <v/>
      </c>
      <c r="O100" s="41" t="str">
        <f aca="false">IF($A100="","",IF(AND(COUNTIF('Base de Personas'!$B$7:$B$21,$A100)=0,COUNTIF($A$5:A100,$A100)=1),1,0))</f>
        <v/>
      </c>
      <c r="P100" s="41" t="str">
        <f aca="false">IF(O100=1,SUM($O$5:O100),"")</f>
        <v/>
      </c>
    </row>
    <row r="101" customFormat="false" ht="15" hidden="false" customHeight="false" outlineLevel="0" collapsed="false">
      <c r="A101" s="35"/>
      <c r="B101" s="36" t="str">
        <f aca="false">IF($A101="","",TRIM(SUBSTITUTE(SUBSTITUTE(SUBSTITUTE(SUBSTITUTE(SUBSTITUTE(SUBSTITUTE(UPPER(IFERROR(INDEX('Base de Personas'!$C7:C21,MATCH($A101,'Base de Personas'!$B7:B21,0)),IFERROR(INDEX($B$5:B100,MATCH($A101,$A$5:A100,0)),""))),"Á","A"),"É","E"),"Í","I"),"Ó","O"),"Ú","U"),"Ü","U")))</f>
        <v/>
      </c>
      <c r="C101" s="37" t="str">
        <f aca="false">IF($A101="","",TRIM(SUBSTITUTE(SUBSTITUTE(SUBSTITUTE(SUBSTITUTE(SUBSTITUTE(SUBSTITUTE(UPPER(IFERROR(INDEX('Base de Personas'!$D7:D21,MATCH($A101,'Base de Personas'!$B7:B21,0)),IFERROR(INDEX($C$5:C100,MATCH($A101,$A$5:A100,0)),""))),"Á","A"),"É","E"),"Í","I"),"Ó","O"),"Ú","U"),"Ü","U")))</f>
        <v/>
      </c>
      <c r="D101" s="36" t="str">
        <f aca="false">IF($A101="","",TRIM(SUBSTITUTE(SUBSTITUTE(SUBSTITUTE(SUBSTITUTE(SUBSTITUTE(SUBSTITUTE(UPPER(IFERROR(INDEX('Base de Personas'!$E7:E21,MATCH($A101,'Base de Personas'!$B7:B21,0)),IFERROR(INDEX($D$5:D100,MATCH($A101,$A$5:A100,0)),""))),"Á","A"),"É","E"),"Í","I"),"Ó","O"),"Ú","U"),"Ü","U")))</f>
        <v/>
      </c>
      <c r="E101" s="36" t="str">
        <f aca="false">IF($A101="","",TRIM(SUBSTITUTE(SUBSTITUTE(SUBSTITUTE(SUBSTITUTE(SUBSTITUTE(SUBSTITUTE(UPPER(IFERROR(INDEX('Base de Personas'!$F7:F21,MATCH($A101,'Base de Personas'!$B7:B21,0)),IFERROR(INDEX($E$5:E100,MATCH($A101,$A$5:A100,0)),""))),"Á","A"),"É","E"),"Í","I"),"Ó","O"),"Ú","U"),"Ü","U")))</f>
        <v/>
      </c>
      <c r="F101" s="36" t="str">
        <f aca="false">IF($A101="","",TRIM(SUBSTITUTE(SUBSTITUTE(SUBSTITUTE(SUBSTITUTE(SUBSTITUTE(SUBSTITUTE(UPPER(IFERROR(INDEX('Base de Personas'!$G7:G21,MATCH($A101,'Base de Personas'!$B7:B21,0)),IFERROR(INDEX($F$5:F100,MATCH($A101,$A$5:A100,0)),""))),"Á","A"),"É","E"),"Í","I"),"Ó","O"),"Ú","U"),"Ü","U")))</f>
        <v/>
      </c>
      <c r="G101" s="37" t="str">
        <f aca="false">IF($A101="","",TRIM(SUBSTITUTE(SUBSTITUTE(SUBSTITUTE(SUBSTITUTE(SUBSTITUTE(SUBSTITUTE(UPPER(IFERROR(INDEX('Base de Personas'!$H7:H21,MATCH($A101,'Base de Personas'!$B7:B21,0)),IFERROR(INDEX($G$5:G100,MATCH($A101,$A$5:A100,0)),""))),"Á","A"),"É","E"),"Í","I"),"Ó","O"),"Ú","U"),"Ü","U")))</f>
        <v/>
      </c>
      <c r="H101" s="38" t="str">
        <f aca="false">IF($A101="","",IFERROR(INDEX('Base de Personas'!$I$7:$I$21,MATCH($A101,'Base de Personas'!$B$7:$B$21,0)),IFERROR(INDEX($H$5:H100,MATCH($A101,$A$5:A100,0)),"")))</f>
        <v/>
      </c>
      <c r="I101" s="39"/>
      <c r="J101" s="40"/>
      <c r="K101" s="40"/>
      <c r="L101" s="39"/>
      <c r="M101" s="41" t="str">
        <f aca="false">IF($A101="","",IF(K101=_xlfn.MAXIFS($K$5:$K$304,$A$5:$A$304,$A101),1,0))</f>
        <v/>
      </c>
      <c r="N101" s="41" t="str">
        <f aca="false">IF($A101="","",IF(M101=1,$A101&amp;"-ACT",""))</f>
        <v/>
      </c>
      <c r="O101" s="41" t="str">
        <f aca="false">IF($A101="","",IF(AND(COUNTIF('Base de Personas'!$B$7:$B$21,$A101)=0,COUNTIF($A$5:A101,$A101)=1),1,0))</f>
        <v/>
      </c>
      <c r="P101" s="41" t="str">
        <f aca="false">IF(O101=1,SUM($O$5:O101),"")</f>
        <v/>
      </c>
    </row>
    <row r="102" customFormat="false" ht="15" hidden="false" customHeight="false" outlineLevel="0" collapsed="false">
      <c r="A102" s="35"/>
      <c r="B102" s="36" t="str">
        <f aca="false">IF($A102="","",TRIM(SUBSTITUTE(SUBSTITUTE(SUBSTITUTE(SUBSTITUTE(SUBSTITUTE(SUBSTITUTE(UPPER(IFERROR(INDEX('Base de Personas'!$C7:C21,MATCH($A102,'Base de Personas'!$B7:B21,0)),IFERROR(INDEX($B$5:B101,MATCH($A102,$A$5:A101,0)),""))),"Á","A"),"É","E"),"Í","I"),"Ó","O"),"Ú","U"),"Ü","U")))</f>
        <v/>
      </c>
      <c r="C102" s="37" t="str">
        <f aca="false">IF($A102="","",TRIM(SUBSTITUTE(SUBSTITUTE(SUBSTITUTE(SUBSTITUTE(SUBSTITUTE(SUBSTITUTE(UPPER(IFERROR(INDEX('Base de Personas'!$D7:D21,MATCH($A102,'Base de Personas'!$B7:B21,0)),IFERROR(INDEX($C$5:C101,MATCH($A102,$A$5:A101,0)),""))),"Á","A"),"É","E"),"Í","I"),"Ó","O"),"Ú","U"),"Ü","U")))</f>
        <v/>
      </c>
      <c r="D102" s="36" t="str">
        <f aca="false">IF($A102="","",TRIM(SUBSTITUTE(SUBSTITUTE(SUBSTITUTE(SUBSTITUTE(SUBSTITUTE(SUBSTITUTE(UPPER(IFERROR(INDEX('Base de Personas'!$E7:E21,MATCH($A102,'Base de Personas'!$B7:B21,0)),IFERROR(INDEX($D$5:D101,MATCH($A102,$A$5:A101,0)),""))),"Á","A"),"É","E"),"Í","I"),"Ó","O"),"Ú","U"),"Ü","U")))</f>
        <v/>
      </c>
      <c r="E102" s="36" t="str">
        <f aca="false">IF($A102="","",TRIM(SUBSTITUTE(SUBSTITUTE(SUBSTITUTE(SUBSTITUTE(SUBSTITUTE(SUBSTITUTE(UPPER(IFERROR(INDEX('Base de Personas'!$F7:F21,MATCH($A102,'Base de Personas'!$B7:B21,0)),IFERROR(INDEX($E$5:E101,MATCH($A102,$A$5:A101,0)),""))),"Á","A"),"É","E"),"Í","I"),"Ó","O"),"Ú","U"),"Ü","U")))</f>
        <v/>
      </c>
      <c r="F102" s="36" t="str">
        <f aca="false">IF($A102="","",TRIM(SUBSTITUTE(SUBSTITUTE(SUBSTITUTE(SUBSTITUTE(SUBSTITUTE(SUBSTITUTE(UPPER(IFERROR(INDEX('Base de Personas'!$G7:G21,MATCH($A102,'Base de Personas'!$B7:B21,0)),IFERROR(INDEX($F$5:F101,MATCH($A102,$A$5:A101,0)),""))),"Á","A"),"É","E"),"Í","I"),"Ó","O"),"Ú","U"),"Ü","U")))</f>
        <v/>
      </c>
      <c r="G102" s="37" t="str">
        <f aca="false">IF($A102="","",TRIM(SUBSTITUTE(SUBSTITUTE(SUBSTITUTE(SUBSTITUTE(SUBSTITUTE(SUBSTITUTE(UPPER(IFERROR(INDEX('Base de Personas'!$H7:H21,MATCH($A102,'Base de Personas'!$B7:B21,0)),IFERROR(INDEX($G$5:G101,MATCH($A102,$A$5:A101,0)),""))),"Á","A"),"É","E"),"Í","I"),"Ó","O"),"Ú","U"),"Ü","U")))</f>
        <v/>
      </c>
      <c r="H102" s="38" t="str">
        <f aca="false">IF($A102="","",IFERROR(INDEX('Base de Personas'!$I$7:$I$21,MATCH($A102,'Base de Personas'!$B$7:$B$21,0)),IFERROR(INDEX($H$5:H101,MATCH($A102,$A$5:A101,0)),"")))</f>
        <v/>
      </c>
      <c r="I102" s="39"/>
      <c r="J102" s="40"/>
      <c r="K102" s="40"/>
      <c r="L102" s="39"/>
      <c r="M102" s="41" t="str">
        <f aca="false">IF($A102="","",IF(K102=_xlfn.MAXIFS($K$5:$K$304,$A$5:$A$304,$A102),1,0))</f>
        <v/>
      </c>
      <c r="N102" s="41" t="str">
        <f aca="false">IF($A102="","",IF(M102=1,$A102&amp;"-ACT",""))</f>
        <v/>
      </c>
      <c r="O102" s="41" t="str">
        <f aca="false">IF($A102="","",IF(AND(COUNTIF('Base de Personas'!$B$7:$B$21,$A102)=0,COUNTIF($A$5:A102,$A102)=1),1,0))</f>
        <v/>
      </c>
      <c r="P102" s="41" t="str">
        <f aca="false">IF(O102=1,SUM($O$5:O102),"")</f>
        <v/>
      </c>
    </row>
    <row r="103" customFormat="false" ht="15" hidden="false" customHeight="false" outlineLevel="0" collapsed="false">
      <c r="A103" s="35"/>
      <c r="B103" s="36" t="str">
        <f aca="false">IF($A103="","",TRIM(SUBSTITUTE(SUBSTITUTE(SUBSTITUTE(SUBSTITUTE(SUBSTITUTE(SUBSTITUTE(UPPER(IFERROR(INDEX('Base de Personas'!$C7:C21,MATCH($A103,'Base de Personas'!$B7:B21,0)),IFERROR(INDEX($B$5:B102,MATCH($A103,$A$5:A102,0)),""))),"Á","A"),"É","E"),"Í","I"),"Ó","O"),"Ú","U"),"Ü","U")))</f>
        <v/>
      </c>
      <c r="C103" s="37" t="str">
        <f aca="false">IF($A103="","",TRIM(SUBSTITUTE(SUBSTITUTE(SUBSTITUTE(SUBSTITUTE(SUBSTITUTE(SUBSTITUTE(UPPER(IFERROR(INDEX('Base de Personas'!$D7:D21,MATCH($A103,'Base de Personas'!$B7:B21,0)),IFERROR(INDEX($C$5:C102,MATCH($A103,$A$5:A102,0)),""))),"Á","A"),"É","E"),"Í","I"),"Ó","O"),"Ú","U"),"Ü","U")))</f>
        <v/>
      </c>
      <c r="D103" s="36" t="str">
        <f aca="false">IF($A103="","",TRIM(SUBSTITUTE(SUBSTITUTE(SUBSTITUTE(SUBSTITUTE(SUBSTITUTE(SUBSTITUTE(UPPER(IFERROR(INDEX('Base de Personas'!$E7:E21,MATCH($A103,'Base de Personas'!$B7:B21,0)),IFERROR(INDEX($D$5:D102,MATCH($A103,$A$5:A102,0)),""))),"Á","A"),"É","E"),"Í","I"),"Ó","O"),"Ú","U"),"Ü","U")))</f>
        <v/>
      </c>
      <c r="E103" s="36" t="str">
        <f aca="false">IF($A103="","",TRIM(SUBSTITUTE(SUBSTITUTE(SUBSTITUTE(SUBSTITUTE(SUBSTITUTE(SUBSTITUTE(UPPER(IFERROR(INDEX('Base de Personas'!$F7:F21,MATCH($A103,'Base de Personas'!$B7:B21,0)),IFERROR(INDEX($E$5:E102,MATCH($A103,$A$5:A102,0)),""))),"Á","A"),"É","E"),"Í","I"),"Ó","O"),"Ú","U"),"Ü","U")))</f>
        <v/>
      </c>
      <c r="F103" s="36" t="str">
        <f aca="false">IF($A103="","",TRIM(SUBSTITUTE(SUBSTITUTE(SUBSTITUTE(SUBSTITUTE(SUBSTITUTE(SUBSTITUTE(UPPER(IFERROR(INDEX('Base de Personas'!$G7:G21,MATCH($A103,'Base de Personas'!$B7:B21,0)),IFERROR(INDEX($F$5:F102,MATCH($A103,$A$5:A102,0)),""))),"Á","A"),"É","E"),"Í","I"),"Ó","O"),"Ú","U"),"Ü","U")))</f>
        <v/>
      </c>
      <c r="G103" s="37" t="str">
        <f aca="false">IF($A103="","",TRIM(SUBSTITUTE(SUBSTITUTE(SUBSTITUTE(SUBSTITUTE(SUBSTITUTE(SUBSTITUTE(UPPER(IFERROR(INDEX('Base de Personas'!$H7:H21,MATCH($A103,'Base de Personas'!$B7:B21,0)),IFERROR(INDEX($G$5:G102,MATCH($A103,$A$5:A102,0)),""))),"Á","A"),"É","E"),"Í","I"),"Ó","O"),"Ú","U"),"Ü","U")))</f>
        <v/>
      </c>
      <c r="H103" s="38" t="str">
        <f aca="false">IF($A103="","",IFERROR(INDEX('Base de Personas'!$I$7:$I$21,MATCH($A103,'Base de Personas'!$B$7:$B$21,0)),IFERROR(INDEX($H$5:H102,MATCH($A103,$A$5:A102,0)),"")))</f>
        <v/>
      </c>
      <c r="I103" s="39"/>
      <c r="J103" s="40"/>
      <c r="K103" s="40"/>
      <c r="L103" s="39"/>
      <c r="M103" s="41" t="str">
        <f aca="false">IF($A103="","",IF(K103=_xlfn.MAXIFS($K$5:$K$304,$A$5:$A$304,$A103),1,0))</f>
        <v/>
      </c>
      <c r="N103" s="41" t="str">
        <f aca="false">IF($A103="","",IF(M103=1,$A103&amp;"-ACT",""))</f>
        <v/>
      </c>
      <c r="O103" s="41" t="str">
        <f aca="false">IF($A103="","",IF(AND(COUNTIF('Base de Personas'!$B$7:$B$21,$A103)=0,COUNTIF($A$5:A103,$A103)=1),1,0))</f>
        <v/>
      </c>
      <c r="P103" s="41" t="str">
        <f aca="false">IF(O103=1,SUM($O$5:O103),"")</f>
        <v/>
      </c>
    </row>
    <row r="104" customFormat="false" ht="15" hidden="false" customHeight="false" outlineLevel="0" collapsed="false">
      <c r="A104" s="35"/>
      <c r="B104" s="36" t="str">
        <f aca="false">IF($A104="","",TRIM(SUBSTITUTE(SUBSTITUTE(SUBSTITUTE(SUBSTITUTE(SUBSTITUTE(SUBSTITUTE(UPPER(IFERROR(INDEX('Base de Personas'!$C7:C21,MATCH($A104,'Base de Personas'!$B7:B21,0)),IFERROR(INDEX($B$5:B103,MATCH($A104,$A$5:A103,0)),""))),"Á","A"),"É","E"),"Í","I"),"Ó","O"),"Ú","U"),"Ü","U")))</f>
        <v/>
      </c>
      <c r="C104" s="37" t="str">
        <f aca="false">IF($A104="","",TRIM(SUBSTITUTE(SUBSTITUTE(SUBSTITUTE(SUBSTITUTE(SUBSTITUTE(SUBSTITUTE(UPPER(IFERROR(INDEX('Base de Personas'!$D7:D21,MATCH($A104,'Base de Personas'!$B7:B21,0)),IFERROR(INDEX($C$5:C103,MATCH($A104,$A$5:A103,0)),""))),"Á","A"),"É","E"),"Í","I"),"Ó","O"),"Ú","U"),"Ü","U")))</f>
        <v/>
      </c>
      <c r="D104" s="36" t="str">
        <f aca="false">IF($A104="","",TRIM(SUBSTITUTE(SUBSTITUTE(SUBSTITUTE(SUBSTITUTE(SUBSTITUTE(SUBSTITUTE(UPPER(IFERROR(INDEX('Base de Personas'!$E7:E21,MATCH($A104,'Base de Personas'!$B7:B21,0)),IFERROR(INDEX($D$5:D103,MATCH($A104,$A$5:A103,0)),""))),"Á","A"),"É","E"),"Í","I"),"Ó","O"),"Ú","U"),"Ü","U")))</f>
        <v/>
      </c>
      <c r="E104" s="36" t="str">
        <f aca="false">IF($A104="","",TRIM(SUBSTITUTE(SUBSTITUTE(SUBSTITUTE(SUBSTITUTE(SUBSTITUTE(SUBSTITUTE(UPPER(IFERROR(INDEX('Base de Personas'!$F7:F21,MATCH($A104,'Base de Personas'!$B7:B21,0)),IFERROR(INDEX($E$5:E103,MATCH($A104,$A$5:A103,0)),""))),"Á","A"),"É","E"),"Í","I"),"Ó","O"),"Ú","U"),"Ü","U")))</f>
        <v/>
      </c>
      <c r="F104" s="36" t="str">
        <f aca="false">IF($A104="","",TRIM(SUBSTITUTE(SUBSTITUTE(SUBSTITUTE(SUBSTITUTE(SUBSTITUTE(SUBSTITUTE(UPPER(IFERROR(INDEX('Base de Personas'!$G7:G21,MATCH($A104,'Base de Personas'!$B7:B21,0)),IFERROR(INDEX($F$5:F103,MATCH($A104,$A$5:A103,0)),""))),"Á","A"),"É","E"),"Í","I"),"Ó","O"),"Ú","U"),"Ü","U")))</f>
        <v/>
      </c>
      <c r="G104" s="37" t="str">
        <f aca="false">IF($A104="","",TRIM(SUBSTITUTE(SUBSTITUTE(SUBSTITUTE(SUBSTITUTE(SUBSTITUTE(SUBSTITUTE(UPPER(IFERROR(INDEX('Base de Personas'!$H7:H21,MATCH($A104,'Base de Personas'!$B7:B21,0)),IFERROR(INDEX($G$5:G103,MATCH($A104,$A$5:A103,0)),""))),"Á","A"),"É","E"),"Í","I"),"Ó","O"),"Ú","U"),"Ü","U")))</f>
        <v/>
      </c>
      <c r="H104" s="38" t="str">
        <f aca="false">IF($A104="","",IFERROR(INDEX('Base de Personas'!$I$7:$I$21,MATCH($A104,'Base de Personas'!$B$7:$B$21,0)),IFERROR(INDEX($H$5:H103,MATCH($A104,$A$5:A103,0)),"")))</f>
        <v/>
      </c>
      <c r="I104" s="39"/>
      <c r="J104" s="40"/>
      <c r="K104" s="40"/>
      <c r="L104" s="39"/>
      <c r="M104" s="41" t="str">
        <f aca="false">IF($A104="","",IF(K104=_xlfn.MAXIFS($K$5:$K$304,$A$5:$A$304,$A104),1,0))</f>
        <v/>
      </c>
      <c r="N104" s="41" t="str">
        <f aca="false">IF($A104="","",IF(M104=1,$A104&amp;"-ACT",""))</f>
        <v/>
      </c>
      <c r="O104" s="41" t="str">
        <f aca="false">IF($A104="","",IF(AND(COUNTIF('Base de Personas'!$B$7:$B$21,$A104)=0,COUNTIF($A$5:A104,$A104)=1),1,0))</f>
        <v/>
      </c>
      <c r="P104" s="41" t="str">
        <f aca="false">IF(O104=1,SUM($O$5:O104),"")</f>
        <v/>
      </c>
    </row>
    <row r="105" customFormat="false" ht="15" hidden="false" customHeight="false" outlineLevel="0" collapsed="false">
      <c r="A105" s="35"/>
      <c r="B105" s="36" t="str">
        <f aca="false">IF($A105="","",TRIM(SUBSTITUTE(SUBSTITUTE(SUBSTITUTE(SUBSTITUTE(SUBSTITUTE(SUBSTITUTE(UPPER(IFERROR(INDEX('Base de Personas'!$C7:C21,MATCH($A105,'Base de Personas'!$B7:B21,0)),IFERROR(INDEX($B$5:B104,MATCH($A105,$A$5:A104,0)),""))),"Á","A"),"É","E"),"Í","I"),"Ó","O"),"Ú","U"),"Ü","U")))</f>
        <v/>
      </c>
      <c r="C105" s="37" t="str">
        <f aca="false">IF($A105="","",TRIM(SUBSTITUTE(SUBSTITUTE(SUBSTITUTE(SUBSTITUTE(SUBSTITUTE(SUBSTITUTE(UPPER(IFERROR(INDEX('Base de Personas'!$D7:D21,MATCH($A105,'Base de Personas'!$B7:B21,0)),IFERROR(INDEX($C$5:C104,MATCH($A105,$A$5:A104,0)),""))),"Á","A"),"É","E"),"Í","I"),"Ó","O"),"Ú","U"),"Ü","U")))</f>
        <v/>
      </c>
      <c r="D105" s="36" t="str">
        <f aca="false">IF($A105="","",TRIM(SUBSTITUTE(SUBSTITUTE(SUBSTITUTE(SUBSTITUTE(SUBSTITUTE(SUBSTITUTE(UPPER(IFERROR(INDEX('Base de Personas'!$E7:E21,MATCH($A105,'Base de Personas'!$B7:B21,0)),IFERROR(INDEX($D$5:D104,MATCH($A105,$A$5:A104,0)),""))),"Á","A"),"É","E"),"Í","I"),"Ó","O"),"Ú","U"),"Ü","U")))</f>
        <v/>
      </c>
      <c r="E105" s="36" t="str">
        <f aca="false">IF($A105="","",TRIM(SUBSTITUTE(SUBSTITUTE(SUBSTITUTE(SUBSTITUTE(SUBSTITUTE(SUBSTITUTE(UPPER(IFERROR(INDEX('Base de Personas'!$F7:F21,MATCH($A105,'Base de Personas'!$B7:B21,0)),IFERROR(INDEX($E$5:E104,MATCH($A105,$A$5:A104,0)),""))),"Á","A"),"É","E"),"Í","I"),"Ó","O"),"Ú","U"),"Ü","U")))</f>
        <v/>
      </c>
      <c r="F105" s="36" t="str">
        <f aca="false">IF($A105="","",TRIM(SUBSTITUTE(SUBSTITUTE(SUBSTITUTE(SUBSTITUTE(SUBSTITUTE(SUBSTITUTE(UPPER(IFERROR(INDEX('Base de Personas'!$G7:G21,MATCH($A105,'Base de Personas'!$B7:B21,0)),IFERROR(INDEX($F$5:F104,MATCH($A105,$A$5:A104,0)),""))),"Á","A"),"É","E"),"Í","I"),"Ó","O"),"Ú","U"),"Ü","U")))</f>
        <v/>
      </c>
      <c r="G105" s="37" t="str">
        <f aca="false">IF($A105="","",TRIM(SUBSTITUTE(SUBSTITUTE(SUBSTITUTE(SUBSTITUTE(SUBSTITUTE(SUBSTITUTE(UPPER(IFERROR(INDEX('Base de Personas'!$H7:H21,MATCH($A105,'Base de Personas'!$B7:B21,0)),IFERROR(INDEX($G$5:G104,MATCH($A105,$A$5:A104,0)),""))),"Á","A"),"É","E"),"Í","I"),"Ó","O"),"Ú","U"),"Ü","U")))</f>
        <v/>
      </c>
      <c r="H105" s="38" t="str">
        <f aca="false">IF($A105="","",IFERROR(INDEX('Base de Personas'!$I$7:$I$21,MATCH($A105,'Base de Personas'!$B$7:$B$21,0)),IFERROR(INDEX($H$5:H104,MATCH($A105,$A$5:A104,0)),"")))</f>
        <v/>
      </c>
      <c r="I105" s="39"/>
      <c r="J105" s="40"/>
      <c r="K105" s="40"/>
      <c r="L105" s="39"/>
      <c r="M105" s="41" t="str">
        <f aca="false">IF($A105="","",IF(K105=_xlfn.MAXIFS($K$5:$K$304,$A$5:$A$304,$A105),1,0))</f>
        <v/>
      </c>
      <c r="N105" s="41" t="str">
        <f aca="false">IF($A105="","",IF(M105=1,$A105&amp;"-ACT",""))</f>
        <v/>
      </c>
      <c r="O105" s="41" t="str">
        <f aca="false">IF($A105="","",IF(AND(COUNTIF('Base de Personas'!$B$7:$B$21,$A105)=0,COUNTIF($A$5:A105,$A105)=1),1,0))</f>
        <v/>
      </c>
      <c r="P105" s="41" t="str">
        <f aca="false">IF(O105=1,SUM($O$5:O105),"")</f>
        <v/>
      </c>
    </row>
    <row r="106" customFormat="false" ht="15" hidden="false" customHeight="false" outlineLevel="0" collapsed="false">
      <c r="A106" s="35"/>
      <c r="B106" s="36" t="str">
        <f aca="false">IF($A106="","",TRIM(SUBSTITUTE(SUBSTITUTE(SUBSTITUTE(SUBSTITUTE(SUBSTITUTE(SUBSTITUTE(UPPER(IFERROR(INDEX('Base de Personas'!$C7:C21,MATCH($A106,'Base de Personas'!$B7:B21,0)),IFERROR(INDEX($B$5:B105,MATCH($A106,$A$5:A105,0)),""))),"Á","A"),"É","E"),"Í","I"),"Ó","O"),"Ú","U"),"Ü","U")))</f>
        <v/>
      </c>
      <c r="C106" s="37" t="str">
        <f aca="false">IF($A106="","",TRIM(SUBSTITUTE(SUBSTITUTE(SUBSTITUTE(SUBSTITUTE(SUBSTITUTE(SUBSTITUTE(UPPER(IFERROR(INDEX('Base de Personas'!$D7:D21,MATCH($A106,'Base de Personas'!$B7:B21,0)),IFERROR(INDEX($C$5:C105,MATCH($A106,$A$5:A105,0)),""))),"Á","A"),"É","E"),"Í","I"),"Ó","O"),"Ú","U"),"Ü","U")))</f>
        <v/>
      </c>
      <c r="D106" s="36" t="str">
        <f aca="false">IF($A106="","",TRIM(SUBSTITUTE(SUBSTITUTE(SUBSTITUTE(SUBSTITUTE(SUBSTITUTE(SUBSTITUTE(UPPER(IFERROR(INDEX('Base de Personas'!$E7:E21,MATCH($A106,'Base de Personas'!$B7:B21,0)),IFERROR(INDEX($D$5:D105,MATCH($A106,$A$5:A105,0)),""))),"Á","A"),"É","E"),"Í","I"),"Ó","O"),"Ú","U"),"Ü","U")))</f>
        <v/>
      </c>
      <c r="E106" s="36" t="str">
        <f aca="false">IF($A106="","",TRIM(SUBSTITUTE(SUBSTITUTE(SUBSTITUTE(SUBSTITUTE(SUBSTITUTE(SUBSTITUTE(UPPER(IFERROR(INDEX('Base de Personas'!$F7:F21,MATCH($A106,'Base de Personas'!$B7:B21,0)),IFERROR(INDEX($E$5:E105,MATCH($A106,$A$5:A105,0)),""))),"Á","A"),"É","E"),"Í","I"),"Ó","O"),"Ú","U"),"Ü","U")))</f>
        <v/>
      </c>
      <c r="F106" s="36" t="str">
        <f aca="false">IF($A106="","",TRIM(SUBSTITUTE(SUBSTITUTE(SUBSTITUTE(SUBSTITUTE(SUBSTITUTE(SUBSTITUTE(UPPER(IFERROR(INDEX('Base de Personas'!$G7:G21,MATCH($A106,'Base de Personas'!$B7:B21,0)),IFERROR(INDEX($F$5:F105,MATCH($A106,$A$5:A105,0)),""))),"Á","A"),"É","E"),"Í","I"),"Ó","O"),"Ú","U"),"Ü","U")))</f>
        <v/>
      </c>
      <c r="G106" s="37" t="str">
        <f aca="false">IF($A106="","",TRIM(SUBSTITUTE(SUBSTITUTE(SUBSTITUTE(SUBSTITUTE(SUBSTITUTE(SUBSTITUTE(UPPER(IFERROR(INDEX('Base de Personas'!$H7:H21,MATCH($A106,'Base de Personas'!$B7:B21,0)),IFERROR(INDEX($G$5:G105,MATCH($A106,$A$5:A105,0)),""))),"Á","A"),"É","E"),"Í","I"),"Ó","O"),"Ú","U"),"Ü","U")))</f>
        <v/>
      </c>
      <c r="H106" s="38" t="str">
        <f aca="false">IF($A106="","",IFERROR(INDEX('Base de Personas'!$I$7:$I$21,MATCH($A106,'Base de Personas'!$B$7:$B$21,0)),IFERROR(INDEX($H$5:H105,MATCH($A106,$A$5:A105,0)),"")))</f>
        <v/>
      </c>
      <c r="I106" s="39"/>
      <c r="J106" s="40"/>
      <c r="K106" s="40"/>
      <c r="L106" s="39"/>
      <c r="M106" s="41" t="str">
        <f aca="false">IF($A106="","",IF(K106=_xlfn.MAXIFS($K$5:$K$304,$A$5:$A$304,$A106),1,0))</f>
        <v/>
      </c>
      <c r="N106" s="41" t="str">
        <f aca="false">IF($A106="","",IF(M106=1,$A106&amp;"-ACT",""))</f>
        <v/>
      </c>
      <c r="O106" s="41" t="str">
        <f aca="false">IF($A106="","",IF(AND(COUNTIF('Base de Personas'!$B$7:$B$21,$A106)=0,COUNTIF($A$5:A106,$A106)=1),1,0))</f>
        <v/>
      </c>
      <c r="P106" s="41" t="str">
        <f aca="false">IF(O106=1,SUM($O$5:O106),"")</f>
        <v/>
      </c>
    </row>
    <row r="107" customFormat="false" ht="15" hidden="false" customHeight="false" outlineLevel="0" collapsed="false">
      <c r="A107" s="35"/>
      <c r="B107" s="36" t="str">
        <f aca="false">IF($A107="","",TRIM(SUBSTITUTE(SUBSTITUTE(SUBSTITUTE(SUBSTITUTE(SUBSTITUTE(SUBSTITUTE(UPPER(IFERROR(INDEX('Base de Personas'!$C7:C21,MATCH($A107,'Base de Personas'!$B7:B21,0)),IFERROR(INDEX($B$5:B106,MATCH($A107,$A$5:A106,0)),""))),"Á","A"),"É","E"),"Í","I"),"Ó","O"),"Ú","U"),"Ü","U")))</f>
        <v/>
      </c>
      <c r="C107" s="37" t="str">
        <f aca="false">IF($A107="","",TRIM(SUBSTITUTE(SUBSTITUTE(SUBSTITUTE(SUBSTITUTE(SUBSTITUTE(SUBSTITUTE(UPPER(IFERROR(INDEX('Base de Personas'!$D7:D21,MATCH($A107,'Base de Personas'!$B7:B21,0)),IFERROR(INDEX($C$5:C106,MATCH($A107,$A$5:A106,0)),""))),"Á","A"),"É","E"),"Í","I"),"Ó","O"),"Ú","U"),"Ü","U")))</f>
        <v/>
      </c>
      <c r="D107" s="36" t="str">
        <f aca="false">IF($A107="","",TRIM(SUBSTITUTE(SUBSTITUTE(SUBSTITUTE(SUBSTITUTE(SUBSTITUTE(SUBSTITUTE(UPPER(IFERROR(INDEX('Base de Personas'!$E7:E21,MATCH($A107,'Base de Personas'!$B7:B21,0)),IFERROR(INDEX($D$5:D106,MATCH($A107,$A$5:A106,0)),""))),"Á","A"),"É","E"),"Í","I"),"Ó","O"),"Ú","U"),"Ü","U")))</f>
        <v/>
      </c>
      <c r="E107" s="36" t="str">
        <f aca="false">IF($A107="","",TRIM(SUBSTITUTE(SUBSTITUTE(SUBSTITUTE(SUBSTITUTE(SUBSTITUTE(SUBSTITUTE(UPPER(IFERROR(INDEX('Base de Personas'!$F7:F21,MATCH($A107,'Base de Personas'!$B7:B21,0)),IFERROR(INDEX($E$5:E106,MATCH($A107,$A$5:A106,0)),""))),"Á","A"),"É","E"),"Í","I"),"Ó","O"),"Ú","U"),"Ü","U")))</f>
        <v/>
      </c>
      <c r="F107" s="36" t="str">
        <f aca="false">IF($A107="","",TRIM(SUBSTITUTE(SUBSTITUTE(SUBSTITUTE(SUBSTITUTE(SUBSTITUTE(SUBSTITUTE(UPPER(IFERROR(INDEX('Base de Personas'!$G7:G21,MATCH($A107,'Base de Personas'!$B7:B21,0)),IFERROR(INDEX($F$5:F106,MATCH($A107,$A$5:A106,0)),""))),"Á","A"),"É","E"),"Í","I"),"Ó","O"),"Ú","U"),"Ü","U")))</f>
        <v/>
      </c>
      <c r="G107" s="37" t="str">
        <f aca="false">IF($A107="","",TRIM(SUBSTITUTE(SUBSTITUTE(SUBSTITUTE(SUBSTITUTE(SUBSTITUTE(SUBSTITUTE(UPPER(IFERROR(INDEX('Base de Personas'!$H7:H21,MATCH($A107,'Base de Personas'!$B7:B21,0)),IFERROR(INDEX($G$5:G106,MATCH($A107,$A$5:A106,0)),""))),"Á","A"),"É","E"),"Í","I"),"Ó","O"),"Ú","U"),"Ü","U")))</f>
        <v/>
      </c>
      <c r="H107" s="38" t="str">
        <f aca="false">IF($A107="","",IFERROR(INDEX('Base de Personas'!$I$7:$I$21,MATCH($A107,'Base de Personas'!$B$7:$B$21,0)),IFERROR(INDEX($H$5:H106,MATCH($A107,$A$5:A106,0)),"")))</f>
        <v/>
      </c>
      <c r="I107" s="39"/>
      <c r="J107" s="40"/>
      <c r="K107" s="40"/>
      <c r="L107" s="39"/>
      <c r="M107" s="41" t="str">
        <f aca="false">IF($A107="","",IF(K107=_xlfn.MAXIFS($K$5:$K$304,$A$5:$A$304,$A107),1,0))</f>
        <v/>
      </c>
      <c r="N107" s="41" t="str">
        <f aca="false">IF($A107="","",IF(M107=1,$A107&amp;"-ACT",""))</f>
        <v/>
      </c>
      <c r="O107" s="41" t="str">
        <f aca="false">IF($A107="","",IF(AND(COUNTIF('Base de Personas'!$B$7:$B$21,$A107)=0,COUNTIF($A$5:A107,$A107)=1),1,0))</f>
        <v/>
      </c>
      <c r="P107" s="41" t="str">
        <f aca="false">IF(O107=1,SUM($O$5:O107),"")</f>
        <v/>
      </c>
    </row>
    <row r="108" customFormat="false" ht="15" hidden="false" customHeight="false" outlineLevel="0" collapsed="false">
      <c r="A108" s="35"/>
      <c r="B108" s="36" t="str">
        <f aca="false">IF($A108="","",TRIM(SUBSTITUTE(SUBSTITUTE(SUBSTITUTE(SUBSTITUTE(SUBSTITUTE(SUBSTITUTE(UPPER(IFERROR(INDEX('Base de Personas'!$C7:C21,MATCH($A108,'Base de Personas'!$B7:B21,0)),IFERROR(INDEX($B$5:B107,MATCH($A108,$A$5:A107,0)),""))),"Á","A"),"É","E"),"Í","I"),"Ó","O"),"Ú","U"),"Ü","U")))</f>
        <v/>
      </c>
      <c r="C108" s="37" t="str">
        <f aca="false">IF($A108="","",TRIM(SUBSTITUTE(SUBSTITUTE(SUBSTITUTE(SUBSTITUTE(SUBSTITUTE(SUBSTITUTE(UPPER(IFERROR(INDEX('Base de Personas'!$D7:D21,MATCH($A108,'Base de Personas'!$B7:B21,0)),IFERROR(INDEX($C$5:C107,MATCH($A108,$A$5:A107,0)),""))),"Á","A"),"É","E"),"Í","I"),"Ó","O"),"Ú","U"),"Ü","U")))</f>
        <v/>
      </c>
      <c r="D108" s="36" t="str">
        <f aca="false">IF($A108="","",TRIM(SUBSTITUTE(SUBSTITUTE(SUBSTITUTE(SUBSTITUTE(SUBSTITUTE(SUBSTITUTE(UPPER(IFERROR(INDEX('Base de Personas'!$E7:E21,MATCH($A108,'Base de Personas'!$B7:B21,0)),IFERROR(INDEX($D$5:D107,MATCH($A108,$A$5:A107,0)),""))),"Á","A"),"É","E"),"Í","I"),"Ó","O"),"Ú","U"),"Ü","U")))</f>
        <v/>
      </c>
      <c r="E108" s="36" t="str">
        <f aca="false">IF($A108="","",TRIM(SUBSTITUTE(SUBSTITUTE(SUBSTITUTE(SUBSTITUTE(SUBSTITUTE(SUBSTITUTE(UPPER(IFERROR(INDEX('Base de Personas'!$F7:F21,MATCH($A108,'Base de Personas'!$B7:B21,0)),IFERROR(INDEX($E$5:E107,MATCH($A108,$A$5:A107,0)),""))),"Á","A"),"É","E"),"Í","I"),"Ó","O"),"Ú","U"),"Ü","U")))</f>
        <v/>
      </c>
      <c r="F108" s="36" t="str">
        <f aca="false">IF($A108="","",TRIM(SUBSTITUTE(SUBSTITUTE(SUBSTITUTE(SUBSTITUTE(SUBSTITUTE(SUBSTITUTE(UPPER(IFERROR(INDEX('Base de Personas'!$G7:G21,MATCH($A108,'Base de Personas'!$B7:B21,0)),IFERROR(INDEX($F$5:F107,MATCH($A108,$A$5:A107,0)),""))),"Á","A"),"É","E"),"Í","I"),"Ó","O"),"Ú","U"),"Ü","U")))</f>
        <v/>
      </c>
      <c r="G108" s="37" t="str">
        <f aca="false">IF($A108="","",TRIM(SUBSTITUTE(SUBSTITUTE(SUBSTITUTE(SUBSTITUTE(SUBSTITUTE(SUBSTITUTE(UPPER(IFERROR(INDEX('Base de Personas'!$H7:H21,MATCH($A108,'Base de Personas'!$B7:B21,0)),IFERROR(INDEX($G$5:G107,MATCH($A108,$A$5:A107,0)),""))),"Á","A"),"É","E"),"Í","I"),"Ó","O"),"Ú","U"),"Ü","U")))</f>
        <v/>
      </c>
      <c r="H108" s="38" t="str">
        <f aca="false">IF($A108="","",IFERROR(INDEX('Base de Personas'!$I$7:$I$21,MATCH($A108,'Base de Personas'!$B$7:$B$21,0)),IFERROR(INDEX($H$5:H107,MATCH($A108,$A$5:A107,0)),"")))</f>
        <v/>
      </c>
      <c r="I108" s="39"/>
      <c r="J108" s="40"/>
      <c r="K108" s="40"/>
      <c r="L108" s="39"/>
      <c r="M108" s="41" t="str">
        <f aca="false">IF($A108="","",IF(K108=_xlfn.MAXIFS($K$5:$K$304,$A$5:$A$304,$A108),1,0))</f>
        <v/>
      </c>
      <c r="N108" s="41" t="str">
        <f aca="false">IF($A108="","",IF(M108=1,$A108&amp;"-ACT",""))</f>
        <v/>
      </c>
      <c r="O108" s="41" t="str">
        <f aca="false">IF($A108="","",IF(AND(COUNTIF('Base de Personas'!$B$7:$B$21,$A108)=0,COUNTIF($A$5:A108,$A108)=1),1,0))</f>
        <v/>
      </c>
      <c r="P108" s="41" t="str">
        <f aca="false">IF(O108=1,SUM($O$5:O108),"")</f>
        <v/>
      </c>
    </row>
    <row r="109" customFormat="false" ht="15" hidden="false" customHeight="false" outlineLevel="0" collapsed="false">
      <c r="A109" s="35"/>
      <c r="B109" s="36" t="str">
        <f aca="false">IF($A109="","",TRIM(SUBSTITUTE(SUBSTITUTE(SUBSTITUTE(SUBSTITUTE(SUBSTITUTE(SUBSTITUTE(UPPER(IFERROR(INDEX('Base de Personas'!$C7:C21,MATCH($A109,'Base de Personas'!$B7:B21,0)),IFERROR(INDEX($B$5:B108,MATCH($A109,$A$5:A108,0)),""))),"Á","A"),"É","E"),"Í","I"),"Ó","O"),"Ú","U"),"Ü","U")))</f>
        <v/>
      </c>
      <c r="C109" s="37" t="str">
        <f aca="false">IF($A109="","",TRIM(SUBSTITUTE(SUBSTITUTE(SUBSTITUTE(SUBSTITUTE(SUBSTITUTE(SUBSTITUTE(UPPER(IFERROR(INDEX('Base de Personas'!$D7:D21,MATCH($A109,'Base de Personas'!$B7:B21,0)),IFERROR(INDEX($C$5:C108,MATCH($A109,$A$5:A108,0)),""))),"Á","A"),"É","E"),"Í","I"),"Ó","O"),"Ú","U"),"Ü","U")))</f>
        <v/>
      </c>
      <c r="D109" s="36" t="str">
        <f aca="false">IF($A109="","",TRIM(SUBSTITUTE(SUBSTITUTE(SUBSTITUTE(SUBSTITUTE(SUBSTITUTE(SUBSTITUTE(UPPER(IFERROR(INDEX('Base de Personas'!$E7:E21,MATCH($A109,'Base de Personas'!$B7:B21,0)),IFERROR(INDEX($D$5:D108,MATCH($A109,$A$5:A108,0)),""))),"Á","A"),"É","E"),"Í","I"),"Ó","O"),"Ú","U"),"Ü","U")))</f>
        <v/>
      </c>
      <c r="E109" s="36" t="str">
        <f aca="false">IF($A109="","",TRIM(SUBSTITUTE(SUBSTITUTE(SUBSTITUTE(SUBSTITUTE(SUBSTITUTE(SUBSTITUTE(UPPER(IFERROR(INDEX('Base de Personas'!$F7:F21,MATCH($A109,'Base de Personas'!$B7:B21,0)),IFERROR(INDEX($E$5:E108,MATCH($A109,$A$5:A108,0)),""))),"Á","A"),"É","E"),"Í","I"),"Ó","O"),"Ú","U"),"Ü","U")))</f>
        <v/>
      </c>
      <c r="F109" s="36" t="str">
        <f aca="false">IF($A109="","",TRIM(SUBSTITUTE(SUBSTITUTE(SUBSTITUTE(SUBSTITUTE(SUBSTITUTE(SUBSTITUTE(UPPER(IFERROR(INDEX('Base de Personas'!$G7:G21,MATCH($A109,'Base de Personas'!$B7:B21,0)),IFERROR(INDEX($F$5:F108,MATCH($A109,$A$5:A108,0)),""))),"Á","A"),"É","E"),"Í","I"),"Ó","O"),"Ú","U"),"Ü","U")))</f>
        <v/>
      </c>
      <c r="G109" s="37" t="str">
        <f aca="false">IF($A109="","",TRIM(SUBSTITUTE(SUBSTITUTE(SUBSTITUTE(SUBSTITUTE(SUBSTITUTE(SUBSTITUTE(UPPER(IFERROR(INDEX('Base de Personas'!$H7:H21,MATCH($A109,'Base de Personas'!$B7:B21,0)),IFERROR(INDEX($G$5:G108,MATCH($A109,$A$5:A108,0)),""))),"Á","A"),"É","E"),"Í","I"),"Ó","O"),"Ú","U"),"Ü","U")))</f>
        <v/>
      </c>
      <c r="H109" s="38" t="str">
        <f aca="false">IF($A109="","",IFERROR(INDEX('Base de Personas'!$I$7:$I$21,MATCH($A109,'Base de Personas'!$B$7:$B$21,0)),IFERROR(INDEX($H$5:H108,MATCH($A109,$A$5:A108,0)),"")))</f>
        <v/>
      </c>
      <c r="I109" s="39"/>
      <c r="J109" s="40"/>
      <c r="K109" s="40"/>
      <c r="L109" s="39"/>
      <c r="M109" s="41" t="str">
        <f aca="false">IF($A109="","",IF(K109=_xlfn.MAXIFS($K$5:$K$304,$A$5:$A$304,$A109),1,0))</f>
        <v/>
      </c>
      <c r="N109" s="41" t="str">
        <f aca="false">IF($A109="","",IF(M109=1,$A109&amp;"-ACT",""))</f>
        <v/>
      </c>
      <c r="O109" s="41" t="str">
        <f aca="false">IF($A109="","",IF(AND(COUNTIF('Base de Personas'!$B$7:$B$21,$A109)=0,COUNTIF($A$5:A109,$A109)=1),1,0))</f>
        <v/>
      </c>
      <c r="P109" s="41" t="str">
        <f aca="false">IF(O109=1,SUM($O$5:O109),"")</f>
        <v/>
      </c>
    </row>
    <row r="110" customFormat="false" ht="15" hidden="false" customHeight="false" outlineLevel="0" collapsed="false">
      <c r="A110" s="35"/>
      <c r="B110" s="36" t="str">
        <f aca="false">IF($A110="","",TRIM(SUBSTITUTE(SUBSTITUTE(SUBSTITUTE(SUBSTITUTE(SUBSTITUTE(SUBSTITUTE(UPPER(IFERROR(INDEX('Base de Personas'!$C7:C21,MATCH($A110,'Base de Personas'!$B7:B21,0)),IFERROR(INDEX($B$5:B109,MATCH($A110,$A$5:A109,0)),""))),"Á","A"),"É","E"),"Í","I"),"Ó","O"),"Ú","U"),"Ü","U")))</f>
        <v/>
      </c>
      <c r="C110" s="37" t="str">
        <f aca="false">IF($A110="","",TRIM(SUBSTITUTE(SUBSTITUTE(SUBSTITUTE(SUBSTITUTE(SUBSTITUTE(SUBSTITUTE(UPPER(IFERROR(INDEX('Base de Personas'!$D7:D21,MATCH($A110,'Base de Personas'!$B7:B21,0)),IFERROR(INDEX($C$5:C109,MATCH($A110,$A$5:A109,0)),""))),"Á","A"),"É","E"),"Í","I"),"Ó","O"),"Ú","U"),"Ü","U")))</f>
        <v/>
      </c>
      <c r="D110" s="36" t="str">
        <f aca="false">IF($A110="","",TRIM(SUBSTITUTE(SUBSTITUTE(SUBSTITUTE(SUBSTITUTE(SUBSTITUTE(SUBSTITUTE(UPPER(IFERROR(INDEX('Base de Personas'!$E7:E21,MATCH($A110,'Base de Personas'!$B7:B21,0)),IFERROR(INDEX($D$5:D109,MATCH($A110,$A$5:A109,0)),""))),"Á","A"),"É","E"),"Í","I"),"Ó","O"),"Ú","U"),"Ü","U")))</f>
        <v/>
      </c>
      <c r="E110" s="36" t="str">
        <f aca="false">IF($A110="","",TRIM(SUBSTITUTE(SUBSTITUTE(SUBSTITUTE(SUBSTITUTE(SUBSTITUTE(SUBSTITUTE(UPPER(IFERROR(INDEX('Base de Personas'!$F7:F21,MATCH($A110,'Base de Personas'!$B7:B21,0)),IFERROR(INDEX($E$5:E109,MATCH($A110,$A$5:A109,0)),""))),"Á","A"),"É","E"),"Í","I"),"Ó","O"),"Ú","U"),"Ü","U")))</f>
        <v/>
      </c>
      <c r="F110" s="36" t="str">
        <f aca="false">IF($A110="","",TRIM(SUBSTITUTE(SUBSTITUTE(SUBSTITUTE(SUBSTITUTE(SUBSTITUTE(SUBSTITUTE(UPPER(IFERROR(INDEX('Base de Personas'!$G7:G21,MATCH($A110,'Base de Personas'!$B7:B21,0)),IFERROR(INDEX($F$5:F109,MATCH($A110,$A$5:A109,0)),""))),"Á","A"),"É","E"),"Í","I"),"Ó","O"),"Ú","U"),"Ü","U")))</f>
        <v/>
      </c>
      <c r="G110" s="37" t="str">
        <f aca="false">IF($A110="","",TRIM(SUBSTITUTE(SUBSTITUTE(SUBSTITUTE(SUBSTITUTE(SUBSTITUTE(SUBSTITUTE(UPPER(IFERROR(INDEX('Base de Personas'!$H7:H21,MATCH($A110,'Base de Personas'!$B7:B21,0)),IFERROR(INDEX($G$5:G109,MATCH($A110,$A$5:A109,0)),""))),"Á","A"),"É","E"),"Í","I"),"Ó","O"),"Ú","U"),"Ü","U")))</f>
        <v/>
      </c>
      <c r="H110" s="38" t="str">
        <f aca="false">IF($A110="","",IFERROR(INDEX('Base de Personas'!$I$7:$I$21,MATCH($A110,'Base de Personas'!$B$7:$B$21,0)),IFERROR(INDEX($H$5:H109,MATCH($A110,$A$5:A109,0)),"")))</f>
        <v/>
      </c>
      <c r="I110" s="39"/>
      <c r="J110" s="40"/>
      <c r="K110" s="40"/>
      <c r="L110" s="39"/>
      <c r="M110" s="41" t="str">
        <f aca="false">IF($A110="","",IF(K110=_xlfn.MAXIFS($K$5:$K$304,$A$5:$A$304,$A110),1,0))</f>
        <v/>
      </c>
      <c r="N110" s="41" t="str">
        <f aca="false">IF($A110="","",IF(M110=1,$A110&amp;"-ACT",""))</f>
        <v/>
      </c>
      <c r="O110" s="41" t="str">
        <f aca="false">IF($A110="","",IF(AND(COUNTIF('Base de Personas'!$B$7:$B$21,$A110)=0,COUNTIF($A$5:A110,$A110)=1),1,0))</f>
        <v/>
      </c>
      <c r="P110" s="41" t="str">
        <f aca="false">IF(O110=1,SUM($O$5:O110),"")</f>
        <v/>
      </c>
    </row>
    <row r="111" customFormat="false" ht="15" hidden="false" customHeight="false" outlineLevel="0" collapsed="false">
      <c r="A111" s="35"/>
      <c r="B111" s="36" t="str">
        <f aca="false">IF($A111="","",TRIM(SUBSTITUTE(SUBSTITUTE(SUBSTITUTE(SUBSTITUTE(SUBSTITUTE(SUBSTITUTE(UPPER(IFERROR(INDEX('Base de Personas'!$C7:C21,MATCH($A111,'Base de Personas'!$B7:B21,0)),IFERROR(INDEX($B$5:B110,MATCH($A111,$A$5:A110,0)),""))),"Á","A"),"É","E"),"Í","I"),"Ó","O"),"Ú","U"),"Ü","U")))</f>
        <v/>
      </c>
      <c r="C111" s="37" t="str">
        <f aca="false">IF($A111="","",TRIM(SUBSTITUTE(SUBSTITUTE(SUBSTITUTE(SUBSTITUTE(SUBSTITUTE(SUBSTITUTE(UPPER(IFERROR(INDEX('Base de Personas'!$D7:D21,MATCH($A111,'Base de Personas'!$B7:B21,0)),IFERROR(INDEX($C$5:C110,MATCH($A111,$A$5:A110,0)),""))),"Á","A"),"É","E"),"Í","I"),"Ó","O"),"Ú","U"),"Ü","U")))</f>
        <v/>
      </c>
      <c r="D111" s="36" t="str">
        <f aca="false">IF($A111="","",TRIM(SUBSTITUTE(SUBSTITUTE(SUBSTITUTE(SUBSTITUTE(SUBSTITUTE(SUBSTITUTE(UPPER(IFERROR(INDEX('Base de Personas'!$E7:E21,MATCH($A111,'Base de Personas'!$B7:B21,0)),IFERROR(INDEX($D$5:D110,MATCH($A111,$A$5:A110,0)),""))),"Á","A"),"É","E"),"Í","I"),"Ó","O"),"Ú","U"),"Ü","U")))</f>
        <v/>
      </c>
      <c r="E111" s="36" t="str">
        <f aca="false">IF($A111="","",TRIM(SUBSTITUTE(SUBSTITUTE(SUBSTITUTE(SUBSTITUTE(SUBSTITUTE(SUBSTITUTE(UPPER(IFERROR(INDEX('Base de Personas'!$F7:F21,MATCH($A111,'Base de Personas'!$B7:B21,0)),IFERROR(INDEX($E$5:E110,MATCH($A111,$A$5:A110,0)),""))),"Á","A"),"É","E"),"Í","I"),"Ó","O"),"Ú","U"),"Ü","U")))</f>
        <v/>
      </c>
      <c r="F111" s="36" t="str">
        <f aca="false">IF($A111="","",TRIM(SUBSTITUTE(SUBSTITUTE(SUBSTITUTE(SUBSTITUTE(SUBSTITUTE(SUBSTITUTE(UPPER(IFERROR(INDEX('Base de Personas'!$G7:G21,MATCH($A111,'Base de Personas'!$B7:B21,0)),IFERROR(INDEX($F$5:F110,MATCH($A111,$A$5:A110,0)),""))),"Á","A"),"É","E"),"Í","I"),"Ó","O"),"Ú","U"),"Ü","U")))</f>
        <v/>
      </c>
      <c r="G111" s="37" t="str">
        <f aca="false">IF($A111="","",TRIM(SUBSTITUTE(SUBSTITUTE(SUBSTITUTE(SUBSTITUTE(SUBSTITUTE(SUBSTITUTE(UPPER(IFERROR(INDEX('Base de Personas'!$H7:H21,MATCH($A111,'Base de Personas'!$B7:B21,0)),IFERROR(INDEX($G$5:G110,MATCH($A111,$A$5:A110,0)),""))),"Á","A"),"É","E"),"Í","I"),"Ó","O"),"Ú","U"),"Ü","U")))</f>
        <v/>
      </c>
      <c r="H111" s="38" t="str">
        <f aca="false">IF($A111="","",IFERROR(INDEX('Base de Personas'!$I$7:$I$21,MATCH($A111,'Base de Personas'!$B$7:$B$21,0)),IFERROR(INDEX($H$5:H110,MATCH($A111,$A$5:A110,0)),"")))</f>
        <v/>
      </c>
      <c r="I111" s="39"/>
      <c r="J111" s="40"/>
      <c r="K111" s="40"/>
      <c r="L111" s="39"/>
      <c r="M111" s="41" t="str">
        <f aca="false">IF($A111="","",IF(K111=_xlfn.MAXIFS($K$5:$K$304,$A$5:$A$304,$A111),1,0))</f>
        <v/>
      </c>
      <c r="N111" s="41" t="str">
        <f aca="false">IF($A111="","",IF(M111=1,$A111&amp;"-ACT",""))</f>
        <v/>
      </c>
      <c r="O111" s="41" t="str">
        <f aca="false">IF($A111="","",IF(AND(COUNTIF('Base de Personas'!$B$7:$B$21,$A111)=0,COUNTIF($A$5:A111,$A111)=1),1,0))</f>
        <v/>
      </c>
      <c r="P111" s="41" t="str">
        <f aca="false">IF(O111=1,SUM($O$5:O111),"")</f>
        <v/>
      </c>
    </row>
    <row r="112" customFormat="false" ht="15" hidden="false" customHeight="false" outlineLevel="0" collapsed="false">
      <c r="A112" s="35"/>
      <c r="B112" s="36" t="str">
        <f aca="false">IF($A112="","",TRIM(SUBSTITUTE(SUBSTITUTE(SUBSTITUTE(SUBSTITUTE(SUBSTITUTE(SUBSTITUTE(UPPER(IFERROR(INDEX('Base de Personas'!$C7:C21,MATCH($A112,'Base de Personas'!$B7:B21,0)),IFERROR(INDEX($B$5:B111,MATCH($A112,$A$5:A111,0)),""))),"Á","A"),"É","E"),"Í","I"),"Ó","O"),"Ú","U"),"Ü","U")))</f>
        <v/>
      </c>
      <c r="C112" s="37" t="str">
        <f aca="false">IF($A112="","",TRIM(SUBSTITUTE(SUBSTITUTE(SUBSTITUTE(SUBSTITUTE(SUBSTITUTE(SUBSTITUTE(UPPER(IFERROR(INDEX('Base de Personas'!$D7:D21,MATCH($A112,'Base de Personas'!$B7:B21,0)),IFERROR(INDEX($C$5:C111,MATCH($A112,$A$5:A111,0)),""))),"Á","A"),"É","E"),"Í","I"),"Ó","O"),"Ú","U"),"Ü","U")))</f>
        <v/>
      </c>
      <c r="D112" s="36" t="str">
        <f aca="false">IF($A112="","",TRIM(SUBSTITUTE(SUBSTITUTE(SUBSTITUTE(SUBSTITUTE(SUBSTITUTE(SUBSTITUTE(UPPER(IFERROR(INDEX('Base de Personas'!$E7:E21,MATCH($A112,'Base de Personas'!$B7:B21,0)),IFERROR(INDEX($D$5:D111,MATCH($A112,$A$5:A111,0)),""))),"Á","A"),"É","E"),"Í","I"),"Ó","O"),"Ú","U"),"Ü","U")))</f>
        <v/>
      </c>
      <c r="E112" s="36" t="str">
        <f aca="false">IF($A112="","",TRIM(SUBSTITUTE(SUBSTITUTE(SUBSTITUTE(SUBSTITUTE(SUBSTITUTE(SUBSTITUTE(UPPER(IFERROR(INDEX('Base de Personas'!$F7:F21,MATCH($A112,'Base de Personas'!$B7:B21,0)),IFERROR(INDEX($E$5:E111,MATCH($A112,$A$5:A111,0)),""))),"Á","A"),"É","E"),"Í","I"),"Ó","O"),"Ú","U"),"Ü","U")))</f>
        <v/>
      </c>
      <c r="F112" s="36" t="str">
        <f aca="false">IF($A112="","",TRIM(SUBSTITUTE(SUBSTITUTE(SUBSTITUTE(SUBSTITUTE(SUBSTITUTE(SUBSTITUTE(UPPER(IFERROR(INDEX('Base de Personas'!$G7:G21,MATCH($A112,'Base de Personas'!$B7:B21,0)),IFERROR(INDEX($F$5:F111,MATCH($A112,$A$5:A111,0)),""))),"Á","A"),"É","E"),"Í","I"),"Ó","O"),"Ú","U"),"Ü","U")))</f>
        <v/>
      </c>
      <c r="G112" s="37" t="str">
        <f aca="false">IF($A112="","",TRIM(SUBSTITUTE(SUBSTITUTE(SUBSTITUTE(SUBSTITUTE(SUBSTITUTE(SUBSTITUTE(UPPER(IFERROR(INDEX('Base de Personas'!$H7:H21,MATCH($A112,'Base de Personas'!$B7:B21,0)),IFERROR(INDEX($G$5:G111,MATCH($A112,$A$5:A111,0)),""))),"Á","A"),"É","E"),"Í","I"),"Ó","O"),"Ú","U"),"Ü","U")))</f>
        <v/>
      </c>
      <c r="H112" s="38" t="str">
        <f aca="false">IF($A112="","",IFERROR(INDEX('Base de Personas'!$I$7:$I$21,MATCH($A112,'Base de Personas'!$B$7:$B$21,0)),IFERROR(INDEX($H$5:H111,MATCH($A112,$A$5:A111,0)),"")))</f>
        <v/>
      </c>
      <c r="I112" s="39"/>
      <c r="J112" s="40"/>
      <c r="K112" s="40"/>
      <c r="L112" s="39"/>
      <c r="M112" s="41" t="str">
        <f aca="false">IF($A112="","",IF(K112=_xlfn.MAXIFS($K$5:$K$304,$A$5:$A$304,$A112),1,0))</f>
        <v/>
      </c>
      <c r="N112" s="41" t="str">
        <f aca="false">IF($A112="","",IF(M112=1,$A112&amp;"-ACT",""))</f>
        <v/>
      </c>
      <c r="O112" s="41" t="str">
        <f aca="false">IF($A112="","",IF(AND(COUNTIF('Base de Personas'!$B$7:$B$21,$A112)=0,COUNTIF($A$5:A112,$A112)=1),1,0))</f>
        <v/>
      </c>
      <c r="P112" s="41" t="str">
        <f aca="false">IF(O112=1,SUM($O$5:O112),"")</f>
        <v/>
      </c>
    </row>
    <row r="113" customFormat="false" ht="15" hidden="false" customHeight="false" outlineLevel="0" collapsed="false">
      <c r="A113" s="35"/>
      <c r="B113" s="36" t="str">
        <f aca="false">IF($A113="","",TRIM(SUBSTITUTE(SUBSTITUTE(SUBSTITUTE(SUBSTITUTE(SUBSTITUTE(SUBSTITUTE(UPPER(IFERROR(INDEX('Base de Personas'!$C7:C21,MATCH($A113,'Base de Personas'!$B7:B21,0)),IFERROR(INDEX($B$5:B112,MATCH($A113,$A$5:A112,0)),""))),"Á","A"),"É","E"),"Í","I"),"Ó","O"),"Ú","U"),"Ü","U")))</f>
        <v/>
      </c>
      <c r="C113" s="37" t="str">
        <f aca="false">IF($A113="","",TRIM(SUBSTITUTE(SUBSTITUTE(SUBSTITUTE(SUBSTITUTE(SUBSTITUTE(SUBSTITUTE(UPPER(IFERROR(INDEX('Base de Personas'!$D7:D21,MATCH($A113,'Base de Personas'!$B7:B21,0)),IFERROR(INDEX($C$5:C112,MATCH($A113,$A$5:A112,0)),""))),"Á","A"),"É","E"),"Í","I"),"Ó","O"),"Ú","U"),"Ü","U")))</f>
        <v/>
      </c>
      <c r="D113" s="36" t="str">
        <f aca="false">IF($A113="","",TRIM(SUBSTITUTE(SUBSTITUTE(SUBSTITUTE(SUBSTITUTE(SUBSTITUTE(SUBSTITUTE(UPPER(IFERROR(INDEX('Base de Personas'!$E7:E21,MATCH($A113,'Base de Personas'!$B7:B21,0)),IFERROR(INDEX($D$5:D112,MATCH($A113,$A$5:A112,0)),""))),"Á","A"),"É","E"),"Í","I"),"Ó","O"),"Ú","U"),"Ü","U")))</f>
        <v/>
      </c>
      <c r="E113" s="36" t="str">
        <f aca="false">IF($A113="","",TRIM(SUBSTITUTE(SUBSTITUTE(SUBSTITUTE(SUBSTITUTE(SUBSTITUTE(SUBSTITUTE(UPPER(IFERROR(INDEX('Base de Personas'!$F7:F21,MATCH($A113,'Base de Personas'!$B7:B21,0)),IFERROR(INDEX($E$5:E112,MATCH($A113,$A$5:A112,0)),""))),"Á","A"),"É","E"),"Í","I"),"Ó","O"),"Ú","U"),"Ü","U")))</f>
        <v/>
      </c>
      <c r="F113" s="36" t="str">
        <f aca="false">IF($A113="","",TRIM(SUBSTITUTE(SUBSTITUTE(SUBSTITUTE(SUBSTITUTE(SUBSTITUTE(SUBSTITUTE(UPPER(IFERROR(INDEX('Base de Personas'!$G7:G21,MATCH($A113,'Base de Personas'!$B7:B21,0)),IFERROR(INDEX($F$5:F112,MATCH($A113,$A$5:A112,0)),""))),"Á","A"),"É","E"),"Í","I"),"Ó","O"),"Ú","U"),"Ü","U")))</f>
        <v/>
      </c>
      <c r="G113" s="37" t="str">
        <f aca="false">IF($A113="","",TRIM(SUBSTITUTE(SUBSTITUTE(SUBSTITUTE(SUBSTITUTE(SUBSTITUTE(SUBSTITUTE(UPPER(IFERROR(INDEX('Base de Personas'!$H7:H21,MATCH($A113,'Base de Personas'!$B7:B21,0)),IFERROR(INDEX($G$5:G112,MATCH($A113,$A$5:A112,0)),""))),"Á","A"),"É","E"),"Í","I"),"Ó","O"),"Ú","U"),"Ü","U")))</f>
        <v/>
      </c>
      <c r="H113" s="38" t="str">
        <f aca="false">IF($A113="","",IFERROR(INDEX('Base de Personas'!$I$7:$I$21,MATCH($A113,'Base de Personas'!$B$7:$B$21,0)),IFERROR(INDEX($H$5:H112,MATCH($A113,$A$5:A112,0)),"")))</f>
        <v/>
      </c>
      <c r="I113" s="39"/>
      <c r="J113" s="40"/>
      <c r="K113" s="40"/>
      <c r="L113" s="39"/>
      <c r="M113" s="41" t="str">
        <f aca="false">IF($A113="","",IF(K113=_xlfn.MAXIFS($K$5:$K$304,$A$5:$A$304,$A113),1,0))</f>
        <v/>
      </c>
      <c r="N113" s="41" t="str">
        <f aca="false">IF($A113="","",IF(M113=1,$A113&amp;"-ACT",""))</f>
        <v/>
      </c>
      <c r="O113" s="41" t="str">
        <f aca="false">IF($A113="","",IF(AND(COUNTIF('Base de Personas'!$B$7:$B$21,$A113)=0,COUNTIF($A$5:A113,$A113)=1),1,0))</f>
        <v/>
      </c>
      <c r="P113" s="41" t="str">
        <f aca="false">IF(O113=1,SUM($O$5:O113),"")</f>
        <v/>
      </c>
    </row>
    <row r="114" customFormat="false" ht="15" hidden="false" customHeight="false" outlineLevel="0" collapsed="false">
      <c r="A114" s="35"/>
      <c r="B114" s="36" t="str">
        <f aca="false">IF($A114="","",TRIM(SUBSTITUTE(SUBSTITUTE(SUBSTITUTE(SUBSTITUTE(SUBSTITUTE(SUBSTITUTE(UPPER(IFERROR(INDEX('Base de Personas'!$C7:C21,MATCH($A114,'Base de Personas'!$B7:B21,0)),IFERROR(INDEX($B$5:B113,MATCH($A114,$A$5:A113,0)),""))),"Á","A"),"É","E"),"Í","I"),"Ó","O"),"Ú","U"),"Ü","U")))</f>
        <v/>
      </c>
      <c r="C114" s="37" t="str">
        <f aca="false">IF($A114="","",TRIM(SUBSTITUTE(SUBSTITUTE(SUBSTITUTE(SUBSTITUTE(SUBSTITUTE(SUBSTITUTE(UPPER(IFERROR(INDEX('Base de Personas'!$D7:D21,MATCH($A114,'Base de Personas'!$B7:B21,0)),IFERROR(INDEX($C$5:C113,MATCH($A114,$A$5:A113,0)),""))),"Á","A"),"É","E"),"Í","I"),"Ó","O"),"Ú","U"),"Ü","U")))</f>
        <v/>
      </c>
      <c r="D114" s="36" t="str">
        <f aca="false">IF($A114="","",TRIM(SUBSTITUTE(SUBSTITUTE(SUBSTITUTE(SUBSTITUTE(SUBSTITUTE(SUBSTITUTE(UPPER(IFERROR(INDEX('Base de Personas'!$E7:E21,MATCH($A114,'Base de Personas'!$B7:B21,0)),IFERROR(INDEX($D$5:D113,MATCH($A114,$A$5:A113,0)),""))),"Á","A"),"É","E"),"Í","I"),"Ó","O"),"Ú","U"),"Ü","U")))</f>
        <v/>
      </c>
      <c r="E114" s="36" t="str">
        <f aca="false">IF($A114="","",TRIM(SUBSTITUTE(SUBSTITUTE(SUBSTITUTE(SUBSTITUTE(SUBSTITUTE(SUBSTITUTE(UPPER(IFERROR(INDEX('Base de Personas'!$F7:F21,MATCH($A114,'Base de Personas'!$B7:B21,0)),IFERROR(INDEX($E$5:E113,MATCH($A114,$A$5:A113,0)),""))),"Á","A"),"É","E"),"Í","I"),"Ó","O"),"Ú","U"),"Ü","U")))</f>
        <v/>
      </c>
      <c r="F114" s="36" t="str">
        <f aca="false">IF($A114="","",TRIM(SUBSTITUTE(SUBSTITUTE(SUBSTITUTE(SUBSTITUTE(SUBSTITUTE(SUBSTITUTE(UPPER(IFERROR(INDEX('Base de Personas'!$G7:G21,MATCH($A114,'Base de Personas'!$B7:B21,0)),IFERROR(INDEX($F$5:F113,MATCH($A114,$A$5:A113,0)),""))),"Á","A"),"É","E"),"Í","I"),"Ó","O"),"Ú","U"),"Ü","U")))</f>
        <v/>
      </c>
      <c r="G114" s="37" t="str">
        <f aca="false">IF($A114="","",TRIM(SUBSTITUTE(SUBSTITUTE(SUBSTITUTE(SUBSTITUTE(SUBSTITUTE(SUBSTITUTE(UPPER(IFERROR(INDEX('Base de Personas'!$H7:H21,MATCH($A114,'Base de Personas'!$B7:B21,0)),IFERROR(INDEX($G$5:G113,MATCH($A114,$A$5:A113,0)),""))),"Á","A"),"É","E"),"Í","I"),"Ó","O"),"Ú","U"),"Ü","U")))</f>
        <v/>
      </c>
      <c r="H114" s="38" t="str">
        <f aca="false">IF($A114="","",IFERROR(INDEX('Base de Personas'!$I$7:$I$21,MATCH($A114,'Base de Personas'!$B$7:$B$21,0)),IFERROR(INDEX($H$5:H113,MATCH($A114,$A$5:A113,0)),"")))</f>
        <v/>
      </c>
      <c r="I114" s="39"/>
      <c r="J114" s="40"/>
      <c r="K114" s="40"/>
      <c r="L114" s="39"/>
      <c r="M114" s="41" t="str">
        <f aca="false">IF($A114="","",IF(K114=_xlfn.MAXIFS($K$5:$K$304,$A$5:$A$304,$A114),1,0))</f>
        <v/>
      </c>
      <c r="N114" s="41" t="str">
        <f aca="false">IF($A114="","",IF(M114=1,$A114&amp;"-ACT",""))</f>
        <v/>
      </c>
      <c r="O114" s="41" t="str">
        <f aca="false">IF($A114="","",IF(AND(COUNTIF('Base de Personas'!$B$7:$B$21,$A114)=0,COUNTIF($A$5:A114,$A114)=1),1,0))</f>
        <v/>
      </c>
      <c r="P114" s="41" t="str">
        <f aca="false">IF(O114=1,SUM($O$5:O114),"")</f>
        <v/>
      </c>
    </row>
    <row r="115" customFormat="false" ht="15" hidden="false" customHeight="false" outlineLevel="0" collapsed="false">
      <c r="A115" s="35"/>
      <c r="B115" s="36" t="str">
        <f aca="false">IF($A115="","",TRIM(SUBSTITUTE(SUBSTITUTE(SUBSTITUTE(SUBSTITUTE(SUBSTITUTE(SUBSTITUTE(UPPER(IFERROR(INDEX('Base de Personas'!$C7:C21,MATCH($A115,'Base de Personas'!$B7:B21,0)),IFERROR(INDEX($B$5:B114,MATCH($A115,$A$5:A114,0)),""))),"Á","A"),"É","E"),"Í","I"),"Ó","O"),"Ú","U"),"Ü","U")))</f>
        <v/>
      </c>
      <c r="C115" s="37" t="str">
        <f aca="false">IF($A115="","",TRIM(SUBSTITUTE(SUBSTITUTE(SUBSTITUTE(SUBSTITUTE(SUBSTITUTE(SUBSTITUTE(UPPER(IFERROR(INDEX('Base de Personas'!$D7:D21,MATCH($A115,'Base de Personas'!$B7:B21,0)),IFERROR(INDEX($C$5:C114,MATCH($A115,$A$5:A114,0)),""))),"Á","A"),"É","E"),"Í","I"),"Ó","O"),"Ú","U"),"Ü","U")))</f>
        <v/>
      </c>
      <c r="D115" s="36" t="str">
        <f aca="false">IF($A115="","",TRIM(SUBSTITUTE(SUBSTITUTE(SUBSTITUTE(SUBSTITUTE(SUBSTITUTE(SUBSTITUTE(UPPER(IFERROR(INDEX('Base de Personas'!$E7:E21,MATCH($A115,'Base de Personas'!$B7:B21,0)),IFERROR(INDEX($D$5:D114,MATCH($A115,$A$5:A114,0)),""))),"Á","A"),"É","E"),"Í","I"),"Ó","O"),"Ú","U"),"Ü","U")))</f>
        <v/>
      </c>
      <c r="E115" s="36" t="str">
        <f aca="false">IF($A115="","",TRIM(SUBSTITUTE(SUBSTITUTE(SUBSTITUTE(SUBSTITUTE(SUBSTITUTE(SUBSTITUTE(UPPER(IFERROR(INDEX('Base de Personas'!$F7:F21,MATCH($A115,'Base de Personas'!$B7:B21,0)),IFERROR(INDEX($E$5:E114,MATCH($A115,$A$5:A114,0)),""))),"Á","A"),"É","E"),"Í","I"),"Ó","O"),"Ú","U"),"Ü","U")))</f>
        <v/>
      </c>
      <c r="F115" s="36" t="str">
        <f aca="false">IF($A115="","",TRIM(SUBSTITUTE(SUBSTITUTE(SUBSTITUTE(SUBSTITUTE(SUBSTITUTE(SUBSTITUTE(UPPER(IFERROR(INDEX('Base de Personas'!$G7:G21,MATCH($A115,'Base de Personas'!$B7:B21,0)),IFERROR(INDEX($F$5:F114,MATCH($A115,$A$5:A114,0)),""))),"Á","A"),"É","E"),"Í","I"),"Ó","O"),"Ú","U"),"Ü","U")))</f>
        <v/>
      </c>
      <c r="G115" s="37" t="str">
        <f aca="false">IF($A115="","",TRIM(SUBSTITUTE(SUBSTITUTE(SUBSTITUTE(SUBSTITUTE(SUBSTITUTE(SUBSTITUTE(UPPER(IFERROR(INDEX('Base de Personas'!$H7:H21,MATCH($A115,'Base de Personas'!$B7:B21,0)),IFERROR(INDEX($G$5:G114,MATCH($A115,$A$5:A114,0)),""))),"Á","A"),"É","E"),"Í","I"),"Ó","O"),"Ú","U"),"Ü","U")))</f>
        <v/>
      </c>
      <c r="H115" s="38" t="str">
        <f aca="false">IF($A115="","",IFERROR(INDEX('Base de Personas'!$I$7:$I$21,MATCH($A115,'Base de Personas'!$B$7:$B$21,0)),IFERROR(INDEX($H$5:H114,MATCH($A115,$A$5:A114,0)),"")))</f>
        <v/>
      </c>
      <c r="I115" s="39"/>
      <c r="J115" s="40"/>
      <c r="K115" s="40"/>
      <c r="L115" s="39"/>
      <c r="M115" s="41" t="str">
        <f aca="false">IF($A115="","",IF(K115=_xlfn.MAXIFS($K$5:$K$304,$A$5:$A$304,$A115),1,0))</f>
        <v/>
      </c>
      <c r="N115" s="41" t="str">
        <f aca="false">IF($A115="","",IF(M115=1,$A115&amp;"-ACT",""))</f>
        <v/>
      </c>
      <c r="O115" s="41" t="str">
        <f aca="false">IF($A115="","",IF(AND(COUNTIF('Base de Personas'!$B$7:$B$21,$A115)=0,COUNTIF($A$5:A115,$A115)=1),1,0))</f>
        <v/>
      </c>
      <c r="P115" s="41" t="str">
        <f aca="false">IF(O115=1,SUM($O$5:O115),"")</f>
        <v/>
      </c>
    </row>
    <row r="116" customFormat="false" ht="15" hidden="false" customHeight="false" outlineLevel="0" collapsed="false">
      <c r="A116" s="35"/>
      <c r="B116" s="36" t="str">
        <f aca="false">IF($A116="","",TRIM(SUBSTITUTE(SUBSTITUTE(SUBSTITUTE(SUBSTITUTE(SUBSTITUTE(SUBSTITUTE(UPPER(IFERROR(INDEX('Base de Personas'!$C7:C21,MATCH($A116,'Base de Personas'!$B7:B21,0)),IFERROR(INDEX($B$5:B115,MATCH($A116,$A$5:A115,0)),""))),"Á","A"),"É","E"),"Í","I"),"Ó","O"),"Ú","U"),"Ü","U")))</f>
        <v/>
      </c>
      <c r="C116" s="37" t="str">
        <f aca="false">IF($A116="","",TRIM(SUBSTITUTE(SUBSTITUTE(SUBSTITUTE(SUBSTITUTE(SUBSTITUTE(SUBSTITUTE(UPPER(IFERROR(INDEX('Base de Personas'!$D7:D21,MATCH($A116,'Base de Personas'!$B7:B21,0)),IFERROR(INDEX($C$5:C115,MATCH($A116,$A$5:A115,0)),""))),"Á","A"),"É","E"),"Í","I"),"Ó","O"),"Ú","U"),"Ü","U")))</f>
        <v/>
      </c>
      <c r="D116" s="36" t="str">
        <f aca="false">IF($A116="","",TRIM(SUBSTITUTE(SUBSTITUTE(SUBSTITUTE(SUBSTITUTE(SUBSTITUTE(SUBSTITUTE(UPPER(IFERROR(INDEX('Base de Personas'!$E7:E21,MATCH($A116,'Base de Personas'!$B7:B21,0)),IFERROR(INDEX($D$5:D115,MATCH($A116,$A$5:A115,0)),""))),"Á","A"),"É","E"),"Í","I"),"Ó","O"),"Ú","U"),"Ü","U")))</f>
        <v/>
      </c>
      <c r="E116" s="36" t="str">
        <f aca="false">IF($A116="","",TRIM(SUBSTITUTE(SUBSTITUTE(SUBSTITUTE(SUBSTITUTE(SUBSTITUTE(SUBSTITUTE(UPPER(IFERROR(INDEX('Base de Personas'!$F7:F21,MATCH($A116,'Base de Personas'!$B7:B21,0)),IFERROR(INDEX($E$5:E115,MATCH($A116,$A$5:A115,0)),""))),"Á","A"),"É","E"),"Í","I"),"Ó","O"),"Ú","U"),"Ü","U")))</f>
        <v/>
      </c>
      <c r="F116" s="36" t="str">
        <f aca="false">IF($A116="","",TRIM(SUBSTITUTE(SUBSTITUTE(SUBSTITUTE(SUBSTITUTE(SUBSTITUTE(SUBSTITUTE(UPPER(IFERROR(INDEX('Base de Personas'!$G7:G21,MATCH($A116,'Base de Personas'!$B7:B21,0)),IFERROR(INDEX($F$5:F115,MATCH($A116,$A$5:A115,0)),""))),"Á","A"),"É","E"),"Í","I"),"Ó","O"),"Ú","U"),"Ü","U")))</f>
        <v/>
      </c>
      <c r="G116" s="37" t="str">
        <f aca="false">IF($A116="","",TRIM(SUBSTITUTE(SUBSTITUTE(SUBSTITUTE(SUBSTITUTE(SUBSTITUTE(SUBSTITUTE(UPPER(IFERROR(INDEX('Base de Personas'!$H7:H21,MATCH($A116,'Base de Personas'!$B7:B21,0)),IFERROR(INDEX($G$5:G115,MATCH($A116,$A$5:A115,0)),""))),"Á","A"),"É","E"),"Í","I"),"Ó","O"),"Ú","U"),"Ü","U")))</f>
        <v/>
      </c>
      <c r="H116" s="38" t="str">
        <f aca="false">IF($A116="","",IFERROR(INDEX('Base de Personas'!$I$7:$I$21,MATCH($A116,'Base de Personas'!$B$7:$B$21,0)),IFERROR(INDEX($H$5:H115,MATCH($A116,$A$5:A115,0)),"")))</f>
        <v/>
      </c>
      <c r="I116" s="39"/>
      <c r="J116" s="40"/>
      <c r="K116" s="40"/>
      <c r="L116" s="39"/>
      <c r="M116" s="41" t="str">
        <f aca="false">IF($A116="","",IF(K116=_xlfn.MAXIFS($K$5:$K$304,$A$5:$A$304,$A116),1,0))</f>
        <v/>
      </c>
      <c r="N116" s="41" t="str">
        <f aca="false">IF($A116="","",IF(M116=1,$A116&amp;"-ACT",""))</f>
        <v/>
      </c>
      <c r="O116" s="41" t="str">
        <f aca="false">IF($A116="","",IF(AND(COUNTIF('Base de Personas'!$B$7:$B$21,$A116)=0,COUNTIF($A$5:A116,$A116)=1),1,0))</f>
        <v/>
      </c>
      <c r="P116" s="41" t="str">
        <f aca="false">IF(O116=1,SUM($O$5:O116),"")</f>
        <v/>
      </c>
    </row>
    <row r="117" customFormat="false" ht="15" hidden="false" customHeight="false" outlineLevel="0" collapsed="false">
      <c r="A117" s="35"/>
      <c r="B117" s="36" t="str">
        <f aca="false">IF($A117="","",TRIM(SUBSTITUTE(SUBSTITUTE(SUBSTITUTE(SUBSTITUTE(SUBSTITUTE(SUBSTITUTE(UPPER(IFERROR(INDEX('Base de Personas'!$C7:C21,MATCH($A117,'Base de Personas'!$B7:B21,0)),IFERROR(INDEX($B$5:B116,MATCH($A117,$A$5:A116,0)),""))),"Á","A"),"É","E"),"Í","I"),"Ó","O"),"Ú","U"),"Ü","U")))</f>
        <v/>
      </c>
      <c r="C117" s="37" t="str">
        <f aca="false">IF($A117="","",TRIM(SUBSTITUTE(SUBSTITUTE(SUBSTITUTE(SUBSTITUTE(SUBSTITUTE(SUBSTITUTE(UPPER(IFERROR(INDEX('Base de Personas'!$D7:D21,MATCH($A117,'Base de Personas'!$B7:B21,0)),IFERROR(INDEX($C$5:C116,MATCH($A117,$A$5:A116,0)),""))),"Á","A"),"É","E"),"Í","I"),"Ó","O"),"Ú","U"),"Ü","U")))</f>
        <v/>
      </c>
      <c r="D117" s="36" t="str">
        <f aca="false">IF($A117="","",TRIM(SUBSTITUTE(SUBSTITUTE(SUBSTITUTE(SUBSTITUTE(SUBSTITUTE(SUBSTITUTE(UPPER(IFERROR(INDEX('Base de Personas'!$E7:E21,MATCH($A117,'Base de Personas'!$B7:B21,0)),IFERROR(INDEX($D$5:D116,MATCH($A117,$A$5:A116,0)),""))),"Á","A"),"É","E"),"Í","I"),"Ó","O"),"Ú","U"),"Ü","U")))</f>
        <v/>
      </c>
      <c r="E117" s="36" t="str">
        <f aca="false">IF($A117="","",TRIM(SUBSTITUTE(SUBSTITUTE(SUBSTITUTE(SUBSTITUTE(SUBSTITUTE(SUBSTITUTE(UPPER(IFERROR(INDEX('Base de Personas'!$F7:F21,MATCH($A117,'Base de Personas'!$B7:B21,0)),IFERROR(INDEX($E$5:E116,MATCH($A117,$A$5:A116,0)),""))),"Á","A"),"É","E"),"Í","I"),"Ó","O"),"Ú","U"),"Ü","U")))</f>
        <v/>
      </c>
      <c r="F117" s="36" t="str">
        <f aca="false">IF($A117="","",TRIM(SUBSTITUTE(SUBSTITUTE(SUBSTITUTE(SUBSTITUTE(SUBSTITUTE(SUBSTITUTE(UPPER(IFERROR(INDEX('Base de Personas'!$G7:G21,MATCH($A117,'Base de Personas'!$B7:B21,0)),IFERROR(INDEX($F$5:F116,MATCH($A117,$A$5:A116,0)),""))),"Á","A"),"É","E"),"Í","I"),"Ó","O"),"Ú","U"),"Ü","U")))</f>
        <v/>
      </c>
      <c r="G117" s="37" t="str">
        <f aca="false">IF($A117="","",TRIM(SUBSTITUTE(SUBSTITUTE(SUBSTITUTE(SUBSTITUTE(SUBSTITUTE(SUBSTITUTE(UPPER(IFERROR(INDEX('Base de Personas'!$H7:H21,MATCH($A117,'Base de Personas'!$B7:B21,0)),IFERROR(INDEX($G$5:G116,MATCH($A117,$A$5:A116,0)),""))),"Á","A"),"É","E"),"Í","I"),"Ó","O"),"Ú","U"),"Ü","U")))</f>
        <v/>
      </c>
      <c r="H117" s="38" t="str">
        <f aca="false">IF($A117="","",IFERROR(INDEX('Base de Personas'!$I$7:$I$21,MATCH($A117,'Base de Personas'!$B$7:$B$21,0)),IFERROR(INDEX($H$5:H116,MATCH($A117,$A$5:A116,0)),"")))</f>
        <v/>
      </c>
      <c r="I117" s="39"/>
      <c r="J117" s="40"/>
      <c r="K117" s="40"/>
      <c r="L117" s="39"/>
      <c r="M117" s="41" t="str">
        <f aca="false">IF($A117="","",IF(K117=_xlfn.MAXIFS($K$5:$K$304,$A$5:$A$304,$A117),1,0))</f>
        <v/>
      </c>
      <c r="N117" s="41" t="str">
        <f aca="false">IF($A117="","",IF(M117=1,$A117&amp;"-ACT",""))</f>
        <v/>
      </c>
      <c r="O117" s="41" t="str">
        <f aca="false">IF($A117="","",IF(AND(COUNTIF('Base de Personas'!$B$7:$B$21,$A117)=0,COUNTIF($A$5:A117,$A117)=1),1,0))</f>
        <v/>
      </c>
      <c r="P117" s="41" t="str">
        <f aca="false">IF(O117=1,SUM($O$5:O117),"")</f>
        <v/>
      </c>
    </row>
    <row r="118" customFormat="false" ht="15" hidden="false" customHeight="false" outlineLevel="0" collapsed="false">
      <c r="A118" s="35"/>
      <c r="B118" s="36" t="str">
        <f aca="false">IF($A118="","",TRIM(SUBSTITUTE(SUBSTITUTE(SUBSTITUTE(SUBSTITUTE(SUBSTITUTE(SUBSTITUTE(UPPER(IFERROR(INDEX('Base de Personas'!$C7:C21,MATCH($A118,'Base de Personas'!$B7:B21,0)),IFERROR(INDEX($B$5:B117,MATCH($A118,$A$5:A117,0)),""))),"Á","A"),"É","E"),"Í","I"),"Ó","O"),"Ú","U"),"Ü","U")))</f>
        <v/>
      </c>
      <c r="C118" s="37" t="str">
        <f aca="false">IF($A118="","",TRIM(SUBSTITUTE(SUBSTITUTE(SUBSTITUTE(SUBSTITUTE(SUBSTITUTE(SUBSTITUTE(UPPER(IFERROR(INDEX('Base de Personas'!$D7:D21,MATCH($A118,'Base de Personas'!$B7:B21,0)),IFERROR(INDEX($C$5:C117,MATCH($A118,$A$5:A117,0)),""))),"Á","A"),"É","E"),"Í","I"),"Ó","O"),"Ú","U"),"Ü","U")))</f>
        <v/>
      </c>
      <c r="D118" s="36" t="str">
        <f aca="false">IF($A118="","",TRIM(SUBSTITUTE(SUBSTITUTE(SUBSTITUTE(SUBSTITUTE(SUBSTITUTE(SUBSTITUTE(UPPER(IFERROR(INDEX('Base de Personas'!$E7:E21,MATCH($A118,'Base de Personas'!$B7:B21,0)),IFERROR(INDEX($D$5:D117,MATCH($A118,$A$5:A117,0)),""))),"Á","A"),"É","E"),"Í","I"),"Ó","O"),"Ú","U"),"Ü","U")))</f>
        <v/>
      </c>
      <c r="E118" s="36" t="str">
        <f aca="false">IF($A118="","",TRIM(SUBSTITUTE(SUBSTITUTE(SUBSTITUTE(SUBSTITUTE(SUBSTITUTE(SUBSTITUTE(UPPER(IFERROR(INDEX('Base de Personas'!$F7:F21,MATCH($A118,'Base de Personas'!$B7:B21,0)),IFERROR(INDEX($E$5:E117,MATCH($A118,$A$5:A117,0)),""))),"Á","A"),"É","E"),"Í","I"),"Ó","O"),"Ú","U"),"Ü","U")))</f>
        <v/>
      </c>
      <c r="F118" s="36" t="str">
        <f aca="false">IF($A118="","",TRIM(SUBSTITUTE(SUBSTITUTE(SUBSTITUTE(SUBSTITUTE(SUBSTITUTE(SUBSTITUTE(UPPER(IFERROR(INDEX('Base de Personas'!$G7:G21,MATCH($A118,'Base de Personas'!$B7:B21,0)),IFERROR(INDEX($F$5:F117,MATCH($A118,$A$5:A117,0)),""))),"Á","A"),"É","E"),"Í","I"),"Ó","O"),"Ú","U"),"Ü","U")))</f>
        <v/>
      </c>
      <c r="G118" s="37" t="str">
        <f aca="false">IF($A118="","",TRIM(SUBSTITUTE(SUBSTITUTE(SUBSTITUTE(SUBSTITUTE(SUBSTITUTE(SUBSTITUTE(UPPER(IFERROR(INDEX('Base de Personas'!$H7:H21,MATCH($A118,'Base de Personas'!$B7:B21,0)),IFERROR(INDEX($G$5:G117,MATCH($A118,$A$5:A117,0)),""))),"Á","A"),"É","E"),"Í","I"),"Ó","O"),"Ú","U"),"Ü","U")))</f>
        <v/>
      </c>
      <c r="H118" s="38" t="str">
        <f aca="false">IF($A118="","",IFERROR(INDEX('Base de Personas'!$I$7:$I$21,MATCH($A118,'Base de Personas'!$B$7:$B$21,0)),IFERROR(INDEX($H$5:H117,MATCH($A118,$A$5:A117,0)),"")))</f>
        <v/>
      </c>
      <c r="I118" s="39"/>
      <c r="J118" s="40"/>
      <c r="K118" s="40"/>
      <c r="L118" s="39"/>
      <c r="M118" s="41" t="str">
        <f aca="false">IF($A118="","",IF(K118=_xlfn.MAXIFS($K$5:$K$304,$A$5:$A$304,$A118),1,0))</f>
        <v/>
      </c>
      <c r="N118" s="41" t="str">
        <f aca="false">IF($A118="","",IF(M118=1,$A118&amp;"-ACT",""))</f>
        <v/>
      </c>
      <c r="O118" s="41" t="str">
        <f aca="false">IF($A118="","",IF(AND(COUNTIF('Base de Personas'!$B$7:$B$21,$A118)=0,COUNTIF($A$5:A118,$A118)=1),1,0))</f>
        <v/>
      </c>
      <c r="P118" s="41" t="str">
        <f aca="false">IF(O118=1,SUM($O$5:O118),"")</f>
        <v/>
      </c>
    </row>
    <row r="119" customFormat="false" ht="15" hidden="false" customHeight="false" outlineLevel="0" collapsed="false">
      <c r="A119" s="35"/>
      <c r="B119" s="36" t="str">
        <f aca="false">IF($A119="","",TRIM(SUBSTITUTE(SUBSTITUTE(SUBSTITUTE(SUBSTITUTE(SUBSTITUTE(SUBSTITUTE(UPPER(IFERROR(INDEX('Base de Personas'!$C7:C21,MATCH($A119,'Base de Personas'!$B7:B21,0)),IFERROR(INDEX($B$5:B118,MATCH($A119,$A$5:A118,0)),""))),"Á","A"),"É","E"),"Í","I"),"Ó","O"),"Ú","U"),"Ü","U")))</f>
        <v/>
      </c>
      <c r="C119" s="37" t="str">
        <f aca="false">IF($A119="","",TRIM(SUBSTITUTE(SUBSTITUTE(SUBSTITUTE(SUBSTITUTE(SUBSTITUTE(SUBSTITUTE(UPPER(IFERROR(INDEX('Base de Personas'!$D7:D21,MATCH($A119,'Base de Personas'!$B7:B21,0)),IFERROR(INDEX($C$5:C118,MATCH($A119,$A$5:A118,0)),""))),"Á","A"),"É","E"),"Í","I"),"Ó","O"),"Ú","U"),"Ü","U")))</f>
        <v/>
      </c>
      <c r="D119" s="36" t="str">
        <f aca="false">IF($A119="","",TRIM(SUBSTITUTE(SUBSTITUTE(SUBSTITUTE(SUBSTITUTE(SUBSTITUTE(SUBSTITUTE(UPPER(IFERROR(INDEX('Base de Personas'!$E7:E21,MATCH($A119,'Base de Personas'!$B7:B21,0)),IFERROR(INDEX($D$5:D118,MATCH($A119,$A$5:A118,0)),""))),"Á","A"),"É","E"),"Í","I"),"Ó","O"),"Ú","U"),"Ü","U")))</f>
        <v/>
      </c>
      <c r="E119" s="36" t="str">
        <f aca="false">IF($A119="","",TRIM(SUBSTITUTE(SUBSTITUTE(SUBSTITUTE(SUBSTITUTE(SUBSTITUTE(SUBSTITUTE(UPPER(IFERROR(INDEX('Base de Personas'!$F7:F21,MATCH($A119,'Base de Personas'!$B7:B21,0)),IFERROR(INDEX($E$5:E118,MATCH($A119,$A$5:A118,0)),""))),"Á","A"),"É","E"),"Í","I"),"Ó","O"),"Ú","U"),"Ü","U")))</f>
        <v/>
      </c>
      <c r="F119" s="36" t="str">
        <f aca="false">IF($A119="","",TRIM(SUBSTITUTE(SUBSTITUTE(SUBSTITUTE(SUBSTITUTE(SUBSTITUTE(SUBSTITUTE(UPPER(IFERROR(INDEX('Base de Personas'!$G7:G21,MATCH($A119,'Base de Personas'!$B7:B21,0)),IFERROR(INDEX($F$5:F118,MATCH($A119,$A$5:A118,0)),""))),"Á","A"),"É","E"),"Í","I"),"Ó","O"),"Ú","U"),"Ü","U")))</f>
        <v/>
      </c>
      <c r="G119" s="37" t="str">
        <f aca="false">IF($A119="","",TRIM(SUBSTITUTE(SUBSTITUTE(SUBSTITUTE(SUBSTITUTE(SUBSTITUTE(SUBSTITUTE(UPPER(IFERROR(INDEX('Base de Personas'!$H7:H21,MATCH($A119,'Base de Personas'!$B7:B21,0)),IFERROR(INDEX($G$5:G118,MATCH($A119,$A$5:A118,0)),""))),"Á","A"),"É","E"),"Í","I"),"Ó","O"),"Ú","U"),"Ü","U")))</f>
        <v/>
      </c>
      <c r="H119" s="38" t="str">
        <f aca="false">IF($A119="","",IFERROR(INDEX('Base de Personas'!$I$7:$I$21,MATCH($A119,'Base de Personas'!$B$7:$B$21,0)),IFERROR(INDEX($H$5:H118,MATCH($A119,$A$5:A118,0)),"")))</f>
        <v/>
      </c>
      <c r="I119" s="39"/>
      <c r="J119" s="40"/>
      <c r="K119" s="40"/>
      <c r="L119" s="39"/>
      <c r="M119" s="41" t="str">
        <f aca="false">IF($A119="","",IF(K119=_xlfn.MAXIFS($K$5:$K$304,$A$5:$A$304,$A119),1,0))</f>
        <v/>
      </c>
      <c r="N119" s="41" t="str">
        <f aca="false">IF($A119="","",IF(M119=1,$A119&amp;"-ACT",""))</f>
        <v/>
      </c>
      <c r="O119" s="41" t="str">
        <f aca="false">IF($A119="","",IF(AND(COUNTIF('Base de Personas'!$B$7:$B$21,$A119)=0,COUNTIF($A$5:A119,$A119)=1),1,0))</f>
        <v/>
      </c>
      <c r="P119" s="41" t="str">
        <f aca="false">IF(O119=1,SUM($O$5:O119),"")</f>
        <v/>
      </c>
    </row>
    <row r="120" customFormat="false" ht="15" hidden="false" customHeight="false" outlineLevel="0" collapsed="false">
      <c r="A120" s="35"/>
      <c r="B120" s="36" t="str">
        <f aca="false">IF($A120="","",TRIM(SUBSTITUTE(SUBSTITUTE(SUBSTITUTE(SUBSTITUTE(SUBSTITUTE(SUBSTITUTE(UPPER(IFERROR(INDEX('Base de Personas'!$C7:C21,MATCH($A120,'Base de Personas'!$B7:B21,0)),IFERROR(INDEX($B$5:B119,MATCH($A120,$A$5:A119,0)),""))),"Á","A"),"É","E"),"Í","I"),"Ó","O"),"Ú","U"),"Ü","U")))</f>
        <v/>
      </c>
      <c r="C120" s="37" t="str">
        <f aca="false">IF($A120="","",TRIM(SUBSTITUTE(SUBSTITUTE(SUBSTITUTE(SUBSTITUTE(SUBSTITUTE(SUBSTITUTE(UPPER(IFERROR(INDEX('Base de Personas'!$D7:D21,MATCH($A120,'Base de Personas'!$B7:B21,0)),IFERROR(INDEX($C$5:C119,MATCH($A120,$A$5:A119,0)),""))),"Á","A"),"É","E"),"Í","I"),"Ó","O"),"Ú","U"),"Ü","U")))</f>
        <v/>
      </c>
      <c r="D120" s="36" t="str">
        <f aca="false">IF($A120="","",TRIM(SUBSTITUTE(SUBSTITUTE(SUBSTITUTE(SUBSTITUTE(SUBSTITUTE(SUBSTITUTE(UPPER(IFERROR(INDEX('Base de Personas'!$E7:E21,MATCH($A120,'Base de Personas'!$B7:B21,0)),IFERROR(INDEX($D$5:D119,MATCH($A120,$A$5:A119,0)),""))),"Á","A"),"É","E"),"Í","I"),"Ó","O"),"Ú","U"),"Ü","U")))</f>
        <v/>
      </c>
      <c r="E120" s="36" t="str">
        <f aca="false">IF($A120="","",TRIM(SUBSTITUTE(SUBSTITUTE(SUBSTITUTE(SUBSTITUTE(SUBSTITUTE(SUBSTITUTE(UPPER(IFERROR(INDEX('Base de Personas'!$F7:F21,MATCH($A120,'Base de Personas'!$B7:B21,0)),IFERROR(INDEX($E$5:E119,MATCH($A120,$A$5:A119,0)),""))),"Á","A"),"É","E"),"Í","I"),"Ó","O"),"Ú","U"),"Ü","U")))</f>
        <v/>
      </c>
      <c r="F120" s="36" t="str">
        <f aca="false">IF($A120="","",TRIM(SUBSTITUTE(SUBSTITUTE(SUBSTITUTE(SUBSTITUTE(SUBSTITUTE(SUBSTITUTE(UPPER(IFERROR(INDEX('Base de Personas'!$G7:G21,MATCH($A120,'Base de Personas'!$B7:B21,0)),IFERROR(INDEX($F$5:F119,MATCH($A120,$A$5:A119,0)),""))),"Á","A"),"É","E"),"Í","I"),"Ó","O"),"Ú","U"),"Ü","U")))</f>
        <v/>
      </c>
      <c r="G120" s="37" t="str">
        <f aca="false">IF($A120="","",TRIM(SUBSTITUTE(SUBSTITUTE(SUBSTITUTE(SUBSTITUTE(SUBSTITUTE(SUBSTITUTE(UPPER(IFERROR(INDEX('Base de Personas'!$H7:H21,MATCH($A120,'Base de Personas'!$B7:B21,0)),IFERROR(INDEX($G$5:G119,MATCH($A120,$A$5:A119,0)),""))),"Á","A"),"É","E"),"Í","I"),"Ó","O"),"Ú","U"),"Ü","U")))</f>
        <v/>
      </c>
      <c r="H120" s="38" t="str">
        <f aca="false">IF($A120="","",IFERROR(INDEX('Base de Personas'!$I$7:$I$21,MATCH($A120,'Base de Personas'!$B$7:$B$21,0)),IFERROR(INDEX($H$5:H119,MATCH($A120,$A$5:A119,0)),"")))</f>
        <v/>
      </c>
      <c r="I120" s="39"/>
      <c r="J120" s="40"/>
      <c r="K120" s="40"/>
      <c r="L120" s="39"/>
      <c r="M120" s="41" t="str">
        <f aca="false">IF($A120="","",IF(K120=_xlfn.MAXIFS($K$5:$K$304,$A$5:$A$304,$A120),1,0))</f>
        <v/>
      </c>
      <c r="N120" s="41" t="str">
        <f aca="false">IF($A120="","",IF(M120=1,$A120&amp;"-ACT",""))</f>
        <v/>
      </c>
      <c r="O120" s="41" t="str">
        <f aca="false">IF($A120="","",IF(AND(COUNTIF('Base de Personas'!$B$7:$B$21,$A120)=0,COUNTIF($A$5:A120,$A120)=1),1,0))</f>
        <v/>
      </c>
      <c r="P120" s="41" t="str">
        <f aca="false">IF(O120=1,SUM($O$5:O120),"")</f>
        <v/>
      </c>
    </row>
    <row r="121" customFormat="false" ht="15" hidden="false" customHeight="false" outlineLevel="0" collapsed="false">
      <c r="A121" s="35"/>
      <c r="B121" s="36" t="str">
        <f aca="false">IF($A121="","",TRIM(SUBSTITUTE(SUBSTITUTE(SUBSTITUTE(SUBSTITUTE(SUBSTITUTE(SUBSTITUTE(UPPER(IFERROR(INDEX('Base de Personas'!$C7:C21,MATCH($A121,'Base de Personas'!$B7:B21,0)),IFERROR(INDEX($B$5:B120,MATCH($A121,$A$5:A120,0)),""))),"Á","A"),"É","E"),"Í","I"),"Ó","O"),"Ú","U"),"Ü","U")))</f>
        <v/>
      </c>
      <c r="C121" s="37" t="str">
        <f aca="false">IF($A121="","",TRIM(SUBSTITUTE(SUBSTITUTE(SUBSTITUTE(SUBSTITUTE(SUBSTITUTE(SUBSTITUTE(UPPER(IFERROR(INDEX('Base de Personas'!$D7:D21,MATCH($A121,'Base de Personas'!$B7:B21,0)),IFERROR(INDEX($C$5:C120,MATCH($A121,$A$5:A120,0)),""))),"Á","A"),"É","E"),"Í","I"),"Ó","O"),"Ú","U"),"Ü","U")))</f>
        <v/>
      </c>
      <c r="D121" s="36" t="str">
        <f aca="false">IF($A121="","",TRIM(SUBSTITUTE(SUBSTITUTE(SUBSTITUTE(SUBSTITUTE(SUBSTITUTE(SUBSTITUTE(UPPER(IFERROR(INDEX('Base de Personas'!$E7:E21,MATCH($A121,'Base de Personas'!$B7:B21,0)),IFERROR(INDEX($D$5:D120,MATCH($A121,$A$5:A120,0)),""))),"Á","A"),"É","E"),"Í","I"),"Ó","O"),"Ú","U"),"Ü","U")))</f>
        <v/>
      </c>
      <c r="E121" s="36" t="str">
        <f aca="false">IF($A121="","",TRIM(SUBSTITUTE(SUBSTITUTE(SUBSTITUTE(SUBSTITUTE(SUBSTITUTE(SUBSTITUTE(UPPER(IFERROR(INDEX('Base de Personas'!$F7:F21,MATCH($A121,'Base de Personas'!$B7:B21,0)),IFERROR(INDEX($E$5:E120,MATCH($A121,$A$5:A120,0)),""))),"Á","A"),"É","E"),"Í","I"),"Ó","O"),"Ú","U"),"Ü","U")))</f>
        <v/>
      </c>
      <c r="F121" s="36" t="str">
        <f aca="false">IF($A121="","",TRIM(SUBSTITUTE(SUBSTITUTE(SUBSTITUTE(SUBSTITUTE(SUBSTITUTE(SUBSTITUTE(UPPER(IFERROR(INDEX('Base de Personas'!$G7:G21,MATCH($A121,'Base de Personas'!$B7:B21,0)),IFERROR(INDEX($F$5:F120,MATCH($A121,$A$5:A120,0)),""))),"Á","A"),"É","E"),"Í","I"),"Ó","O"),"Ú","U"),"Ü","U")))</f>
        <v/>
      </c>
      <c r="G121" s="37" t="str">
        <f aca="false">IF($A121="","",TRIM(SUBSTITUTE(SUBSTITUTE(SUBSTITUTE(SUBSTITUTE(SUBSTITUTE(SUBSTITUTE(UPPER(IFERROR(INDEX('Base de Personas'!$H7:H21,MATCH($A121,'Base de Personas'!$B7:B21,0)),IFERROR(INDEX($G$5:G120,MATCH($A121,$A$5:A120,0)),""))),"Á","A"),"É","E"),"Í","I"),"Ó","O"),"Ú","U"),"Ü","U")))</f>
        <v/>
      </c>
      <c r="H121" s="38" t="str">
        <f aca="false">IF($A121="","",IFERROR(INDEX('Base de Personas'!$I$7:$I$21,MATCH($A121,'Base de Personas'!$B$7:$B$21,0)),IFERROR(INDEX($H$5:H120,MATCH($A121,$A$5:A120,0)),"")))</f>
        <v/>
      </c>
      <c r="I121" s="39"/>
      <c r="J121" s="40"/>
      <c r="K121" s="40"/>
      <c r="L121" s="39"/>
      <c r="M121" s="41" t="str">
        <f aca="false">IF($A121="","",IF(K121=_xlfn.MAXIFS($K$5:$K$304,$A$5:$A$304,$A121),1,0))</f>
        <v/>
      </c>
      <c r="N121" s="41" t="str">
        <f aca="false">IF($A121="","",IF(M121=1,$A121&amp;"-ACT",""))</f>
        <v/>
      </c>
      <c r="O121" s="41" t="str">
        <f aca="false">IF($A121="","",IF(AND(COUNTIF('Base de Personas'!$B$7:$B$21,$A121)=0,COUNTIF($A$5:A121,$A121)=1),1,0))</f>
        <v/>
      </c>
      <c r="P121" s="41" t="str">
        <f aca="false">IF(O121=1,SUM($O$5:O121),"")</f>
        <v/>
      </c>
    </row>
    <row r="122" customFormat="false" ht="15" hidden="false" customHeight="false" outlineLevel="0" collapsed="false">
      <c r="A122" s="35"/>
      <c r="B122" s="36" t="str">
        <f aca="false">IF($A122="","",TRIM(SUBSTITUTE(SUBSTITUTE(SUBSTITUTE(SUBSTITUTE(SUBSTITUTE(SUBSTITUTE(UPPER(IFERROR(INDEX('Base de Personas'!$C7:C21,MATCH($A122,'Base de Personas'!$B7:B21,0)),IFERROR(INDEX($B$5:B121,MATCH($A122,$A$5:A121,0)),""))),"Á","A"),"É","E"),"Í","I"),"Ó","O"),"Ú","U"),"Ü","U")))</f>
        <v/>
      </c>
      <c r="C122" s="37" t="str">
        <f aca="false">IF($A122="","",TRIM(SUBSTITUTE(SUBSTITUTE(SUBSTITUTE(SUBSTITUTE(SUBSTITUTE(SUBSTITUTE(UPPER(IFERROR(INDEX('Base de Personas'!$D7:D21,MATCH($A122,'Base de Personas'!$B7:B21,0)),IFERROR(INDEX($C$5:C121,MATCH($A122,$A$5:A121,0)),""))),"Á","A"),"É","E"),"Í","I"),"Ó","O"),"Ú","U"),"Ü","U")))</f>
        <v/>
      </c>
      <c r="D122" s="36" t="str">
        <f aca="false">IF($A122="","",TRIM(SUBSTITUTE(SUBSTITUTE(SUBSTITUTE(SUBSTITUTE(SUBSTITUTE(SUBSTITUTE(UPPER(IFERROR(INDEX('Base de Personas'!$E7:E21,MATCH($A122,'Base de Personas'!$B7:B21,0)),IFERROR(INDEX($D$5:D121,MATCH($A122,$A$5:A121,0)),""))),"Á","A"),"É","E"),"Í","I"),"Ó","O"),"Ú","U"),"Ü","U")))</f>
        <v/>
      </c>
      <c r="E122" s="36" t="str">
        <f aca="false">IF($A122="","",TRIM(SUBSTITUTE(SUBSTITUTE(SUBSTITUTE(SUBSTITUTE(SUBSTITUTE(SUBSTITUTE(UPPER(IFERROR(INDEX('Base de Personas'!$F7:F21,MATCH($A122,'Base de Personas'!$B7:B21,0)),IFERROR(INDEX($E$5:E121,MATCH($A122,$A$5:A121,0)),""))),"Á","A"),"É","E"),"Í","I"),"Ó","O"),"Ú","U"),"Ü","U")))</f>
        <v/>
      </c>
      <c r="F122" s="36" t="str">
        <f aca="false">IF($A122="","",TRIM(SUBSTITUTE(SUBSTITUTE(SUBSTITUTE(SUBSTITUTE(SUBSTITUTE(SUBSTITUTE(UPPER(IFERROR(INDEX('Base de Personas'!$G7:G21,MATCH($A122,'Base de Personas'!$B7:B21,0)),IFERROR(INDEX($F$5:F121,MATCH($A122,$A$5:A121,0)),""))),"Á","A"),"É","E"),"Í","I"),"Ó","O"),"Ú","U"),"Ü","U")))</f>
        <v/>
      </c>
      <c r="G122" s="37" t="str">
        <f aca="false">IF($A122="","",TRIM(SUBSTITUTE(SUBSTITUTE(SUBSTITUTE(SUBSTITUTE(SUBSTITUTE(SUBSTITUTE(UPPER(IFERROR(INDEX('Base de Personas'!$H7:H21,MATCH($A122,'Base de Personas'!$B7:B21,0)),IFERROR(INDEX($G$5:G121,MATCH($A122,$A$5:A121,0)),""))),"Á","A"),"É","E"),"Í","I"),"Ó","O"),"Ú","U"),"Ü","U")))</f>
        <v/>
      </c>
      <c r="H122" s="38" t="str">
        <f aca="false">IF($A122="","",IFERROR(INDEX('Base de Personas'!$I$7:$I$21,MATCH($A122,'Base de Personas'!$B$7:$B$21,0)),IFERROR(INDEX($H$5:H121,MATCH($A122,$A$5:A121,0)),"")))</f>
        <v/>
      </c>
      <c r="I122" s="39"/>
      <c r="J122" s="40"/>
      <c r="K122" s="40"/>
      <c r="L122" s="39"/>
      <c r="M122" s="41" t="str">
        <f aca="false">IF($A122="","",IF(K122=_xlfn.MAXIFS($K$5:$K$304,$A$5:$A$304,$A122),1,0))</f>
        <v/>
      </c>
      <c r="N122" s="41" t="str">
        <f aca="false">IF($A122="","",IF(M122=1,$A122&amp;"-ACT",""))</f>
        <v/>
      </c>
      <c r="O122" s="41" t="str">
        <f aca="false">IF($A122="","",IF(AND(COUNTIF('Base de Personas'!$B$7:$B$21,$A122)=0,COUNTIF($A$5:A122,$A122)=1),1,0))</f>
        <v/>
      </c>
      <c r="P122" s="41" t="str">
        <f aca="false">IF(O122=1,SUM($O$5:O122),"")</f>
        <v/>
      </c>
    </row>
    <row r="123" customFormat="false" ht="15" hidden="false" customHeight="false" outlineLevel="0" collapsed="false">
      <c r="A123" s="35"/>
      <c r="B123" s="36" t="str">
        <f aca="false">IF($A123="","",TRIM(SUBSTITUTE(SUBSTITUTE(SUBSTITUTE(SUBSTITUTE(SUBSTITUTE(SUBSTITUTE(UPPER(IFERROR(INDEX('Base de Personas'!$C7:C21,MATCH($A123,'Base de Personas'!$B7:B21,0)),IFERROR(INDEX($B$5:B122,MATCH($A123,$A$5:A122,0)),""))),"Á","A"),"É","E"),"Í","I"),"Ó","O"),"Ú","U"),"Ü","U")))</f>
        <v/>
      </c>
      <c r="C123" s="37" t="str">
        <f aca="false">IF($A123="","",TRIM(SUBSTITUTE(SUBSTITUTE(SUBSTITUTE(SUBSTITUTE(SUBSTITUTE(SUBSTITUTE(UPPER(IFERROR(INDEX('Base de Personas'!$D7:D21,MATCH($A123,'Base de Personas'!$B7:B21,0)),IFERROR(INDEX($C$5:C122,MATCH($A123,$A$5:A122,0)),""))),"Á","A"),"É","E"),"Í","I"),"Ó","O"),"Ú","U"),"Ü","U")))</f>
        <v/>
      </c>
      <c r="D123" s="36" t="str">
        <f aca="false">IF($A123="","",TRIM(SUBSTITUTE(SUBSTITUTE(SUBSTITUTE(SUBSTITUTE(SUBSTITUTE(SUBSTITUTE(UPPER(IFERROR(INDEX('Base de Personas'!$E7:E21,MATCH($A123,'Base de Personas'!$B7:B21,0)),IFERROR(INDEX($D$5:D122,MATCH($A123,$A$5:A122,0)),""))),"Á","A"),"É","E"),"Í","I"),"Ó","O"),"Ú","U"),"Ü","U")))</f>
        <v/>
      </c>
      <c r="E123" s="36" t="str">
        <f aca="false">IF($A123="","",TRIM(SUBSTITUTE(SUBSTITUTE(SUBSTITUTE(SUBSTITUTE(SUBSTITUTE(SUBSTITUTE(UPPER(IFERROR(INDEX('Base de Personas'!$F7:F21,MATCH($A123,'Base de Personas'!$B7:B21,0)),IFERROR(INDEX($E$5:E122,MATCH($A123,$A$5:A122,0)),""))),"Á","A"),"É","E"),"Í","I"),"Ó","O"),"Ú","U"),"Ü","U")))</f>
        <v/>
      </c>
      <c r="F123" s="36" t="str">
        <f aca="false">IF($A123="","",TRIM(SUBSTITUTE(SUBSTITUTE(SUBSTITUTE(SUBSTITUTE(SUBSTITUTE(SUBSTITUTE(UPPER(IFERROR(INDEX('Base de Personas'!$G7:G21,MATCH($A123,'Base de Personas'!$B7:B21,0)),IFERROR(INDEX($F$5:F122,MATCH($A123,$A$5:A122,0)),""))),"Á","A"),"É","E"),"Í","I"),"Ó","O"),"Ú","U"),"Ü","U")))</f>
        <v/>
      </c>
      <c r="G123" s="37" t="str">
        <f aca="false">IF($A123="","",TRIM(SUBSTITUTE(SUBSTITUTE(SUBSTITUTE(SUBSTITUTE(SUBSTITUTE(SUBSTITUTE(UPPER(IFERROR(INDEX('Base de Personas'!$H7:H21,MATCH($A123,'Base de Personas'!$B7:B21,0)),IFERROR(INDEX($G$5:G122,MATCH($A123,$A$5:A122,0)),""))),"Á","A"),"É","E"),"Í","I"),"Ó","O"),"Ú","U"),"Ü","U")))</f>
        <v/>
      </c>
      <c r="H123" s="38" t="str">
        <f aca="false">IF($A123="","",IFERROR(INDEX('Base de Personas'!$I$7:$I$21,MATCH($A123,'Base de Personas'!$B$7:$B$21,0)),IFERROR(INDEX($H$5:H122,MATCH($A123,$A$5:A122,0)),"")))</f>
        <v/>
      </c>
      <c r="I123" s="39"/>
      <c r="J123" s="40"/>
      <c r="K123" s="40"/>
      <c r="L123" s="39"/>
      <c r="M123" s="41" t="str">
        <f aca="false">IF($A123="","",IF(K123=_xlfn.MAXIFS($K$5:$K$304,$A$5:$A$304,$A123),1,0))</f>
        <v/>
      </c>
      <c r="N123" s="41" t="str">
        <f aca="false">IF($A123="","",IF(M123=1,$A123&amp;"-ACT",""))</f>
        <v/>
      </c>
      <c r="O123" s="41" t="str">
        <f aca="false">IF($A123="","",IF(AND(COUNTIF('Base de Personas'!$B$7:$B$21,$A123)=0,COUNTIF($A$5:A123,$A123)=1),1,0))</f>
        <v/>
      </c>
      <c r="P123" s="41" t="str">
        <f aca="false">IF(O123=1,SUM($O$5:O123),"")</f>
        <v/>
      </c>
    </row>
    <row r="124" customFormat="false" ht="15" hidden="false" customHeight="false" outlineLevel="0" collapsed="false">
      <c r="A124" s="35"/>
      <c r="B124" s="36" t="str">
        <f aca="false">IF($A124="","",TRIM(SUBSTITUTE(SUBSTITUTE(SUBSTITUTE(SUBSTITUTE(SUBSTITUTE(SUBSTITUTE(UPPER(IFERROR(INDEX('Base de Personas'!$C7:C21,MATCH($A124,'Base de Personas'!$B7:B21,0)),IFERROR(INDEX($B$5:B123,MATCH($A124,$A$5:A123,0)),""))),"Á","A"),"É","E"),"Í","I"),"Ó","O"),"Ú","U"),"Ü","U")))</f>
        <v/>
      </c>
      <c r="C124" s="37" t="str">
        <f aca="false">IF($A124="","",TRIM(SUBSTITUTE(SUBSTITUTE(SUBSTITUTE(SUBSTITUTE(SUBSTITUTE(SUBSTITUTE(UPPER(IFERROR(INDEX('Base de Personas'!$D7:D21,MATCH($A124,'Base de Personas'!$B7:B21,0)),IFERROR(INDEX($C$5:C123,MATCH($A124,$A$5:A123,0)),""))),"Á","A"),"É","E"),"Í","I"),"Ó","O"),"Ú","U"),"Ü","U")))</f>
        <v/>
      </c>
      <c r="D124" s="36" t="str">
        <f aca="false">IF($A124="","",TRIM(SUBSTITUTE(SUBSTITUTE(SUBSTITUTE(SUBSTITUTE(SUBSTITUTE(SUBSTITUTE(UPPER(IFERROR(INDEX('Base de Personas'!$E7:E21,MATCH($A124,'Base de Personas'!$B7:B21,0)),IFERROR(INDEX($D$5:D123,MATCH($A124,$A$5:A123,0)),""))),"Á","A"),"É","E"),"Í","I"),"Ó","O"),"Ú","U"),"Ü","U")))</f>
        <v/>
      </c>
      <c r="E124" s="36" t="str">
        <f aca="false">IF($A124="","",TRIM(SUBSTITUTE(SUBSTITUTE(SUBSTITUTE(SUBSTITUTE(SUBSTITUTE(SUBSTITUTE(UPPER(IFERROR(INDEX('Base de Personas'!$F7:F21,MATCH($A124,'Base de Personas'!$B7:B21,0)),IFERROR(INDEX($E$5:E123,MATCH($A124,$A$5:A123,0)),""))),"Á","A"),"É","E"),"Í","I"),"Ó","O"),"Ú","U"),"Ü","U")))</f>
        <v/>
      </c>
      <c r="F124" s="36" t="str">
        <f aca="false">IF($A124="","",TRIM(SUBSTITUTE(SUBSTITUTE(SUBSTITUTE(SUBSTITUTE(SUBSTITUTE(SUBSTITUTE(UPPER(IFERROR(INDEX('Base de Personas'!$G7:G21,MATCH($A124,'Base de Personas'!$B7:B21,0)),IFERROR(INDEX($F$5:F123,MATCH($A124,$A$5:A123,0)),""))),"Á","A"),"É","E"),"Í","I"),"Ó","O"),"Ú","U"),"Ü","U")))</f>
        <v/>
      </c>
      <c r="G124" s="37" t="str">
        <f aca="false">IF($A124="","",TRIM(SUBSTITUTE(SUBSTITUTE(SUBSTITUTE(SUBSTITUTE(SUBSTITUTE(SUBSTITUTE(UPPER(IFERROR(INDEX('Base de Personas'!$H7:H21,MATCH($A124,'Base de Personas'!$B7:B21,0)),IFERROR(INDEX($G$5:G123,MATCH($A124,$A$5:A123,0)),""))),"Á","A"),"É","E"),"Í","I"),"Ó","O"),"Ú","U"),"Ü","U")))</f>
        <v/>
      </c>
      <c r="H124" s="38" t="str">
        <f aca="false">IF($A124="","",IFERROR(INDEX('Base de Personas'!$I$7:$I$21,MATCH($A124,'Base de Personas'!$B$7:$B$21,0)),IFERROR(INDEX($H$5:H123,MATCH($A124,$A$5:A123,0)),"")))</f>
        <v/>
      </c>
      <c r="I124" s="39"/>
      <c r="J124" s="40"/>
      <c r="K124" s="40"/>
      <c r="L124" s="39"/>
      <c r="M124" s="41" t="str">
        <f aca="false">IF($A124="","",IF(K124=_xlfn.MAXIFS($K$5:$K$304,$A$5:$A$304,$A124),1,0))</f>
        <v/>
      </c>
      <c r="N124" s="41" t="str">
        <f aca="false">IF($A124="","",IF(M124=1,$A124&amp;"-ACT",""))</f>
        <v/>
      </c>
      <c r="O124" s="41" t="str">
        <f aca="false">IF($A124="","",IF(AND(COUNTIF('Base de Personas'!$B$7:$B$21,$A124)=0,COUNTIF($A$5:A124,$A124)=1),1,0))</f>
        <v/>
      </c>
      <c r="P124" s="41" t="str">
        <f aca="false">IF(O124=1,SUM($O$5:O124),"")</f>
        <v/>
      </c>
    </row>
    <row r="125" customFormat="false" ht="15" hidden="false" customHeight="false" outlineLevel="0" collapsed="false">
      <c r="A125" s="35"/>
      <c r="B125" s="36" t="str">
        <f aca="false">IF($A125="","",TRIM(SUBSTITUTE(SUBSTITUTE(SUBSTITUTE(SUBSTITUTE(SUBSTITUTE(SUBSTITUTE(UPPER(IFERROR(INDEX('Base de Personas'!$C7:C21,MATCH($A125,'Base de Personas'!$B7:B21,0)),IFERROR(INDEX($B$5:B124,MATCH($A125,$A$5:A124,0)),""))),"Á","A"),"É","E"),"Í","I"),"Ó","O"),"Ú","U"),"Ü","U")))</f>
        <v/>
      </c>
      <c r="C125" s="37" t="str">
        <f aca="false">IF($A125="","",TRIM(SUBSTITUTE(SUBSTITUTE(SUBSTITUTE(SUBSTITUTE(SUBSTITUTE(SUBSTITUTE(UPPER(IFERROR(INDEX('Base de Personas'!$D7:D21,MATCH($A125,'Base de Personas'!$B7:B21,0)),IFERROR(INDEX($C$5:C124,MATCH($A125,$A$5:A124,0)),""))),"Á","A"),"É","E"),"Í","I"),"Ó","O"),"Ú","U"),"Ü","U")))</f>
        <v/>
      </c>
      <c r="D125" s="36" t="str">
        <f aca="false">IF($A125="","",TRIM(SUBSTITUTE(SUBSTITUTE(SUBSTITUTE(SUBSTITUTE(SUBSTITUTE(SUBSTITUTE(UPPER(IFERROR(INDEX('Base de Personas'!$E7:E21,MATCH($A125,'Base de Personas'!$B7:B21,0)),IFERROR(INDEX($D$5:D124,MATCH($A125,$A$5:A124,0)),""))),"Á","A"),"É","E"),"Í","I"),"Ó","O"),"Ú","U"),"Ü","U")))</f>
        <v/>
      </c>
      <c r="E125" s="36" t="str">
        <f aca="false">IF($A125="","",TRIM(SUBSTITUTE(SUBSTITUTE(SUBSTITUTE(SUBSTITUTE(SUBSTITUTE(SUBSTITUTE(UPPER(IFERROR(INDEX('Base de Personas'!$F7:F21,MATCH($A125,'Base de Personas'!$B7:B21,0)),IFERROR(INDEX($E$5:E124,MATCH($A125,$A$5:A124,0)),""))),"Á","A"),"É","E"),"Í","I"),"Ó","O"),"Ú","U"),"Ü","U")))</f>
        <v/>
      </c>
      <c r="F125" s="36" t="str">
        <f aca="false">IF($A125="","",TRIM(SUBSTITUTE(SUBSTITUTE(SUBSTITUTE(SUBSTITUTE(SUBSTITUTE(SUBSTITUTE(UPPER(IFERROR(INDEX('Base de Personas'!$G7:G21,MATCH($A125,'Base de Personas'!$B7:B21,0)),IFERROR(INDEX($F$5:F124,MATCH($A125,$A$5:A124,0)),""))),"Á","A"),"É","E"),"Í","I"),"Ó","O"),"Ú","U"),"Ü","U")))</f>
        <v/>
      </c>
      <c r="G125" s="37" t="str">
        <f aca="false">IF($A125="","",TRIM(SUBSTITUTE(SUBSTITUTE(SUBSTITUTE(SUBSTITUTE(SUBSTITUTE(SUBSTITUTE(UPPER(IFERROR(INDEX('Base de Personas'!$H7:H21,MATCH($A125,'Base de Personas'!$B7:B21,0)),IFERROR(INDEX($G$5:G124,MATCH($A125,$A$5:A124,0)),""))),"Á","A"),"É","E"),"Í","I"),"Ó","O"),"Ú","U"),"Ü","U")))</f>
        <v/>
      </c>
      <c r="H125" s="38" t="str">
        <f aca="false">IF($A125="","",IFERROR(INDEX('Base de Personas'!$I$7:$I$21,MATCH($A125,'Base de Personas'!$B$7:$B$21,0)),IFERROR(INDEX($H$5:H124,MATCH($A125,$A$5:A124,0)),"")))</f>
        <v/>
      </c>
      <c r="I125" s="39"/>
      <c r="J125" s="40"/>
      <c r="K125" s="40"/>
      <c r="L125" s="39"/>
      <c r="M125" s="41" t="str">
        <f aca="false">IF($A125="","",IF(K125=_xlfn.MAXIFS($K$5:$K$304,$A$5:$A$304,$A125),1,0))</f>
        <v/>
      </c>
      <c r="N125" s="41" t="str">
        <f aca="false">IF($A125="","",IF(M125=1,$A125&amp;"-ACT",""))</f>
        <v/>
      </c>
      <c r="O125" s="41" t="str">
        <f aca="false">IF($A125="","",IF(AND(COUNTIF('Base de Personas'!$B$7:$B$21,$A125)=0,COUNTIF($A$5:A125,$A125)=1),1,0))</f>
        <v/>
      </c>
      <c r="P125" s="41" t="str">
        <f aca="false">IF(O125=1,SUM($O$5:O125),"")</f>
        <v/>
      </c>
    </row>
    <row r="126" customFormat="false" ht="15" hidden="false" customHeight="false" outlineLevel="0" collapsed="false">
      <c r="A126" s="35"/>
      <c r="B126" s="36" t="str">
        <f aca="false">IF($A126="","",TRIM(SUBSTITUTE(SUBSTITUTE(SUBSTITUTE(SUBSTITUTE(SUBSTITUTE(SUBSTITUTE(UPPER(IFERROR(INDEX('Base de Personas'!$C7:C21,MATCH($A126,'Base de Personas'!$B7:B21,0)),IFERROR(INDEX($B$5:B125,MATCH($A126,$A$5:A125,0)),""))),"Á","A"),"É","E"),"Í","I"),"Ó","O"),"Ú","U"),"Ü","U")))</f>
        <v/>
      </c>
      <c r="C126" s="37" t="str">
        <f aca="false">IF($A126="","",TRIM(SUBSTITUTE(SUBSTITUTE(SUBSTITUTE(SUBSTITUTE(SUBSTITUTE(SUBSTITUTE(UPPER(IFERROR(INDEX('Base de Personas'!$D7:D21,MATCH($A126,'Base de Personas'!$B7:B21,0)),IFERROR(INDEX($C$5:C125,MATCH($A126,$A$5:A125,0)),""))),"Á","A"),"É","E"),"Í","I"),"Ó","O"),"Ú","U"),"Ü","U")))</f>
        <v/>
      </c>
      <c r="D126" s="36" t="str">
        <f aca="false">IF($A126="","",TRIM(SUBSTITUTE(SUBSTITUTE(SUBSTITUTE(SUBSTITUTE(SUBSTITUTE(SUBSTITUTE(UPPER(IFERROR(INDEX('Base de Personas'!$E7:E21,MATCH($A126,'Base de Personas'!$B7:B21,0)),IFERROR(INDEX($D$5:D125,MATCH($A126,$A$5:A125,0)),""))),"Á","A"),"É","E"),"Í","I"),"Ó","O"),"Ú","U"),"Ü","U")))</f>
        <v/>
      </c>
      <c r="E126" s="36" t="str">
        <f aca="false">IF($A126="","",TRIM(SUBSTITUTE(SUBSTITUTE(SUBSTITUTE(SUBSTITUTE(SUBSTITUTE(SUBSTITUTE(UPPER(IFERROR(INDEX('Base de Personas'!$F7:F21,MATCH($A126,'Base de Personas'!$B7:B21,0)),IFERROR(INDEX($E$5:E125,MATCH($A126,$A$5:A125,0)),""))),"Á","A"),"É","E"),"Í","I"),"Ó","O"),"Ú","U"),"Ü","U")))</f>
        <v/>
      </c>
      <c r="F126" s="36" t="str">
        <f aca="false">IF($A126="","",TRIM(SUBSTITUTE(SUBSTITUTE(SUBSTITUTE(SUBSTITUTE(SUBSTITUTE(SUBSTITUTE(UPPER(IFERROR(INDEX('Base de Personas'!$G7:G21,MATCH($A126,'Base de Personas'!$B7:B21,0)),IFERROR(INDEX($F$5:F125,MATCH($A126,$A$5:A125,0)),""))),"Á","A"),"É","E"),"Í","I"),"Ó","O"),"Ú","U"),"Ü","U")))</f>
        <v/>
      </c>
      <c r="G126" s="37" t="str">
        <f aca="false">IF($A126="","",TRIM(SUBSTITUTE(SUBSTITUTE(SUBSTITUTE(SUBSTITUTE(SUBSTITUTE(SUBSTITUTE(UPPER(IFERROR(INDEX('Base de Personas'!$H7:H21,MATCH($A126,'Base de Personas'!$B7:B21,0)),IFERROR(INDEX($G$5:G125,MATCH($A126,$A$5:A125,0)),""))),"Á","A"),"É","E"),"Í","I"),"Ó","O"),"Ú","U"),"Ü","U")))</f>
        <v/>
      </c>
      <c r="H126" s="38" t="str">
        <f aca="false">IF($A126="","",IFERROR(INDEX('Base de Personas'!$I$7:$I$21,MATCH($A126,'Base de Personas'!$B$7:$B$21,0)),IFERROR(INDEX($H$5:H125,MATCH($A126,$A$5:A125,0)),"")))</f>
        <v/>
      </c>
      <c r="I126" s="39"/>
      <c r="J126" s="40"/>
      <c r="K126" s="40"/>
      <c r="L126" s="39"/>
      <c r="M126" s="41" t="str">
        <f aca="false">IF($A126="","",IF(K126=_xlfn.MAXIFS($K$5:$K$304,$A$5:$A$304,$A126),1,0))</f>
        <v/>
      </c>
      <c r="N126" s="41" t="str">
        <f aca="false">IF($A126="","",IF(M126=1,$A126&amp;"-ACT",""))</f>
        <v/>
      </c>
      <c r="O126" s="41" t="str">
        <f aca="false">IF($A126="","",IF(AND(COUNTIF('Base de Personas'!$B$7:$B$21,$A126)=0,COUNTIF($A$5:A126,$A126)=1),1,0))</f>
        <v/>
      </c>
      <c r="P126" s="41" t="str">
        <f aca="false">IF(O126=1,SUM($O$5:O126),"")</f>
        <v/>
      </c>
    </row>
    <row r="127" customFormat="false" ht="15" hidden="false" customHeight="false" outlineLevel="0" collapsed="false">
      <c r="A127" s="35"/>
      <c r="B127" s="36" t="str">
        <f aca="false">IF($A127="","",TRIM(SUBSTITUTE(SUBSTITUTE(SUBSTITUTE(SUBSTITUTE(SUBSTITUTE(SUBSTITUTE(UPPER(IFERROR(INDEX('Base de Personas'!$C7:C21,MATCH($A127,'Base de Personas'!$B7:B21,0)),IFERROR(INDEX($B$5:B126,MATCH($A127,$A$5:A126,0)),""))),"Á","A"),"É","E"),"Í","I"),"Ó","O"),"Ú","U"),"Ü","U")))</f>
        <v/>
      </c>
      <c r="C127" s="37" t="str">
        <f aca="false">IF($A127="","",TRIM(SUBSTITUTE(SUBSTITUTE(SUBSTITUTE(SUBSTITUTE(SUBSTITUTE(SUBSTITUTE(UPPER(IFERROR(INDEX('Base de Personas'!$D7:D21,MATCH($A127,'Base de Personas'!$B7:B21,0)),IFERROR(INDEX($C$5:C126,MATCH($A127,$A$5:A126,0)),""))),"Á","A"),"É","E"),"Í","I"),"Ó","O"),"Ú","U"),"Ü","U")))</f>
        <v/>
      </c>
      <c r="D127" s="36" t="str">
        <f aca="false">IF($A127="","",TRIM(SUBSTITUTE(SUBSTITUTE(SUBSTITUTE(SUBSTITUTE(SUBSTITUTE(SUBSTITUTE(UPPER(IFERROR(INDEX('Base de Personas'!$E7:E21,MATCH($A127,'Base de Personas'!$B7:B21,0)),IFERROR(INDEX($D$5:D126,MATCH($A127,$A$5:A126,0)),""))),"Á","A"),"É","E"),"Í","I"),"Ó","O"),"Ú","U"),"Ü","U")))</f>
        <v/>
      </c>
      <c r="E127" s="36" t="str">
        <f aca="false">IF($A127="","",TRIM(SUBSTITUTE(SUBSTITUTE(SUBSTITUTE(SUBSTITUTE(SUBSTITUTE(SUBSTITUTE(UPPER(IFERROR(INDEX('Base de Personas'!$F7:F21,MATCH($A127,'Base de Personas'!$B7:B21,0)),IFERROR(INDEX($E$5:E126,MATCH($A127,$A$5:A126,0)),""))),"Á","A"),"É","E"),"Í","I"),"Ó","O"),"Ú","U"),"Ü","U")))</f>
        <v/>
      </c>
      <c r="F127" s="36" t="str">
        <f aca="false">IF($A127="","",TRIM(SUBSTITUTE(SUBSTITUTE(SUBSTITUTE(SUBSTITUTE(SUBSTITUTE(SUBSTITUTE(UPPER(IFERROR(INDEX('Base de Personas'!$G7:G21,MATCH($A127,'Base de Personas'!$B7:B21,0)),IFERROR(INDEX($F$5:F126,MATCH($A127,$A$5:A126,0)),""))),"Á","A"),"É","E"),"Í","I"),"Ó","O"),"Ú","U"),"Ü","U")))</f>
        <v/>
      </c>
      <c r="G127" s="37" t="str">
        <f aca="false">IF($A127="","",TRIM(SUBSTITUTE(SUBSTITUTE(SUBSTITUTE(SUBSTITUTE(SUBSTITUTE(SUBSTITUTE(UPPER(IFERROR(INDEX('Base de Personas'!$H7:H21,MATCH($A127,'Base de Personas'!$B7:B21,0)),IFERROR(INDEX($G$5:G126,MATCH($A127,$A$5:A126,0)),""))),"Á","A"),"É","E"),"Í","I"),"Ó","O"),"Ú","U"),"Ü","U")))</f>
        <v/>
      </c>
      <c r="H127" s="38" t="str">
        <f aca="false">IF($A127="","",IFERROR(INDEX('Base de Personas'!$I$7:$I$21,MATCH($A127,'Base de Personas'!$B$7:$B$21,0)),IFERROR(INDEX($H$5:H126,MATCH($A127,$A$5:A126,0)),"")))</f>
        <v/>
      </c>
      <c r="I127" s="39"/>
      <c r="J127" s="40"/>
      <c r="K127" s="40"/>
      <c r="L127" s="39"/>
      <c r="M127" s="41" t="str">
        <f aca="false">IF($A127="","",IF(K127=_xlfn.MAXIFS($K$5:$K$304,$A$5:$A$304,$A127),1,0))</f>
        <v/>
      </c>
      <c r="N127" s="41" t="str">
        <f aca="false">IF($A127="","",IF(M127=1,$A127&amp;"-ACT",""))</f>
        <v/>
      </c>
      <c r="O127" s="41" t="str">
        <f aca="false">IF($A127="","",IF(AND(COUNTIF('Base de Personas'!$B$7:$B$21,$A127)=0,COUNTIF($A$5:A127,$A127)=1),1,0))</f>
        <v/>
      </c>
      <c r="P127" s="41" t="str">
        <f aca="false">IF(O127=1,SUM($O$5:O127),"")</f>
        <v/>
      </c>
    </row>
    <row r="128" customFormat="false" ht="15" hidden="false" customHeight="false" outlineLevel="0" collapsed="false">
      <c r="A128" s="35"/>
      <c r="B128" s="36" t="str">
        <f aca="false">IF($A128="","",TRIM(SUBSTITUTE(SUBSTITUTE(SUBSTITUTE(SUBSTITUTE(SUBSTITUTE(SUBSTITUTE(UPPER(IFERROR(INDEX('Base de Personas'!$C7:C21,MATCH($A128,'Base de Personas'!$B7:B21,0)),IFERROR(INDEX($B$5:B127,MATCH($A128,$A$5:A127,0)),""))),"Á","A"),"É","E"),"Í","I"),"Ó","O"),"Ú","U"),"Ü","U")))</f>
        <v/>
      </c>
      <c r="C128" s="37" t="str">
        <f aca="false">IF($A128="","",TRIM(SUBSTITUTE(SUBSTITUTE(SUBSTITUTE(SUBSTITUTE(SUBSTITUTE(SUBSTITUTE(UPPER(IFERROR(INDEX('Base de Personas'!$D7:D21,MATCH($A128,'Base de Personas'!$B7:B21,0)),IFERROR(INDEX($C$5:C127,MATCH($A128,$A$5:A127,0)),""))),"Á","A"),"É","E"),"Í","I"),"Ó","O"),"Ú","U"),"Ü","U")))</f>
        <v/>
      </c>
      <c r="D128" s="36" t="str">
        <f aca="false">IF($A128="","",TRIM(SUBSTITUTE(SUBSTITUTE(SUBSTITUTE(SUBSTITUTE(SUBSTITUTE(SUBSTITUTE(UPPER(IFERROR(INDEX('Base de Personas'!$E7:E21,MATCH($A128,'Base de Personas'!$B7:B21,0)),IFERROR(INDEX($D$5:D127,MATCH($A128,$A$5:A127,0)),""))),"Á","A"),"É","E"),"Í","I"),"Ó","O"),"Ú","U"),"Ü","U")))</f>
        <v/>
      </c>
      <c r="E128" s="36" t="str">
        <f aca="false">IF($A128="","",TRIM(SUBSTITUTE(SUBSTITUTE(SUBSTITUTE(SUBSTITUTE(SUBSTITUTE(SUBSTITUTE(UPPER(IFERROR(INDEX('Base de Personas'!$F7:F21,MATCH($A128,'Base de Personas'!$B7:B21,0)),IFERROR(INDEX($E$5:E127,MATCH($A128,$A$5:A127,0)),""))),"Á","A"),"É","E"),"Í","I"),"Ó","O"),"Ú","U"),"Ü","U")))</f>
        <v/>
      </c>
      <c r="F128" s="36" t="str">
        <f aca="false">IF($A128="","",TRIM(SUBSTITUTE(SUBSTITUTE(SUBSTITUTE(SUBSTITUTE(SUBSTITUTE(SUBSTITUTE(UPPER(IFERROR(INDEX('Base de Personas'!$G7:G21,MATCH($A128,'Base de Personas'!$B7:B21,0)),IFERROR(INDEX($F$5:F127,MATCH($A128,$A$5:A127,0)),""))),"Á","A"),"É","E"),"Í","I"),"Ó","O"),"Ú","U"),"Ü","U")))</f>
        <v/>
      </c>
      <c r="G128" s="37" t="str">
        <f aca="false">IF($A128="","",TRIM(SUBSTITUTE(SUBSTITUTE(SUBSTITUTE(SUBSTITUTE(SUBSTITUTE(SUBSTITUTE(UPPER(IFERROR(INDEX('Base de Personas'!$H7:H21,MATCH($A128,'Base de Personas'!$B7:B21,0)),IFERROR(INDEX($G$5:G127,MATCH($A128,$A$5:A127,0)),""))),"Á","A"),"É","E"),"Í","I"),"Ó","O"),"Ú","U"),"Ü","U")))</f>
        <v/>
      </c>
      <c r="H128" s="38" t="str">
        <f aca="false">IF($A128="","",IFERROR(INDEX('Base de Personas'!$I$7:$I$21,MATCH($A128,'Base de Personas'!$B$7:$B$21,0)),IFERROR(INDEX($H$5:H127,MATCH($A128,$A$5:A127,0)),"")))</f>
        <v/>
      </c>
      <c r="I128" s="39"/>
      <c r="J128" s="40"/>
      <c r="K128" s="40"/>
      <c r="L128" s="39"/>
      <c r="M128" s="41" t="str">
        <f aca="false">IF($A128="","",IF(K128=_xlfn.MAXIFS($K$5:$K$304,$A$5:$A$304,$A128),1,0))</f>
        <v/>
      </c>
      <c r="N128" s="41" t="str">
        <f aca="false">IF($A128="","",IF(M128=1,$A128&amp;"-ACT",""))</f>
        <v/>
      </c>
      <c r="O128" s="41" t="str">
        <f aca="false">IF($A128="","",IF(AND(COUNTIF('Base de Personas'!$B$7:$B$21,$A128)=0,COUNTIF($A$5:A128,$A128)=1),1,0))</f>
        <v/>
      </c>
      <c r="P128" s="41" t="str">
        <f aca="false">IF(O128=1,SUM($O$5:O128),"")</f>
        <v/>
      </c>
    </row>
    <row r="129" customFormat="false" ht="15" hidden="false" customHeight="false" outlineLevel="0" collapsed="false">
      <c r="A129" s="35"/>
      <c r="B129" s="36" t="str">
        <f aca="false">IF($A129="","",TRIM(SUBSTITUTE(SUBSTITUTE(SUBSTITUTE(SUBSTITUTE(SUBSTITUTE(SUBSTITUTE(UPPER(IFERROR(INDEX('Base de Personas'!$C7:C21,MATCH($A129,'Base de Personas'!$B7:B21,0)),IFERROR(INDEX($B$5:B128,MATCH($A129,$A$5:A128,0)),""))),"Á","A"),"É","E"),"Í","I"),"Ó","O"),"Ú","U"),"Ü","U")))</f>
        <v/>
      </c>
      <c r="C129" s="37" t="str">
        <f aca="false">IF($A129="","",TRIM(SUBSTITUTE(SUBSTITUTE(SUBSTITUTE(SUBSTITUTE(SUBSTITUTE(SUBSTITUTE(UPPER(IFERROR(INDEX('Base de Personas'!$D7:D21,MATCH($A129,'Base de Personas'!$B7:B21,0)),IFERROR(INDEX($C$5:C128,MATCH($A129,$A$5:A128,0)),""))),"Á","A"),"É","E"),"Í","I"),"Ó","O"),"Ú","U"),"Ü","U")))</f>
        <v/>
      </c>
      <c r="D129" s="36" t="str">
        <f aca="false">IF($A129="","",TRIM(SUBSTITUTE(SUBSTITUTE(SUBSTITUTE(SUBSTITUTE(SUBSTITUTE(SUBSTITUTE(UPPER(IFERROR(INDEX('Base de Personas'!$E7:E21,MATCH($A129,'Base de Personas'!$B7:B21,0)),IFERROR(INDEX($D$5:D128,MATCH($A129,$A$5:A128,0)),""))),"Á","A"),"É","E"),"Í","I"),"Ó","O"),"Ú","U"),"Ü","U")))</f>
        <v/>
      </c>
      <c r="E129" s="36" t="str">
        <f aca="false">IF($A129="","",TRIM(SUBSTITUTE(SUBSTITUTE(SUBSTITUTE(SUBSTITUTE(SUBSTITUTE(SUBSTITUTE(UPPER(IFERROR(INDEX('Base de Personas'!$F7:F21,MATCH($A129,'Base de Personas'!$B7:B21,0)),IFERROR(INDEX($E$5:E128,MATCH($A129,$A$5:A128,0)),""))),"Á","A"),"É","E"),"Í","I"),"Ó","O"),"Ú","U"),"Ü","U")))</f>
        <v/>
      </c>
      <c r="F129" s="36" t="str">
        <f aca="false">IF($A129="","",TRIM(SUBSTITUTE(SUBSTITUTE(SUBSTITUTE(SUBSTITUTE(SUBSTITUTE(SUBSTITUTE(UPPER(IFERROR(INDEX('Base de Personas'!$G7:G21,MATCH($A129,'Base de Personas'!$B7:B21,0)),IFERROR(INDEX($F$5:F128,MATCH($A129,$A$5:A128,0)),""))),"Á","A"),"É","E"),"Í","I"),"Ó","O"),"Ú","U"),"Ü","U")))</f>
        <v/>
      </c>
      <c r="G129" s="37" t="str">
        <f aca="false">IF($A129="","",TRIM(SUBSTITUTE(SUBSTITUTE(SUBSTITUTE(SUBSTITUTE(SUBSTITUTE(SUBSTITUTE(UPPER(IFERROR(INDEX('Base de Personas'!$H7:H21,MATCH($A129,'Base de Personas'!$B7:B21,0)),IFERROR(INDEX($G$5:G128,MATCH($A129,$A$5:A128,0)),""))),"Á","A"),"É","E"),"Í","I"),"Ó","O"),"Ú","U"),"Ü","U")))</f>
        <v/>
      </c>
      <c r="H129" s="38" t="str">
        <f aca="false">IF($A129="","",IFERROR(INDEX('Base de Personas'!$I$7:$I$21,MATCH($A129,'Base de Personas'!$B$7:$B$21,0)),IFERROR(INDEX($H$5:H128,MATCH($A129,$A$5:A128,0)),"")))</f>
        <v/>
      </c>
      <c r="I129" s="39"/>
      <c r="J129" s="40"/>
      <c r="K129" s="40"/>
      <c r="L129" s="39"/>
      <c r="M129" s="41" t="str">
        <f aca="false">IF($A129="","",IF(K129=_xlfn.MAXIFS($K$5:$K$304,$A$5:$A$304,$A129),1,0))</f>
        <v/>
      </c>
      <c r="N129" s="41" t="str">
        <f aca="false">IF($A129="","",IF(M129=1,$A129&amp;"-ACT",""))</f>
        <v/>
      </c>
      <c r="O129" s="41" t="str">
        <f aca="false">IF($A129="","",IF(AND(COUNTIF('Base de Personas'!$B$7:$B$21,$A129)=0,COUNTIF($A$5:A129,$A129)=1),1,0))</f>
        <v/>
      </c>
      <c r="P129" s="41" t="str">
        <f aca="false">IF(O129=1,SUM($O$5:O129),"")</f>
        <v/>
      </c>
    </row>
    <row r="130" customFormat="false" ht="15" hidden="false" customHeight="false" outlineLevel="0" collapsed="false">
      <c r="A130" s="35"/>
      <c r="B130" s="36" t="str">
        <f aca="false">IF($A130="","",TRIM(SUBSTITUTE(SUBSTITUTE(SUBSTITUTE(SUBSTITUTE(SUBSTITUTE(SUBSTITUTE(UPPER(IFERROR(INDEX('Base de Personas'!$C7:C21,MATCH($A130,'Base de Personas'!$B7:B21,0)),IFERROR(INDEX($B$5:B129,MATCH($A130,$A$5:A129,0)),""))),"Á","A"),"É","E"),"Í","I"),"Ó","O"),"Ú","U"),"Ü","U")))</f>
        <v/>
      </c>
      <c r="C130" s="37" t="str">
        <f aca="false">IF($A130="","",TRIM(SUBSTITUTE(SUBSTITUTE(SUBSTITUTE(SUBSTITUTE(SUBSTITUTE(SUBSTITUTE(UPPER(IFERROR(INDEX('Base de Personas'!$D7:D21,MATCH($A130,'Base de Personas'!$B7:B21,0)),IFERROR(INDEX($C$5:C129,MATCH($A130,$A$5:A129,0)),""))),"Á","A"),"É","E"),"Í","I"),"Ó","O"),"Ú","U"),"Ü","U")))</f>
        <v/>
      </c>
      <c r="D130" s="36" t="str">
        <f aca="false">IF($A130="","",TRIM(SUBSTITUTE(SUBSTITUTE(SUBSTITUTE(SUBSTITUTE(SUBSTITUTE(SUBSTITUTE(UPPER(IFERROR(INDEX('Base de Personas'!$E7:E21,MATCH($A130,'Base de Personas'!$B7:B21,0)),IFERROR(INDEX($D$5:D129,MATCH($A130,$A$5:A129,0)),""))),"Á","A"),"É","E"),"Í","I"),"Ó","O"),"Ú","U"),"Ü","U")))</f>
        <v/>
      </c>
      <c r="E130" s="36" t="str">
        <f aca="false">IF($A130="","",TRIM(SUBSTITUTE(SUBSTITUTE(SUBSTITUTE(SUBSTITUTE(SUBSTITUTE(SUBSTITUTE(UPPER(IFERROR(INDEX('Base de Personas'!$F7:F21,MATCH($A130,'Base de Personas'!$B7:B21,0)),IFERROR(INDEX($E$5:E129,MATCH($A130,$A$5:A129,0)),""))),"Á","A"),"É","E"),"Í","I"),"Ó","O"),"Ú","U"),"Ü","U")))</f>
        <v/>
      </c>
      <c r="F130" s="36" t="str">
        <f aca="false">IF($A130="","",TRIM(SUBSTITUTE(SUBSTITUTE(SUBSTITUTE(SUBSTITUTE(SUBSTITUTE(SUBSTITUTE(UPPER(IFERROR(INDEX('Base de Personas'!$G7:G21,MATCH($A130,'Base de Personas'!$B7:B21,0)),IFERROR(INDEX($F$5:F129,MATCH($A130,$A$5:A129,0)),""))),"Á","A"),"É","E"),"Í","I"),"Ó","O"),"Ú","U"),"Ü","U")))</f>
        <v/>
      </c>
      <c r="G130" s="37" t="str">
        <f aca="false">IF($A130="","",TRIM(SUBSTITUTE(SUBSTITUTE(SUBSTITUTE(SUBSTITUTE(SUBSTITUTE(SUBSTITUTE(UPPER(IFERROR(INDEX('Base de Personas'!$H7:H21,MATCH($A130,'Base de Personas'!$B7:B21,0)),IFERROR(INDEX($G$5:G129,MATCH($A130,$A$5:A129,0)),""))),"Á","A"),"É","E"),"Í","I"),"Ó","O"),"Ú","U"),"Ü","U")))</f>
        <v/>
      </c>
      <c r="H130" s="38" t="str">
        <f aca="false">IF($A130="","",IFERROR(INDEX('Base de Personas'!$I$7:$I$21,MATCH($A130,'Base de Personas'!$B$7:$B$21,0)),IFERROR(INDEX($H$5:H129,MATCH($A130,$A$5:A129,0)),"")))</f>
        <v/>
      </c>
      <c r="I130" s="39"/>
      <c r="J130" s="40"/>
      <c r="K130" s="40"/>
      <c r="L130" s="39"/>
      <c r="M130" s="41" t="str">
        <f aca="false">IF($A130="","",IF(K130=_xlfn.MAXIFS($K$5:$K$304,$A$5:$A$304,$A130),1,0))</f>
        <v/>
      </c>
      <c r="N130" s="41" t="str">
        <f aca="false">IF($A130="","",IF(M130=1,$A130&amp;"-ACT",""))</f>
        <v/>
      </c>
      <c r="O130" s="41" t="str">
        <f aca="false">IF($A130="","",IF(AND(COUNTIF('Base de Personas'!$B$7:$B$21,$A130)=0,COUNTIF($A$5:A130,$A130)=1),1,0))</f>
        <v/>
      </c>
      <c r="P130" s="41" t="str">
        <f aca="false">IF(O130=1,SUM($O$5:O130),"")</f>
        <v/>
      </c>
    </row>
    <row r="131" customFormat="false" ht="15" hidden="false" customHeight="false" outlineLevel="0" collapsed="false">
      <c r="A131" s="35"/>
      <c r="B131" s="36" t="str">
        <f aca="false">IF($A131="","",TRIM(SUBSTITUTE(SUBSTITUTE(SUBSTITUTE(SUBSTITUTE(SUBSTITUTE(SUBSTITUTE(UPPER(IFERROR(INDEX('Base de Personas'!$C7:C21,MATCH($A131,'Base de Personas'!$B7:B21,0)),IFERROR(INDEX($B$5:B130,MATCH($A131,$A$5:A130,0)),""))),"Á","A"),"É","E"),"Í","I"),"Ó","O"),"Ú","U"),"Ü","U")))</f>
        <v/>
      </c>
      <c r="C131" s="37" t="str">
        <f aca="false">IF($A131="","",TRIM(SUBSTITUTE(SUBSTITUTE(SUBSTITUTE(SUBSTITUTE(SUBSTITUTE(SUBSTITUTE(UPPER(IFERROR(INDEX('Base de Personas'!$D7:D21,MATCH($A131,'Base de Personas'!$B7:B21,0)),IFERROR(INDEX($C$5:C130,MATCH($A131,$A$5:A130,0)),""))),"Á","A"),"É","E"),"Í","I"),"Ó","O"),"Ú","U"),"Ü","U")))</f>
        <v/>
      </c>
      <c r="D131" s="36" t="str">
        <f aca="false">IF($A131="","",TRIM(SUBSTITUTE(SUBSTITUTE(SUBSTITUTE(SUBSTITUTE(SUBSTITUTE(SUBSTITUTE(UPPER(IFERROR(INDEX('Base de Personas'!$E7:E21,MATCH($A131,'Base de Personas'!$B7:B21,0)),IFERROR(INDEX($D$5:D130,MATCH($A131,$A$5:A130,0)),""))),"Á","A"),"É","E"),"Í","I"),"Ó","O"),"Ú","U"),"Ü","U")))</f>
        <v/>
      </c>
      <c r="E131" s="36" t="str">
        <f aca="false">IF($A131="","",TRIM(SUBSTITUTE(SUBSTITUTE(SUBSTITUTE(SUBSTITUTE(SUBSTITUTE(SUBSTITUTE(UPPER(IFERROR(INDEX('Base de Personas'!$F7:F21,MATCH($A131,'Base de Personas'!$B7:B21,0)),IFERROR(INDEX($E$5:E130,MATCH($A131,$A$5:A130,0)),""))),"Á","A"),"É","E"),"Í","I"),"Ó","O"),"Ú","U"),"Ü","U")))</f>
        <v/>
      </c>
      <c r="F131" s="36" t="str">
        <f aca="false">IF($A131="","",TRIM(SUBSTITUTE(SUBSTITUTE(SUBSTITUTE(SUBSTITUTE(SUBSTITUTE(SUBSTITUTE(UPPER(IFERROR(INDEX('Base de Personas'!$G7:G21,MATCH($A131,'Base de Personas'!$B7:B21,0)),IFERROR(INDEX($F$5:F130,MATCH($A131,$A$5:A130,0)),""))),"Á","A"),"É","E"),"Í","I"),"Ó","O"),"Ú","U"),"Ü","U")))</f>
        <v/>
      </c>
      <c r="G131" s="37" t="str">
        <f aca="false">IF($A131="","",TRIM(SUBSTITUTE(SUBSTITUTE(SUBSTITUTE(SUBSTITUTE(SUBSTITUTE(SUBSTITUTE(UPPER(IFERROR(INDEX('Base de Personas'!$H7:H21,MATCH($A131,'Base de Personas'!$B7:B21,0)),IFERROR(INDEX($G$5:G130,MATCH($A131,$A$5:A130,0)),""))),"Á","A"),"É","E"),"Í","I"),"Ó","O"),"Ú","U"),"Ü","U")))</f>
        <v/>
      </c>
      <c r="H131" s="38" t="str">
        <f aca="false">IF($A131="","",IFERROR(INDEX('Base de Personas'!$I$7:$I$21,MATCH($A131,'Base de Personas'!$B$7:$B$21,0)),IFERROR(INDEX($H$5:H130,MATCH($A131,$A$5:A130,0)),"")))</f>
        <v/>
      </c>
      <c r="I131" s="39"/>
      <c r="J131" s="40"/>
      <c r="K131" s="40"/>
      <c r="L131" s="39"/>
      <c r="M131" s="41" t="str">
        <f aca="false">IF($A131="","",IF(K131=_xlfn.MAXIFS($K$5:$K$304,$A$5:$A$304,$A131),1,0))</f>
        <v/>
      </c>
      <c r="N131" s="41" t="str">
        <f aca="false">IF($A131="","",IF(M131=1,$A131&amp;"-ACT",""))</f>
        <v/>
      </c>
      <c r="O131" s="41" t="str">
        <f aca="false">IF($A131="","",IF(AND(COUNTIF('Base de Personas'!$B$7:$B$21,$A131)=0,COUNTIF($A$5:A131,$A131)=1),1,0))</f>
        <v/>
      </c>
      <c r="P131" s="41" t="str">
        <f aca="false">IF(O131=1,SUM($O$5:O131),"")</f>
        <v/>
      </c>
    </row>
    <row r="132" customFormat="false" ht="15" hidden="false" customHeight="false" outlineLevel="0" collapsed="false">
      <c r="A132" s="35"/>
      <c r="B132" s="36" t="str">
        <f aca="false">IF($A132="","",TRIM(SUBSTITUTE(SUBSTITUTE(SUBSTITUTE(SUBSTITUTE(SUBSTITUTE(SUBSTITUTE(UPPER(IFERROR(INDEX('Base de Personas'!$C7:C21,MATCH($A132,'Base de Personas'!$B7:B21,0)),IFERROR(INDEX($B$5:B131,MATCH($A132,$A$5:A131,0)),""))),"Á","A"),"É","E"),"Í","I"),"Ó","O"),"Ú","U"),"Ü","U")))</f>
        <v/>
      </c>
      <c r="C132" s="37" t="str">
        <f aca="false">IF($A132="","",TRIM(SUBSTITUTE(SUBSTITUTE(SUBSTITUTE(SUBSTITUTE(SUBSTITUTE(SUBSTITUTE(UPPER(IFERROR(INDEX('Base de Personas'!$D7:D21,MATCH($A132,'Base de Personas'!$B7:B21,0)),IFERROR(INDEX($C$5:C131,MATCH($A132,$A$5:A131,0)),""))),"Á","A"),"É","E"),"Í","I"),"Ó","O"),"Ú","U"),"Ü","U")))</f>
        <v/>
      </c>
      <c r="D132" s="36" t="str">
        <f aca="false">IF($A132="","",TRIM(SUBSTITUTE(SUBSTITUTE(SUBSTITUTE(SUBSTITUTE(SUBSTITUTE(SUBSTITUTE(UPPER(IFERROR(INDEX('Base de Personas'!$E7:E21,MATCH($A132,'Base de Personas'!$B7:B21,0)),IFERROR(INDEX($D$5:D131,MATCH($A132,$A$5:A131,0)),""))),"Á","A"),"É","E"),"Í","I"),"Ó","O"),"Ú","U"),"Ü","U")))</f>
        <v/>
      </c>
      <c r="E132" s="36" t="str">
        <f aca="false">IF($A132="","",TRIM(SUBSTITUTE(SUBSTITUTE(SUBSTITUTE(SUBSTITUTE(SUBSTITUTE(SUBSTITUTE(UPPER(IFERROR(INDEX('Base de Personas'!$F7:F21,MATCH($A132,'Base de Personas'!$B7:B21,0)),IFERROR(INDEX($E$5:E131,MATCH($A132,$A$5:A131,0)),""))),"Á","A"),"É","E"),"Í","I"),"Ó","O"),"Ú","U"),"Ü","U")))</f>
        <v/>
      </c>
      <c r="F132" s="36" t="str">
        <f aca="false">IF($A132="","",TRIM(SUBSTITUTE(SUBSTITUTE(SUBSTITUTE(SUBSTITUTE(SUBSTITUTE(SUBSTITUTE(UPPER(IFERROR(INDEX('Base de Personas'!$G7:G21,MATCH($A132,'Base de Personas'!$B7:B21,0)),IFERROR(INDEX($F$5:F131,MATCH($A132,$A$5:A131,0)),""))),"Á","A"),"É","E"),"Í","I"),"Ó","O"),"Ú","U"),"Ü","U")))</f>
        <v/>
      </c>
      <c r="G132" s="37" t="str">
        <f aca="false">IF($A132="","",TRIM(SUBSTITUTE(SUBSTITUTE(SUBSTITUTE(SUBSTITUTE(SUBSTITUTE(SUBSTITUTE(UPPER(IFERROR(INDEX('Base de Personas'!$H7:H21,MATCH($A132,'Base de Personas'!$B7:B21,0)),IFERROR(INDEX($G$5:G131,MATCH($A132,$A$5:A131,0)),""))),"Á","A"),"É","E"),"Í","I"),"Ó","O"),"Ú","U"),"Ü","U")))</f>
        <v/>
      </c>
      <c r="H132" s="38" t="str">
        <f aca="false">IF($A132="","",IFERROR(INDEX('Base de Personas'!$I$7:$I$21,MATCH($A132,'Base de Personas'!$B$7:$B$21,0)),IFERROR(INDEX($H$5:H131,MATCH($A132,$A$5:A131,0)),"")))</f>
        <v/>
      </c>
      <c r="I132" s="39"/>
      <c r="J132" s="40"/>
      <c r="K132" s="40"/>
      <c r="L132" s="39"/>
      <c r="M132" s="41" t="str">
        <f aca="false">IF($A132="","",IF(K132=_xlfn.MAXIFS($K$5:$K$304,$A$5:$A$304,$A132),1,0))</f>
        <v/>
      </c>
      <c r="N132" s="41" t="str">
        <f aca="false">IF($A132="","",IF(M132=1,$A132&amp;"-ACT",""))</f>
        <v/>
      </c>
      <c r="O132" s="41" t="str">
        <f aca="false">IF($A132="","",IF(AND(COUNTIF('Base de Personas'!$B$7:$B$21,$A132)=0,COUNTIF($A$5:A132,$A132)=1),1,0))</f>
        <v/>
      </c>
      <c r="P132" s="41" t="str">
        <f aca="false">IF(O132=1,SUM($O$5:O132),"")</f>
        <v/>
      </c>
    </row>
    <row r="133" customFormat="false" ht="15" hidden="false" customHeight="false" outlineLevel="0" collapsed="false">
      <c r="A133" s="35"/>
      <c r="B133" s="36" t="str">
        <f aca="false">IF($A133="","",TRIM(SUBSTITUTE(SUBSTITUTE(SUBSTITUTE(SUBSTITUTE(SUBSTITUTE(SUBSTITUTE(UPPER(IFERROR(INDEX('Base de Personas'!$C7:C21,MATCH($A133,'Base de Personas'!$B7:B21,0)),IFERROR(INDEX($B$5:B132,MATCH($A133,$A$5:A132,0)),""))),"Á","A"),"É","E"),"Í","I"),"Ó","O"),"Ú","U"),"Ü","U")))</f>
        <v/>
      </c>
      <c r="C133" s="37" t="str">
        <f aca="false">IF($A133="","",TRIM(SUBSTITUTE(SUBSTITUTE(SUBSTITUTE(SUBSTITUTE(SUBSTITUTE(SUBSTITUTE(UPPER(IFERROR(INDEX('Base de Personas'!$D7:D21,MATCH($A133,'Base de Personas'!$B7:B21,0)),IFERROR(INDEX($C$5:C132,MATCH($A133,$A$5:A132,0)),""))),"Á","A"),"É","E"),"Í","I"),"Ó","O"),"Ú","U"),"Ü","U")))</f>
        <v/>
      </c>
      <c r="D133" s="36" t="str">
        <f aca="false">IF($A133="","",TRIM(SUBSTITUTE(SUBSTITUTE(SUBSTITUTE(SUBSTITUTE(SUBSTITUTE(SUBSTITUTE(UPPER(IFERROR(INDEX('Base de Personas'!$E7:E21,MATCH($A133,'Base de Personas'!$B7:B21,0)),IFERROR(INDEX($D$5:D132,MATCH($A133,$A$5:A132,0)),""))),"Á","A"),"É","E"),"Í","I"),"Ó","O"),"Ú","U"),"Ü","U")))</f>
        <v/>
      </c>
      <c r="E133" s="36" t="str">
        <f aca="false">IF($A133="","",TRIM(SUBSTITUTE(SUBSTITUTE(SUBSTITUTE(SUBSTITUTE(SUBSTITUTE(SUBSTITUTE(UPPER(IFERROR(INDEX('Base de Personas'!$F7:F21,MATCH($A133,'Base de Personas'!$B7:B21,0)),IFERROR(INDEX($E$5:E132,MATCH($A133,$A$5:A132,0)),""))),"Á","A"),"É","E"),"Í","I"),"Ó","O"),"Ú","U"),"Ü","U")))</f>
        <v/>
      </c>
      <c r="F133" s="36" t="str">
        <f aca="false">IF($A133="","",TRIM(SUBSTITUTE(SUBSTITUTE(SUBSTITUTE(SUBSTITUTE(SUBSTITUTE(SUBSTITUTE(UPPER(IFERROR(INDEX('Base de Personas'!$G7:G21,MATCH($A133,'Base de Personas'!$B7:B21,0)),IFERROR(INDEX($F$5:F132,MATCH($A133,$A$5:A132,0)),""))),"Á","A"),"É","E"),"Í","I"),"Ó","O"),"Ú","U"),"Ü","U")))</f>
        <v/>
      </c>
      <c r="G133" s="37" t="str">
        <f aca="false">IF($A133="","",TRIM(SUBSTITUTE(SUBSTITUTE(SUBSTITUTE(SUBSTITUTE(SUBSTITUTE(SUBSTITUTE(UPPER(IFERROR(INDEX('Base de Personas'!$H7:H21,MATCH($A133,'Base de Personas'!$B7:B21,0)),IFERROR(INDEX($G$5:G132,MATCH($A133,$A$5:A132,0)),""))),"Á","A"),"É","E"),"Í","I"),"Ó","O"),"Ú","U"),"Ü","U")))</f>
        <v/>
      </c>
      <c r="H133" s="38" t="str">
        <f aca="false">IF($A133="","",IFERROR(INDEX('Base de Personas'!$I$7:$I$21,MATCH($A133,'Base de Personas'!$B$7:$B$21,0)),IFERROR(INDEX($H$5:H132,MATCH($A133,$A$5:A132,0)),"")))</f>
        <v/>
      </c>
      <c r="I133" s="39"/>
      <c r="J133" s="40"/>
      <c r="K133" s="40"/>
      <c r="L133" s="39"/>
      <c r="M133" s="41" t="str">
        <f aca="false">IF($A133="","",IF(K133=_xlfn.MAXIFS($K$5:$K$304,$A$5:$A$304,$A133),1,0))</f>
        <v/>
      </c>
      <c r="N133" s="41" t="str">
        <f aca="false">IF($A133="","",IF(M133=1,$A133&amp;"-ACT",""))</f>
        <v/>
      </c>
      <c r="O133" s="41" t="str">
        <f aca="false">IF($A133="","",IF(AND(COUNTIF('Base de Personas'!$B$7:$B$21,$A133)=0,COUNTIF($A$5:A133,$A133)=1),1,0))</f>
        <v/>
      </c>
      <c r="P133" s="41" t="str">
        <f aca="false">IF(O133=1,SUM($O$5:O133),"")</f>
        <v/>
      </c>
    </row>
    <row r="134" customFormat="false" ht="15" hidden="false" customHeight="false" outlineLevel="0" collapsed="false">
      <c r="A134" s="35"/>
      <c r="B134" s="36" t="str">
        <f aca="false">IF($A134="","",TRIM(SUBSTITUTE(SUBSTITUTE(SUBSTITUTE(SUBSTITUTE(SUBSTITUTE(SUBSTITUTE(UPPER(IFERROR(INDEX('Base de Personas'!$C7:C21,MATCH($A134,'Base de Personas'!$B7:B21,0)),IFERROR(INDEX($B$5:B133,MATCH($A134,$A$5:A133,0)),""))),"Á","A"),"É","E"),"Í","I"),"Ó","O"),"Ú","U"),"Ü","U")))</f>
        <v/>
      </c>
      <c r="C134" s="37" t="str">
        <f aca="false">IF($A134="","",TRIM(SUBSTITUTE(SUBSTITUTE(SUBSTITUTE(SUBSTITUTE(SUBSTITUTE(SUBSTITUTE(UPPER(IFERROR(INDEX('Base de Personas'!$D7:D21,MATCH($A134,'Base de Personas'!$B7:B21,0)),IFERROR(INDEX($C$5:C133,MATCH($A134,$A$5:A133,0)),""))),"Á","A"),"É","E"),"Í","I"),"Ó","O"),"Ú","U"),"Ü","U")))</f>
        <v/>
      </c>
      <c r="D134" s="36" t="str">
        <f aca="false">IF($A134="","",TRIM(SUBSTITUTE(SUBSTITUTE(SUBSTITUTE(SUBSTITUTE(SUBSTITUTE(SUBSTITUTE(UPPER(IFERROR(INDEX('Base de Personas'!$E7:E21,MATCH($A134,'Base de Personas'!$B7:B21,0)),IFERROR(INDEX($D$5:D133,MATCH($A134,$A$5:A133,0)),""))),"Á","A"),"É","E"),"Í","I"),"Ó","O"),"Ú","U"),"Ü","U")))</f>
        <v/>
      </c>
      <c r="E134" s="36" t="str">
        <f aca="false">IF($A134="","",TRIM(SUBSTITUTE(SUBSTITUTE(SUBSTITUTE(SUBSTITUTE(SUBSTITUTE(SUBSTITUTE(UPPER(IFERROR(INDEX('Base de Personas'!$F7:F21,MATCH($A134,'Base de Personas'!$B7:B21,0)),IFERROR(INDEX($E$5:E133,MATCH($A134,$A$5:A133,0)),""))),"Á","A"),"É","E"),"Í","I"),"Ó","O"),"Ú","U"),"Ü","U")))</f>
        <v/>
      </c>
      <c r="F134" s="36" t="str">
        <f aca="false">IF($A134="","",TRIM(SUBSTITUTE(SUBSTITUTE(SUBSTITUTE(SUBSTITUTE(SUBSTITUTE(SUBSTITUTE(UPPER(IFERROR(INDEX('Base de Personas'!$G7:G21,MATCH($A134,'Base de Personas'!$B7:B21,0)),IFERROR(INDEX($F$5:F133,MATCH($A134,$A$5:A133,0)),""))),"Á","A"),"É","E"),"Í","I"),"Ó","O"),"Ú","U"),"Ü","U")))</f>
        <v/>
      </c>
      <c r="G134" s="37" t="str">
        <f aca="false">IF($A134="","",TRIM(SUBSTITUTE(SUBSTITUTE(SUBSTITUTE(SUBSTITUTE(SUBSTITUTE(SUBSTITUTE(UPPER(IFERROR(INDEX('Base de Personas'!$H7:H21,MATCH($A134,'Base de Personas'!$B7:B21,0)),IFERROR(INDEX($G$5:G133,MATCH($A134,$A$5:A133,0)),""))),"Á","A"),"É","E"),"Í","I"),"Ó","O"),"Ú","U"),"Ü","U")))</f>
        <v/>
      </c>
      <c r="H134" s="38" t="str">
        <f aca="false">IF($A134="","",IFERROR(INDEX('Base de Personas'!$I$7:$I$21,MATCH($A134,'Base de Personas'!$B$7:$B$21,0)),IFERROR(INDEX($H$5:H133,MATCH($A134,$A$5:A133,0)),"")))</f>
        <v/>
      </c>
      <c r="I134" s="39"/>
      <c r="J134" s="40"/>
      <c r="K134" s="40"/>
      <c r="L134" s="39"/>
      <c r="M134" s="41" t="str">
        <f aca="false">IF($A134="","",IF(K134=_xlfn.MAXIFS($K$5:$K$304,$A$5:$A$304,$A134),1,0))</f>
        <v/>
      </c>
      <c r="N134" s="41" t="str">
        <f aca="false">IF($A134="","",IF(M134=1,$A134&amp;"-ACT",""))</f>
        <v/>
      </c>
      <c r="O134" s="41" t="str">
        <f aca="false">IF($A134="","",IF(AND(COUNTIF('Base de Personas'!$B$7:$B$21,$A134)=0,COUNTIF($A$5:A134,$A134)=1),1,0))</f>
        <v/>
      </c>
      <c r="P134" s="41" t="str">
        <f aca="false">IF(O134=1,SUM($O$5:O134),"")</f>
        <v/>
      </c>
    </row>
    <row r="135" customFormat="false" ht="15" hidden="false" customHeight="false" outlineLevel="0" collapsed="false">
      <c r="A135" s="35"/>
      <c r="B135" s="36" t="str">
        <f aca="false">IF($A135="","",TRIM(SUBSTITUTE(SUBSTITUTE(SUBSTITUTE(SUBSTITUTE(SUBSTITUTE(SUBSTITUTE(UPPER(IFERROR(INDEX('Base de Personas'!$C7:C21,MATCH($A135,'Base de Personas'!$B7:B21,0)),IFERROR(INDEX($B$5:B134,MATCH($A135,$A$5:A134,0)),""))),"Á","A"),"É","E"),"Í","I"),"Ó","O"),"Ú","U"),"Ü","U")))</f>
        <v/>
      </c>
      <c r="C135" s="37" t="str">
        <f aca="false">IF($A135="","",TRIM(SUBSTITUTE(SUBSTITUTE(SUBSTITUTE(SUBSTITUTE(SUBSTITUTE(SUBSTITUTE(UPPER(IFERROR(INDEX('Base de Personas'!$D7:D21,MATCH($A135,'Base de Personas'!$B7:B21,0)),IFERROR(INDEX($C$5:C134,MATCH($A135,$A$5:A134,0)),""))),"Á","A"),"É","E"),"Í","I"),"Ó","O"),"Ú","U"),"Ü","U")))</f>
        <v/>
      </c>
      <c r="D135" s="36" t="str">
        <f aca="false">IF($A135="","",TRIM(SUBSTITUTE(SUBSTITUTE(SUBSTITUTE(SUBSTITUTE(SUBSTITUTE(SUBSTITUTE(UPPER(IFERROR(INDEX('Base de Personas'!$E7:E21,MATCH($A135,'Base de Personas'!$B7:B21,0)),IFERROR(INDEX($D$5:D134,MATCH($A135,$A$5:A134,0)),""))),"Á","A"),"É","E"),"Í","I"),"Ó","O"),"Ú","U"),"Ü","U")))</f>
        <v/>
      </c>
      <c r="E135" s="36" t="str">
        <f aca="false">IF($A135="","",TRIM(SUBSTITUTE(SUBSTITUTE(SUBSTITUTE(SUBSTITUTE(SUBSTITUTE(SUBSTITUTE(UPPER(IFERROR(INDEX('Base de Personas'!$F7:F21,MATCH($A135,'Base de Personas'!$B7:B21,0)),IFERROR(INDEX($E$5:E134,MATCH($A135,$A$5:A134,0)),""))),"Á","A"),"É","E"),"Í","I"),"Ó","O"),"Ú","U"),"Ü","U")))</f>
        <v/>
      </c>
      <c r="F135" s="36" t="str">
        <f aca="false">IF($A135="","",TRIM(SUBSTITUTE(SUBSTITUTE(SUBSTITUTE(SUBSTITUTE(SUBSTITUTE(SUBSTITUTE(UPPER(IFERROR(INDEX('Base de Personas'!$G7:G21,MATCH($A135,'Base de Personas'!$B7:B21,0)),IFERROR(INDEX($F$5:F134,MATCH($A135,$A$5:A134,0)),""))),"Á","A"),"É","E"),"Í","I"),"Ó","O"),"Ú","U"),"Ü","U")))</f>
        <v/>
      </c>
      <c r="G135" s="37" t="str">
        <f aca="false">IF($A135="","",TRIM(SUBSTITUTE(SUBSTITUTE(SUBSTITUTE(SUBSTITUTE(SUBSTITUTE(SUBSTITUTE(UPPER(IFERROR(INDEX('Base de Personas'!$H7:H21,MATCH($A135,'Base de Personas'!$B7:B21,0)),IFERROR(INDEX($G$5:G134,MATCH($A135,$A$5:A134,0)),""))),"Á","A"),"É","E"),"Í","I"),"Ó","O"),"Ú","U"),"Ü","U")))</f>
        <v/>
      </c>
      <c r="H135" s="38" t="str">
        <f aca="false">IF($A135="","",IFERROR(INDEX('Base de Personas'!$I$7:$I$21,MATCH($A135,'Base de Personas'!$B$7:$B$21,0)),IFERROR(INDEX($H$5:H134,MATCH($A135,$A$5:A134,0)),"")))</f>
        <v/>
      </c>
      <c r="I135" s="39"/>
      <c r="J135" s="40"/>
      <c r="K135" s="40"/>
      <c r="L135" s="39"/>
      <c r="M135" s="41" t="str">
        <f aca="false">IF($A135="","",IF(K135=_xlfn.MAXIFS($K$5:$K$304,$A$5:$A$304,$A135),1,0))</f>
        <v/>
      </c>
      <c r="N135" s="41" t="str">
        <f aca="false">IF($A135="","",IF(M135=1,$A135&amp;"-ACT",""))</f>
        <v/>
      </c>
      <c r="O135" s="41" t="str">
        <f aca="false">IF($A135="","",IF(AND(COUNTIF('Base de Personas'!$B$7:$B$21,$A135)=0,COUNTIF($A$5:A135,$A135)=1),1,0))</f>
        <v/>
      </c>
      <c r="P135" s="41" t="str">
        <f aca="false">IF(O135=1,SUM($O$5:O135),"")</f>
        <v/>
      </c>
    </row>
    <row r="136" customFormat="false" ht="15" hidden="false" customHeight="false" outlineLevel="0" collapsed="false">
      <c r="A136" s="35"/>
      <c r="B136" s="36" t="str">
        <f aca="false">IF($A136="","",TRIM(SUBSTITUTE(SUBSTITUTE(SUBSTITUTE(SUBSTITUTE(SUBSTITUTE(SUBSTITUTE(UPPER(IFERROR(INDEX('Base de Personas'!$C7:C21,MATCH($A136,'Base de Personas'!$B7:B21,0)),IFERROR(INDEX($B$5:B135,MATCH($A136,$A$5:A135,0)),""))),"Á","A"),"É","E"),"Í","I"),"Ó","O"),"Ú","U"),"Ü","U")))</f>
        <v/>
      </c>
      <c r="C136" s="37" t="str">
        <f aca="false">IF($A136="","",TRIM(SUBSTITUTE(SUBSTITUTE(SUBSTITUTE(SUBSTITUTE(SUBSTITUTE(SUBSTITUTE(UPPER(IFERROR(INDEX('Base de Personas'!$D7:D21,MATCH($A136,'Base de Personas'!$B7:B21,0)),IFERROR(INDEX($C$5:C135,MATCH($A136,$A$5:A135,0)),""))),"Á","A"),"É","E"),"Í","I"),"Ó","O"),"Ú","U"),"Ü","U")))</f>
        <v/>
      </c>
      <c r="D136" s="36" t="str">
        <f aca="false">IF($A136="","",TRIM(SUBSTITUTE(SUBSTITUTE(SUBSTITUTE(SUBSTITUTE(SUBSTITUTE(SUBSTITUTE(UPPER(IFERROR(INDEX('Base de Personas'!$E7:E21,MATCH($A136,'Base de Personas'!$B7:B21,0)),IFERROR(INDEX($D$5:D135,MATCH($A136,$A$5:A135,0)),""))),"Á","A"),"É","E"),"Í","I"),"Ó","O"),"Ú","U"),"Ü","U")))</f>
        <v/>
      </c>
      <c r="E136" s="36" t="str">
        <f aca="false">IF($A136="","",TRIM(SUBSTITUTE(SUBSTITUTE(SUBSTITUTE(SUBSTITUTE(SUBSTITUTE(SUBSTITUTE(UPPER(IFERROR(INDEX('Base de Personas'!$F7:F21,MATCH($A136,'Base de Personas'!$B7:B21,0)),IFERROR(INDEX($E$5:E135,MATCH($A136,$A$5:A135,0)),""))),"Á","A"),"É","E"),"Í","I"),"Ó","O"),"Ú","U"),"Ü","U")))</f>
        <v/>
      </c>
      <c r="F136" s="36" t="str">
        <f aca="false">IF($A136="","",TRIM(SUBSTITUTE(SUBSTITUTE(SUBSTITUTE(SUBSTITUTE(SUBSTITUTE(SUBSTITUTE(UPPER(IFERROR(INDEX('Base de Personas'!$G7:G21,MATCH($A136,'Base de Personas'!$B7:B21,0)),IFERROR(INDEX($F$5:F135,MATCH($A136,$A$5:A135,0)),""))),"Á","A"),"É","E"),"Í","I"),"Ó","O"),"Ú","U"),"Ü","U")))</f>
        <v/>
      </c>
      <c r="G136" s="37" t="str">
        <f aca="false">IF($A136="","",TRIM(SUBSTITUTE(SUBSTITUTE(SUBSTITUTE(SUBSTITUTE(SUBSTITUTE(SUBSTITUTE(UPPER(IFERROR(INDEX('Base de Personas'!$H7:H21,MATCH($A136,'Base de Personas'!$B7:B21,0)),IFERROR(INDEX($G$5:G135,MATCH($A136,$A$5:A135,0)),""))),"Á","A"),"É","E"),"Í","I"),"Ó","O"),"Ú","U"),"Ü","U")))</f>
        <v/>
      </c>
      <c r="H136" s="38" t="str">
        <f aca="false">IF($A136="","",IFERROR(INDEX('Base de Personas'!$I$7:$I$21,MATCH($A136,'Base de Personas'!$B$7:$B$21,0)),IFERROR(INDEX($H$5:H135,MATCH($A136,$A$5:A135,0)),"")))</f>
        <v/>
      </c>
      <c r="I136" s="39"/>
      <c r="J136" s="40"/>
      <c r="K136" s="40"/>
      <c r="L136" s="39"/>
      <c r="M136" s="41" t="str">
        <f aca="false">IF($A136="","",IF(K136=_xlfn.MAXIFS($K$5:$K$304,$A$5:$A$304,$A136),1,0))</f>
        <v/>
      </c>
      <c r="N136" s="41" t="str">
        <f aca="false">IF($A136="","",IF(M136=1,$A136&amp;"-ACT",""))</f>
        <v/>
      </c>
      <c r="O136" s="41" t="str">
        <f aca="false">IF($A136="","",IF(AND(COUNTIF('Base de Personas'!$B$7:$B$21,$A136)=0,COUNTIF($A$5:A136,$A136)=1),1,0))</f>
        <v/>
      </c>
      <c r="P136" s="41" t="str">
        <f aca="false">IF(O136=1,SUM($O$5:O136),"")</f>
        <v/>
      </c>
    </row>
    <row r="137" customFormat="false" ht="15" hidden="false" customHeight="false" outlineLevel="0" collapsed="false">
      <c r="A137" s="35"/>
      <c r="B137" s="36" t="str">
        <f aca="false">IF($A137="","",TRIM(SUBSTITUTE(SUBSTITUTE(SUBSTITUTE(SUBSTITUTE(SUBSTITUTE(SUBSTITUTE(UPPER(IFERROR(INDEX('Base de Personas'!$C7:C21,MATCH($A137,'Base de Personas'!$B7:B21,0)),IFERROR(INDEX($B$5:B136,MATCH($A137,$A$5:A136,0)),""))),"Á","A"),"É","E"),"Í","I"),"Ó","O"),"Ú","U"),"Ü","U")))</f>
        <v/>
      </c>
      <c r="C137" s="37" t="str">
        <f aca="false">IF($A137="","",TRIM(SUBSTITUTE(SUBSTITUTE(SUBSTITUTE(SUBSTITUTE(SUBSTITUTE(SUBSTITUTE(UPPER(IFERROR(INDEX('Base de Personas'!$D7:D21,MATCH($A137,'Base de Personas'!$B7:B21,0)),IFERROR(INDEX($C$5:C136,MATCH($A137,$A$5:A136,0)),""))),"Á","A"),"É","E"),"Í","I"),"Ó","O"),"Ú","U"),"Ü","U")))</f>
        <v/>
      </c>
      <c r="D137" s="36" t="str">
        <f aca="false">IF($A137="","",TRIM(SUBSTITUTE(SUBSTITUTE(SUBSTITUTE(SUBSTITUTE(SUBSTITUTE(SUBSTITUTE(UPPER(IFERROR(INDEX('Base de Personas'!$E7:E21,MATCH($A137,'Base de Personas'!$B7:B21,0)),IFERROR(INDEX($D$5:D136,MATCH($A137,$A$5:A136,0)),""))),"Á","A"),"É","E"),"Í","I"),"Ó","O"),"Ú","U"),"Ü","U")))</f>
        <v/>
      </c>
      <c r="E137" s="36" t="str">
        <f aca="false">IF($A137="","",TRIM(SUBSTITUTE(SUBSTITUTE(SUBSTITUTE(SUBSTITUTE(SUBSTITUTE(SUBSTITUTE(UPPER(IFERROR(INDEX('Base de Personas'!$F7:F21,MATCH($A137,'Base de Personas'!$B7:B21,0)),IFERROR(INDEX($E$5:E136,MATCH($A137,$A$5:A136,0)),""))),"Á","A"),"É","E"),"Í","I"),"Ó","O"),"Ú","U"),"Ü","U")))</f>
        <v/>
      </c>
      <c r="F137" s="36" t="str">
        <f aca="false">IF($A137="","",TRIM(SUBSTITUTE(SUBSTITUTE(SUBSTITUTE(SUBSTITUTE(SUBSTITUTE(SUBSTITUTE(UPPER(IFERROR(INDEX('Base de Personas'!$G7:G21,MATCH($A137,'Base de Personas'!$B7:B21,0)),IFERROR(INDEX($F$5:F136,MATCH($A137,$A$5:A136,0)),""))),"Á","A"),"É","E"),"Í","I"),"Ó","O"),"Ú","U"),"Ü","U")))</f>
        <v/>
      </c>
      <c r="G137" s="37" t="str">
        <f aca="false">IF($A137="","",TRIM(SUBSTITUTE(SUBSTITUTE(SUBSTITUTE(SUBSTITUTE(SUBSTITUTE(SUBSTITUTE(UPPER(IFERROR(INDEX('Base de Personas'!$H7:H21,MATCH($A137,'Base de Personas'!$B7:B21,0)),IFERROR(INDEX($G$5:G136,MATCH($A137,$A$5:A136,0)),""))),"Á","A"),"É","E"),"Í","I"),"Ó","O"),"Ú","U"),"Ü","U")))</f>
        <v/>
      </c>
      <c r="H137" s="38" t="str">
        <f aca="false">IF($A137="","",IFERROR(INDEX('Base de Personas'!$I$7:$I$21,MATCH($A137,'Base de Personas'!$B$7:$B$21,0)),IFERROR(INDEX($H$5:H136,MATCH($A137,$A$5:A136,0)),"")))</f>
        <v/>
      </c>
      <c r="I137" s="39"/>
      <c r="J137" s="40"/>
      <c r="K137" s="40"/>
      <c r="L137" s="39"/>
      <c r="M137" s="41" t="str">
        <f aca="false">IF($A137="","",IF(K137=_xlfn.MAXIFS($K$5:$K$304,$A$5:$A$304,$A137),1,0))</f>
        <v/>
      </c>
      <c r="N137" s="41" t="str">
        <f aca="false">IF($A137="","",IF(M137=1,$A137&amp;"-ACT",""))</f>
        <v/>
      </c>
      <c r="O137" s="41" t="str">
        <f aca="false">IF($A137="","",IF(AND(COUNTIF('Base de Personas'!$B$7:$B$21,$A137)=0,COUNTIF($A$5:A137,$A137)=1),1,0))</f>
        <v/>
      </c>
      <c r="P137" s="41" t="str">
        <f aca="false">IF(O137=1,SUM($O$5:O137),"")</f>
        <v/>
      </c>
    </row>
    <row r="138" customFormat="false" ht="15" hidden="false" customHeight="false" outlineLevel="0" collapsed="false">
      <c r="A138" s="35"/>
      <c r="B138" s="36" t="str">
        <f aca="false">IF($A138="","",TRIM(SUBSTITUTE(SUBSTITUTE(SUBSTITUTE(SUBSTITUTE(SUBSTITUTE(SUBSTITUTE(UPPER(IFERROR(INDEX('Base de Personas'!$C7:C21,MATCH($A138,'Base de Personas'!$B7:B21,0)),IFERROR(INDEX($B$5:B137,MATCH($A138,$A$5:A137,0)),""))),"Á","A"),"É","E"),"Í","I"),"Ó","O"),"Ú","U"),"Ü","U")))</f>
        <v/>
      </c>
      <c r="C138" s="37" t="str">
        <f aca="false">IF($A138="","",TRIM(SUBSTITUTE(SUBSTITUTE(SUBSTITUTE(SUBSTITUTE(SUBSTITUTE(SUBSTITUTE(UPPER(IFERROR(INDEX('Base de Personas'!$D7:D21,MATCH($A138,'Base de Personas'!$B7:B21,0)),IFERROR(INDEX($C$5:C137,MATCH($A138,$A$5:A137,0)),""))),"Á","A"),"É","E"),"Í","I"),"Ó","O"),"Ú","U"),"Ü","U")))</f>
        <v/>
      </c>
      <c r="D138" s="36" t="str">
        <f aca="false">IF($A138="","",TRIM(SUBSTITUTE(SUBSTITUTE(SUBSTITUTE(SUBSTITUTE(SUBSTITUTE(SUBSTITUTE(UPPER(IFERROR(INDEX('Base de Personas'!$E7:E21,MATCH($A138,'Base de Personas'!$B7:B21,0)),IFERROR(INDEX($D$5:D137,MATCH($A138,$A$5:A137,0)),""))),"Á","A"),"É","E"),"Í","I"),"Ó","O"),"Ú","U"),"Ü","U")))</f>
        <v/>
      </c>
      <c r="E138" s="36" t="str">
        <f aca="false">IF($A138="","",TRIM(SUBSTITUTE(SUBSTITUTE(SUBSTITUTE(SUBSTITUTE(SUBSTITUTE(SUBSTITUTE(UPPER(IFERROR(INDEX('Base de Personas'!$F7:F21,MATCH($A138,'Base de Personas'!$B7:B21,0)),IFERROR(INDEX($E$5:E137,MATCH($A138,$A$5:A137,0)),""))),"Á","A"),"É","E"),"Í","I"),"Ó","O"),"Ú","U"),"Ü","U")))</f>
        <v/>
      </c>
      <c r="F138" s="36" t="str">
        <f aca="false">IF($A138="","",TRIM(SUBSTITUTE(SUBSTITUTE(SUBSTITUTE(SUBSTITUTE(SUBSTITUTE(SUBSTITUTE(UPPER(IFERROR(INDEX('Base de Personas'!$G7:G21,MATCH($A138,'Base de Personas'!$B7:B21,0)),IFERROR(INDEX($F$5:F137,MATCH($A138,$A$5:A137,0)),""))),"Á","A"),"É","E"),"Í","I"),"Ó","O"),"Ú","U"),"Ü","U")))</f>
        <v/>
      </c>
      <c r="G138" s="37" t="str">
        <f aca="false">IF($A138="","",TRIM(SUBSTITUTE(SUBSTITUTE(SUBSTITUTE(SUBSTITUTE(SUBSTITUTE(SUBSTITUTE(UPPER(IFERROR(INDEX('Base de Personas'!$H7:H21,MATCH($A138,'Base de Personas'!$B7:B21,0)),IFERROR(INDEX($G$5:G137,MATCH($A138,$A$5:A137,0)),""))),"Á","A"),"É","E"),"Í","I"),"Ó","O"),"Ú","U"),"Ü","U")))</f>
        <v/>
      </c>
      <c r="H138" s="38" t="str">
        <f aca="false">IF($A138="","",IFERROR(INDEX('Base de Personas'!$I$7:$I$21,MATCH($A138,'Base de Personas'!$B$7:$B$21,0)),IFERROR(INDEX($H$5:H137,MATCH($A138,$A$5:A137,0)),"")))</f>
        <v/>
      </c>
      <c r="I138" s="39"/>
      <c r="J138" s="40"/>
      <c r="K138" s="40"/>
      <c r="L138" s="39"/>
      <c r="M138" s="41" t="str">
        <f aca="false">IF($A138="","",IF(K138=_xlfn.MAXIFS($K$5:$K$304,$A$5:$A$304,$A138),1,0))</f>
        <v/>
      </c>
      <c r="N138" s="41" t="str">
        <f aca="false">IF($A138="","",IF(M138=1,$A138&amp;"-ACT",""))</f>
        <v/>
      </c>
      <c r="O138" s="41" t="str">
        <f aca="false">IF($A138="","",IF(AND(COUNTIF('Base de Personas'!$B$7:$B$21,$A138)=0,COUNTIF($A$5:A138,$A138)=1),1,0))</f>
        <v/>
      </c>
      <c r="P138" s="41" t="str">
        <f aca="false">IF(O138=1,SUM($O$5:O138),"")</f>
        <v/>
      </c>
    </row>
    <row r="139" customFormat="false" ht="15" hidden="false" customHeight="false" outlineLevel="0" collapsed="false">
      <c r="A139" s="35"/>
      <c r="B139" s="36" t="str">
        <f aca="false">IF($A139="","",TRIM(SUBSTITUTE(SUBSTITUTE(SUBSTITUTE(SUBSTITUTE(SUBSTITUTE(SUBSTITUTE(UPPER(IFERROR(INDEX('Base de Personas'!$C7:C21,MATCH($A139,'Base de Personas'!$B7:B21,0)),IFERROR(INDEX($B$5:B138,MATCH($A139,$A$5:A138,0)),""))),"Á","A"),"É","E"),"Í","I"),"Ó","O"),"Ú","U"),"Ü","U")))</f>
        <v/>
      </c>
      <c r="C139" s="37" t="str">
        <f aca="false">IF($A139="","",TRIM(SUBSTITUTE(SUBSTITUTE(SUBSTITUTE(SUBSTITUTE(SUBSTITUTE(SUBSTITUTE(UPPER(IFERROR(INDEX('Base de Personas'!$D7:D21,MATCH($A139,'Base de Personas'!$B7:B21,0)),IFERROR(INDEX($C$5:C138,MATCH($A139,$A$5:A138,0)),""))),"Á","A"),"É","E"),"Í","I"),"Ó","O"),"Ú","U"),"Ü","U")))</f>
        <v/>
      </c>
      <c r="D139" s="36" t="str">
        <f aca="false">IF($A139="","",TRIM(SUBSTITUTE(SUBSTITUTE(SUBSTITUTE(SUBSTITUTE(SUBSTITUTE(SUBSTITUTE(UPPER(IFERROR(INDEX('Base de Personas'!$E7:E21,MATCH($A139,'Base de Personas'!$B7:B21,0)),IFERROR(INDEX($D$5:D138,MATCH($A139,$A$5:A138,0)),""))),"Á","A"),"É","E"),"Í","I"),"Ó","O"),"Ú","U"),"Ü","U")))</f>
        <v/>
      </c>
      <c r="E139" s="36" t="str">
        <f aca="false">IF($A139="","",TRIM(SUBSTITUTE(SUBSTITUTE(SUBSTITUTE(SUBSTITUTE(SUBSTITUTE(SUBSTITUTE(UPPER(IFERROR(INDEX('Base de Personas'!$F7:F21,MATCH($A139,'Base de Personas'!$B7:B21,0)),IFERROR(INDEX($E$5:E138,MATCH($A139,$A$5:A138,0)),""))),"Á","A"),"É","E"),"Í","I"),"Ó","O"),"Ú","U"),"Ü","U")))</f>
        <v/>
      </c>
      <c r="F139" s="36" t="str">
        <f aca="false">IF($A139="","",TRIM(SUBSTITUTE(SUBSTITUTE(SUBSTITUTE(SUBSTITUTE(SUBSTITUTE(SUBSTITUTE(UPPER(IFERROR(INDEX('Base de Personas'!$G7:G21,MATCH($A139,'Base de Personas'!$B7:B21,0)),IFERROR(INDEX($F$5:F138,MATCH($A139,$A$5:A138,0)),""))),"Á","A"),"É","E"),"Í","I"),"Ó","O"),"Ú","U"),"Ü","U")))</f>
        <v/>
      </c>
      <c r="G139" s="37" t="str">
        <f aca="false">IF($A139="","",TRIM(SUBSTITUTE(SUBSTITUTE(SUBSTITUTE(SUBSTITUTE(SUBSTITUTE(SUBSTITUTE(UPPER(IFERROR(INDEX('Base de Personas'!$H7:H21,MATCH($A139,'Base de Personas'!$B7:B21,0)),IFERROR(INDEX($G$5:G138,MATCH($A139,$A$5:A138,0)),""))),"Á","A"),"É","E"),"Í","I"),"Ó","O"),"Ú","U"),"Ü","U")))</f>
        <v/>
      </c>
      <c r="H139" s="38" t="str">
        <f aca="false">IF($A139="","",IFERROR(INDEX('Base de Personas'!$I$7:$I$21,MATCH($A139,'Base de Personas'!$B$7:$B$21,0)),IFERROR(INDEX($H$5:H138,MATCH($A139,$A$5:A138,0)),"")))</f>
        <v/>
      </c>
      <c r="I139" s="39"/>
      <c r="J139" s="40"/>
      <c r="K139" s="40"/>
      <c r="L139" s="39"/>
      <c r="M139" s="41" t="str">
        <f aca="false">IF($A139="","",IF(K139=_xlfn.MAXIFS($K$5:$K$304,$A$5:$A$304,$A139),1,0))</f>
        <v/>
      </c>
      <c r="N139" s="41" t="str">
        <f aca="false">IF($A139="","",IF(M139=1,$A139&amp;"-ACT",""))</f>
        <v/>
      </c>
      <c r="O139" s="41" t="str">
        <f aca="false">IF($A139="","",IF(AND(COUNTIF('Base de Personas'!$B$7:$B$21,$A139)=0,COUNTIF($A$5:A139,$A139)=1),1,0))</f>
        <v/>
      </c>
      <c r="P139" s="41" t="str">
        <f aca="false">IF(O139=1,SUM($O$5:O139),"")</f>
        <v/>
      </c>
    </row>
    <row r="140" customFormat="false" ht="15" hidden="false" customHeight="false" outlineLevel="0" collapsed="false">
      <c r="A140" s="35"/>
      <c r="B140" s="36" t="str">
        <f aca="false">IF($A140="","",TRIM(SUBSTITUTE(SUBSTITUTE(SUBSTITUTE(SUBSTITUTE(SUBSTITUTE(SUBSTITUTE(UPPER(IFERROR(INDEX('Base de Personas'!$C7:C21,MATCH($A140,'Base de Personas'!$B7:B21,0)),IFERROR(INDEX($B$5:B139,MATCH($A140,$A$5:A139,0)),""))),"Á","A"),"É","E"),"Í","I"),"Ó","O"),"Ú","U"),"Ü","U")))</f>
        <v/>
      </c>
      <c r="C140" s="37" t="str">
        <f aca="false">IF($A140="","",TRIM(SUBSTITUTE(SUBSTITUTE(SUBSTITUTE(SUBSTITUTE(SUBSTITUTE(SUBSTITUTE(UPPER(IFERROR(INDEX('Base de Personas'!$D7:D21,MATCH($A140,'Base de Personas'!$B7:B21,0)),IFERROR(INDEX($C$5:C139,MATCH($A140,$A$5:A139,0)),""))),"Á","A"),"É","E"),"Í","I"),"Ó","O"),"Ú","U"),"Ü","U")))</f>
        <v/>
      </c>
      <c r="D140" s="36" t="str">
        <f aca="false">IF($A140="","",TRIM(SUBSTITUTE(SUBSTITUTE(SUBSTITUTE(SUBSTITUTE(SUBSTITUTE(SUBSTITUTE(UPPER(IFERROR(INDEX('Base de Personas'!$E7:E21,MATCH($A140,'Base de Personas'!$B7:B21,0)),IFERROR(INDEX($D$5:D139,MATCH($A140,$A$5:A139,0)),""))),"Á","A"),"É","E"),"Í","I"),"Ó","O"),"Ú","U"),"Ü","U")))</f>
        <v/>
      </c>
      <c r="E140" s="36" t="str">
        <f aca="false">IF($A140="","",TRIM(SUBSTITUTE(SUBSTITUTE(SUBSTITUTE(SUBSTITUTE(SUBSTITUTE(SUBSTITUTE(UPPER(IFERROR(INDEX('Base de Personas'!$F7:F21,MATCH($A140,'Base de Personas'!$B7:B21,0)),IFERROR(INDEX($E$5:E139,MATCH($A140,$A$5:A139,0)),""))),"Á","A"),"É","E"),"Í","I"),"Ó","O"),"Ú","U"),"Ü","U")))</f>
        <v/>
      </c>
      <c r="F140" s="36" t="str">
        <f aca="false">IF($A140="","",TRIM(SUBSTITUTE(SUBSTITUTE(SUBSTITUTE(SUBSTITUTE(SUBSTITUTE(SUBSTITUTE(UPPER(IFERROR(INDEX('Base de Personas'!$G7:G21,MATCH($A140,'Base de Personas'!$B7:B21,0)),IFERROR(INDEX($F$5:F139,MATCH($A140,$A$5:A139,0)),""))),"Á","A"),"É","E"),"Í","I"),"Ó","O"),"Ú","U"),"Ü","U")))</f>
        <v/>
      </c>
      <c r="G140" s="37" t="str">
        <f aca="false">IF($A140="","",TRIM(SUBSTITUTE(SUBSTITUTE(SUBSTITUTE(SUBSTITUTE(SUBSTITUTE(SUBSTITUTE(UPPER(IFERROR(INDEX('Base de Personas'!$H7:H21,MATCH($A140,'Base de Personas'!$B7:B21,0)),IFERROR(INDEX($G$5:G139,MATCH($A140,$A$5:A139,0)),""))),"Á","A"),"É","E"),"Í","I"),"Ó","O"),"Ú","U"),"Ü","U")))</f>
        <v/>
      </c>
      <c r="H140" s="38" t="str">
        <f aca="false">IF($A140="","",IFERROR(INDEX('Base de Personas'!$I$7:$I$21,MATCH($A140,'Base de Personas'!$B$7:$B$21,0)),IFERROR(INDEX($H$5:H139,MATCH($A140,$A$5:A139,0)),"")))</f>
        <v/>
      </c>
      <c r="I140" s="39"/>
      <c r="J140" s="40"/>
      <c r="K140" s="40"/>
      <c r="L140" s="39"/>
      <c r="M140" s="41" t="str">
        <f aca="false">IF($A140="","",IF(K140=_xlfn.MAXIFS($K$5:$K$304,$A$5:$A$304,$A140),1,0))</f>
        <v/>
      </c>
      <c r="N140" s="41" t="str">
        <f aca="false">IF($A140="","",IF(M140=1,$A140&amp;"-ACT",""))</f>
        <v/>
      </c>
      <c r="O140" s="41" t="str">
        <f aca="false">IF($A140="","",IF(AND(COUNTIF('Base de Personas'!$B$7:$B$21,$A140)=0,COUNTIF($A$5:A140,$A140)=1),1,0))</f>
        <v/>
      </c>
      <c r="P140" s="41" t="str">
        <f aca="false">IF(O140=1,SUM($O$5:O140),"")</f>
        <v/>
      </c>
    </row>
    <row r="141" customFormat="false" ht="15" hidden="false" customHeight="false" outlineLevel="0" collapsed="false">
      <c r="A141" s="35"/>
      <c r="B141" s="36" t="str">
        <f aca="false">IF($A141="","",TRIM(SUBSTITUTE(SUBSTITUTE(SUBSTITUTE(SUBSTITUTE(SUBSTITUTE(SUBSTITUTE(UPPER(IFERROR(INDEX('Base de Personas'!$C7:C21,MATCH($A141,'Base de Personas'!$B7:B21,0)),IFERROR(INDEX($B$5:B140,MATCH($A141,$A$5:A140,0)),""))),"Á","A"),"É","E"),"Í","I"),"Ó","O"),"Ú","U"),"Ü","U")))</f>
        <v/>
      </c>
      <c r="C141" s="37" t="str">
        <f aca="false">IF($A141="","",TRIM(SUBSTITUTE(SUBSTITUTE(SUBSTITUTE(SUBSTITUTE(SUBSTITUTE(SUBSTITUTE(UPPER(IFERROR(INDEX('Base de Personas'!$D7:D21,MATCH($A141,'Base de Personas'!$B7:B21,0)),IFERROR(INDEX($C$5:C140,MATCH($A141,$A$5:A140,0)),""))),"Á","A"),"É","E"),"Í","I"),"Ó","O"),"Ú","U"),"Ü","U")))</f>
        <v/>
      </c>
      <c r="D141" s="36" t="str">
        <f aca="false">IF($A141="","",TRIM(SUBSTITUTE(SUBSTITUTE(SUBSTITUTE(SUBSTITUTE(SUBSTITUTE(SUBSTITUTE(UPPER(IFERROR(INDEX('Base de Personas'!$E7:E21,MATCH($A141,'Base de Personas'!$B7:B21,0)),IFERROR(INDEX($D$5:D140,MATCH($A141,$A$5:A140,0)),""))),"Á","A"),"É","E"),"Í","I"),"Ó","O"),"Ú","U"),"Ü","U")))</f>
        <v/>
      </c>
      <c r="E141" s="36" t="str">
        <f aca="false">IF($A141="","",TRIM(SUBSTITUTE(SUBSTITUTE(SUBSTITUTE(SUBSTITUTE(SUBSTITUTE(SUBSTITUTE(UPPER(IFERROR(INDEX('Base de Personas'!$F7:F21,MATCH($A141,'Base de Personas'!$B7:B21,0)),IFERROR(INDEX($E$5:E140,MATCH($A141,$A$5:A140,0)),""))),"Á","A"),"É","E"),"Í","I"),"Ó","O"),"Ú","U"),"Ü","U")))</f>
        <v/>
      </c>
      <c r="F141" s="36" t="str">
        <f aca="false">IF($A141="","",TRIM(SUBSTITUTE(SUBSTITUTE(SUBSTITUTE(SUBSTITUTE(SUBSTITUTE(SUBSTITUTE(UPPER(IFERROR(INDEX('Base de Personas'!$G7:G21,MATCH($A141,'Base de Personas'!$B7:B21,0)),IFERROR(INDEX($F$5:F140,MATCH($A141,$A$5:A140,0)),""))),"Á","A"),"É","E"),"Í","I"),"Ó","O"),"Ú","U"),"Ü","U")))</f>
        <v/>
      </c>
      <c r="G141" s="37" t="str">
        <f aca="false">IF($A141="","",TRIM(SUBSTITUTE(SUBSTITUTE(SUBSTITUTE(SUBSTITUTE(SUBSTITUTE(SUBSTITUTE(UPPER(IFERROR(INDEX('Base de Personas'!$H7:H21,MATCH($A141,'Base de Personas'!$B7:B21,0)),IFERROR(INDEX($G$5:G140,MATCH($A141,$A$5:A140,0)),""))),"Á","A"),"É","E"),"Í","I"),"Ó","O"),"Ú","U"),"Ü","U")))</f>
        <v/>
      </c>
      <c r="H141" s="38" t="str">
        <f aca="false">IF($A141="","",IFERROR(INDEX('Base de Personas'!$I$7:$I$21,MATCH($A141,'Base de Personas'!$B$7:$B$21,0)),IFERROR(INDEX($H$5:H140,MATCH($A141,$A$5:A140,0)),"")))</f>
        <v/>
      </c>
      <c r="I141" s="39"/>
      <c r="J141" s="40"/>
      <c r="K141" s="40"/>
      <c r="L141" s="39"/>
      <c r="M141" s="41" t="str">
        <f aca="false">IF($A141="","",IF(K141=_xlfn.MAXIFS($K$5:$K$304,$A$5:$A$304,$A141),1,0))</f>
        <v/>
      </c>
      <c r="N141" s="41" t="str">
        <f aca="false">IF($A141="","",IF(M141=1,$A141&amp;"-ACT",""))</f>
        <v/>
      </c>
      <c r="O141" s="41" t="str">
        <f aca="false">IF($A141="","",IF(AND(COUNTIF('Base de Personas'!$B$7:$B$21,$A141)=0,COUNTIF($A$5:A141,$A141)=1),1,0))</f>
        <v/>
      </c>
      <c r="P141" s="41" t="str">
        <f aca="false">IF(O141=1,SUM($O$5:O141),"")</f>
        <v/>
      </c>
    </row>
    <row r="142" customFormat="false" ht="15" hidden="false" customHeight="false" outlineLevel="0" collapsed="false">
      <c r="A142" s="35"/>
      <c r="B142" s="36" t="str">
        <f aca="false">IF($A142="","",TRIM(SUBSTITUTE(SUBSTITUTE(SUBSTITUTE(SUBSTITUTE(SUBSTITUTE(SUBSTITUTE(UPPER(IFERROR(INDEX('Base de Personas'!$C7:C21,MATCH($A142,'Base de Personas'!$B7:B21,0)),IFERROR(INDEX($B$5:B141,MATCH($A142,$A$5:A141,0)),""))),"Á","A"),"É","E"),"Í","I"),"Ó","O"),"Ú","U"),"Ü","U")))</f>
        <v/>
      </c>
      <c r="C142" s="37" t="str">
        <f aca="false">IF($A142="","",TRIM(SUBSTITUTE(SUBSTITUTE(SUBSTITUTE(SUBSTITUTE(SUBSTITUTE(SUBSTITUTE(UPPER(IFERROR(INDEX('Base de Personas'!$D7:D21,MATCH($A142,'Base de Personas'!$B7:B21,0)),IFERROR(INDEX($C$5:C141,MATCH($A142,$A$5:A141,0)),""))),"Á","A"),"É","E"),"Í","I"),"Ó","O"),"Ú","U"),"Ü","U")))</f>
        <v/>
      </c>
      <c r="D142" s="36" t="str">
        <f aca="false">IF($A142="","",TRIM(SUBSTITUTE(SUBSTITUTE(SUBSTITUTE(SUBSTITUTE(SUBSTITUTE(SUBSTITUTE(UPPER(IFERROR(INDEX('Base de Personas'!$E7:E21,MATCH($A142,'Base de Personas'!$B7:B21,0)),IFERROR(INDEX($D$5:D141,MATCH($A142,$A$5:A141,0)),""))),"Á","A"),"É","E"),"Í","I"),"Ó","O"),"Ú","U"),"Ü","U")))</f>
        <v/>
      </c>
      <c r="E142" s="36" t="str">
        <f aca="false">IF($A142="","",TRIM(SUBSTITUTE(SUBSTITUTE(SUBSTITUTE(SUBSTITUTE(SUBSTITUTE(SUBSTITUTE(UPPER(IFERROR(INDEX('Base de Personas'!$F7:F21,MATCH($A142,'Base de Personas'!$B7:B21,0)),IFERROR(INDEX($E$5:E141,MATCH($A142,$A$5:A141,0)),""))),"Á","A"),"É","E"),"Í","I"),"Ó","O"),"Ú","U"),"Ü","U")))</f>
        <v/>
      </c>
      <c r="F142" s="36" t="str">
        <f aca="false">IF($A142="","",TRIM(SUBSTITUTE(SUBSTITUTE(SUBSTITUTE(SUBSTITUTE(SUBSTITUTE(SUBSTITUTE(UPPER(IFERROR(INDEX('Base de Personas'!$G7:G21,MATCH($A142,'Base de Personas'!$B7:B21,0)),IFERROR(INDEX($F$5:F141,MATCH($A142,$A$5:A141,0)),""))),"Á","A"),"É","E"),"Í","I"),"Ó","O"),"Ú","U"),"Ü","U")))</f>
        <v/>
      </c>
      <c r="G142" s="37" t="str">
        <f aca="false">IF($A142="","",TRIM(SUBSTITUTE(SUBSTITUTE(SUBSTITUTE(SUBSTITUTE(SUBSTITUTE(SUBSTITUTE(UPPER(IFERROR(INDEX('Base de Personas'!$H7:H21,MATCH($A142,'Base de Personas'!$B7:B21,0)),IFERROR(INDEX($G$5:G141,MATCH($A142,$A$5:A141,0)),""))),"Á","A"),"É","E"),"Í","I"),"Ó","O"),"Ú","U"),"Ü","U")))</f>
        <v/>
      </c>
      <c r="H142" s="38" t="str">
        <f aca="false">IF($A142="","",IFERROR(INDEX('Base de Personas'!$I$7:$I$21,MATCH($A142,'Base de Personas'!$B$7:$B$21,0)),IFERROR(INDEX($H$5:H141,MATCH($A142,$A$5:A141,0)),"")))</f>
        <v/>
      </c>
      <c r="I142" s="39"/>
      <c r="J142" s="40"/>
      <c r="K142" s="40"/>
      <c r="L142" s="39"/>
      <c r="M142" s="41" t="str">
        <f aca="false">IF($A142="","",IF(K142=_xlfn.MAXIFS($K$5:$K$304,$A$5:$A$304,$A142),1,0))</f>
        <v/>
      </c>
      <c r="N142" s="41" t="str">
        <f aca="false">IF($A142="","",IF(M142=1,$A142&amp;"-ACT",""))</f>
        <v/>
      </c>
      <c r="O142" s="41" t="str">
        <f aca="false">IF($A142="","",IF(AND(COUNTIF('Base de Personas'!$B$7:$B$21,$A142)=0,COUNTIF($A$5:A142,$A142)=1),1,0))</f>
        <v/>
      </c>
      <c r="P142" s="41" t="str">
        <f aca="false">IF(O142=1,SUM($O$5:O142),"")</f>
        <v/>
      </c>
    </row>
    <row r="143" customFormat="false" ht="15" hidden="false" customHeight="false" outlineLevel="0" collapsed="false">
      <c r="A143" s="35"/>
      <c r="B143" s="36" t="str">
        <f aca="false">IF($A143="","",TRIM(SUBSTITUTE(SUBSTITUTE(SUBSTITUTE(SUBSTITUTE(SUBSTITUTE(SUBSTITUTE(UPPER(IFERROR(INDEX('Base de Personas'!$C7:C21,MATCH($A143,'Base de Personas'!$B7:B21,0)),IFERROR(INDEX($B$5:B142,MATCH($A143,$A$5:A142,0)),""))),"Á","A"),"É","E"),"Í","I"),"Ó","O"),"Ú","U"),"Ü","U")))</f>
        <v/>
      </c>
      <c r="C143" s="37" t="str">
        <f aca="false">IF($A143="","",TRIM(SUBSTITUTE(SUBSTITUTE(SUBSTITUTE(SUBSTITUTE(SUBSTITUTE(SUBSTITUTE(UPPER(IFERROR(INDEX('Base de Personas'!$D7:D21,MATCH($A143,'Base de Personas'!$B7:B21,0)),IFERROR(INDEX($C$5:C142,MATCH($A143,$A$5:A142,0)),""))),"Á","A"),"É","E"),"Í","I"),"Ó","O"),"Ú","U"),"Ü","U")))</f>
        <v/>
      </c>
      <c r="D143" s="36" t="str">
        <f aca="false">IF($A143="","",TRIM(SUBSTITUTE(SUBSTITUTE(SUBSTITUTE(SUBSTITUTE(SUBSTITUTE(SUBSTITUTE(UPPER(IFERROR(INDEX('Base de Personas'!$E7:E21,MATCH($A143,'Base de Personas'!$B7:B21,0)),IFERROR(INDEX($D$5:D142,MATCH($A143,$A$5:A142,0)),""))),"Á","A"),"É","E"),"Í","I"),"Ó","O"),"Ú","U"),"Ü","U")))</f>
        <v/>
      </c>
      <c r="E143" s="36" t="str">
        <f aca="false">IF($A143="","",TRIM(SUBSTITUTE(SUBSTITUTE(SUBSTITUTE(SUBSTITUTE(SUBSTITUTE(SUBSTITUTE(UPPER(IFERROR(INDEX('Base de Personas'!$F7:F21,MATCH($A143,'Base de Personas'!$B7:B21,0)),IFERROR(INDEX($E$5:E142,MATCH($A143,$A$5:A142,0)),""))),"Á","A"),"É","E"),"Í","I"),"Ó","O"),"Ú","U"),"Ü","U")))</f>
        <v/>
      </c>
      <c r="F143" s="36" t="str">
        <f aca="false">IF($A143="","",TRIM(SUBSTITUTE(SUBSTITUTE(SUBSTITUTE(SUBSTITUTE(SUBSTITUTE(SUBSTITUTE(UPPER(IFERROR(INDEX('Base de Personas'!$G7:G21,MATCH($A143,'Base de Personas'!$B7:B21,0)),IFERROR(INDEX($F$5:F142,MATCH($A143,$A$5:A142,0)),""))),"Á","A"),"É","E"),"Í","I"),"Ó","O"),"Ú","U"),"Ü","U")))</f>
        <v/>
      </c>
      <c r="G143" s="37" t="str">
        <f aca="false">IF($A143="","",TRIM(SUBSTITUTE(SUBSTITUTE(SUBSTITUTE(SUBSTITUTE(SUBSTITUTE(SUBSTITUTE(UPPER(IFERROR(INDEX('Base de Personas'!$H7:H21,MATCH($A143,'Base de Personas'!$B7:B21,0)),IFERROR(INDEX($G$5:G142,MATCH($A143,$A$5:A142,0)),""))),"Á","A"),"É","E"),"Í","I"),"Ó","O"),"Ú","U"),"Ü","U")))</f>
        <v/>
      </c>
      <c r="H143" s="38" t="str">
        <f aca="false">IF($A143="","",IFERROR(INDEX('Base de Personas'!$I$7:$I$21,MATCH($A143,'Base de Personas'!$B$7:$B$21,0)),IFERROR(INDEX($H$5:H142,MATCH($A143,$A$5:A142,0)),"")))</f>
        <v/>
      </c>
      <c r="I143" s="39"/>
      <c r="J143" s="40"/>
      <c r="K143" s="40"/>
      <c r="L143" s="39"/>
      <c r="M143" s="41" t="str">
        <f aca="false">IF($A143="","",IF(K143=_xlfn.MAXIFS($K$5:$K$304,$A$5:$A$304,$A143),1,0))</f>
        <v/>
      </c>
      <c r="N143" s="41" t="str">
        <f aca="false">IF($A143="","",IF(M143=1,$A143&amp;"-ACT",""))</f>
        <v/>
      </c>
      <c r="O143" s="41" t="str">
        <f aca="false">IF($A143="","",IF(AND(COUNTIF('Base de Personas'!$B$7:$B$21,$A143)=0,COUNTIF($A$5:A143,$A143)=1),1,0))</f>
        <v/>
      </c>
      <c r="P143" s="41" t="str">
        <f aca="false">IF(O143=1,SUM($O$5:O143),"")</f>
        <v/>
      </c>
    </row>
    <row r="144" customFormat="false" ht="15" hidden="false" customHeight="false" outlineLevel="0" collapsed="false">
      <c r="A144" s="35"/>
      <c r="B144" s="36" t="str">
        <f aca="false">IF($A144="","",TRIM(SUBSTITUTE(SUBSTITUTE(SUBSTITUTE(SUBSTITUTE(SUBSTITUTE(SUBSTITUTE(UPPER(IFERROR(INDEX('Base de Personas'!$C7:C21,MATCH($A144,'Base de Personas'!$B7:B21,0)),IFERROR(INDEX($B$5:B143,MATCH($A144,$A$5:A143,0)),""))),"Á","A"),"É","E"),"Í","I"),"Ó","O"),"Ú","U"),"Ü","U")))</f>
        <v/>
      </c>
      <c r="C144" s="37" t="str">
        <f aca="false">IF($A144="","",TRIM(SUBSTITUTE(SUBSTITUTE(SUBSTITUTE(SUBSTITUTE(SUBSTITUTE(SUBSTITUTE(UPPER(IFERROR(INDEX('Base de Personas'!$D7:D21,MATCH($A144,'Base de Personas'!$B7:B21,0)),IFERROR(INDEX($C$5:C143,MATCH($A144,$A$5:A143,0)),""))),"Á","A"),"É","E"),"Í","I"),"Ó","O"),"Ú","U"),"Ü","U")))</f>
        <v/>
      </c>
      <c r="D144" s="36" t="str">
        <f aca="false">IF($A144="","",TRIM(SUBSTITUTE(SUBSTITUTE(SUBSTITUTE(SUBSTITUTE(SUBSTITUTE(SUBSTITUTE(UPPER(IFERROR(INDEX('Base de Personas'!$E7:E21,MATCH($A144,'Base de Personas'!$B7:B21,0)),IFERROR(INDEX($D$5:D143,MATCH($A144,$A$5:A143,0)),""))),"Á","A"),"É","E"),"Í","I"),"Ó","O"),"Ú","U"),"Ü","U")))</f>
        <v/>
      </c>
      <c r="E144" s="36" t="str">
        <f aca="false">IF($A144="","",TRIM(SUBSTITUTE(SUBSTITUTE(SUBSTITUTE(SUBSTITUTE(SUBSTITUTE(SUBSTITUTE(UPPER(IFERROR(INDEX('Base de Personas'!$F7:F21,MATCH($A144,'Base de Personas'!$B7:B21,0)),IFERROR(INDEX($E$5:E143,MATCH($A144,$A$5:A143,0)),""))),"Á","A"),"É","E"),"Í","I"),"Ó","O"),"Ú","U"),"Ü","U")))</f>
        <v/>
      </c>
      <c r="F144" s="36" t="str">
        <f aca="false">IF($A144="","",TRIM(SUBSTITUTE(SUBSTITUTE(SUBSTITUTE(SUBSTITUTE(SUBSTITUTE(SUBSTITUTE(UPPER(IFERROR(INDEX('Base de Personas'!$G7:G21,MATCH($A144,'Base de Personas'!$B7:B21,0)),IFERROR(INDEX($F$5:F143,MATCH($A144,$A$5:A143,0)),""))),"Á","A"),"É","E"),"Í","I"),"Ó","O"),"Ú","U"),"Ü","U")))</f>
        <v/>
      </c>
      <c r="G144" s="37" t="str">
        <f aca="false">IF($A144="","",TRIM(SUBSTITUTE(SUBSTITUTE(SUBSTITUTE(SUBSTITUTE(SUBSTITUTE(SUBSTITUTE(UPPER(IFERROR(INDEX('Base de Personas'!$H7:H21,MATCH($A144,'Base de Personas'!$B7:B21,0)),IFERROR(INDEX($G$5:G143,MATCH($A144,$A$5:A143,0)),""))),"Á","A"),"É","E"),"Í","I"),"Ó","O"),"Ú","U"),"Ü","U")))</f>
        <v/>
      </c>
      <c r="H144" s="38" t="str">
        <f aca="false">IF($A144="","",IFERROR(INDEX('Base de Personas'!$I$7:$I$21,MATCH($A144,'Base de Personas'!$B$7:$B$21,0)),IFERROR(INDEX($H$5:H143,MATCH($A144,$A$5:A143,0)),"")))</f>
        <v/>
      </c>
      <c r="I144" s="39"/>
      <c r="J144" s="40"/>
      <c r="K144" s="40"/>
      <c r="L144" s="39"/>
      <c r="M144" s="41" t="str">
        <f aca="false">IF($A144="","",IF(K144=_xlfn.MAXIFS($K$5:$K$304,$A$5:$A$304,$A144),1,0))</f>
        <v/>
      </c>
      <c r="N144" s="41" t="str">
        <f aca="false">IF($A144="","",IF(M144=1,$A144&amp;"-ACT",""))</f>
        <v/>
      </c>
      <c r="O144" s="41" t="str">
        <f aca="false">IF($A144="","",IF(AND(COUNTIF('Base de Personas'!$B$7:$B$21,$A144)=0,COUNTIF($A$5:A144,$A144)=1),1,0))</f>
        <v/>
      </c>
      <c r="P144" s="41" t="str">
        <f aca="false">IF(O144=1,SUM($O$5:O144),"")</f>
        <v/>
      </c>
    </row>
    <row r="145" customFormat="false" ht="15" hidden="false" customHeight="false" outlineLevel="0" collapsed="false">
      <c r="A145" s="35"/>
      <c r="B145" s="36" t="str">
        <f aca="false">IF($A145="","",TRIM(SUBSTITUTE(SUBSTITUTE(SUBSTITUTE(SUBSTITUTE(SUBSTITUTE(SUBSTITUTE(UPPER(IFERROR(INDEX('Base de Personas'!$C7:C21,MATCH($A145,'Base de Personas'!$B7:B21,0)),IFERROR(INDEX($B$5:B144,MATCH($A145,$A$5:A144,0)),""))),"Á","A"),"É","E"),"Í","I"),"Ó","O"),"Ú","U"),"Ü","U")))</f>
        <v/>
      </c>
      <c r="C145" s="37" t="str">
        <f aca="false">IF($A145="","",TRIM(SUBSTITUTE(SUBSTITUTE(SUBSTITUTE(SUBSTITUTE(SUBSTITUTE(SUBSTITUTE(UPPER(IFERROR(INDEX('Base de Personas'!$D7:D21,MATCH($A145,'Base de Personas'!$B7:B21,0)),IFERROR(INDEX($C$5:C144,MATCH($A145,$A$5:A144,0)),""))),"Á","A"),"É","E"),"Í","I"),"Ó","O"),"Ú","U"),"Ü","U")))</f>
        <v/>
      </c>
      <c r="D145" s="36" t="str">
        <f aca="false">IF($A145="","",TRIM(SUBSTITUTE(SUBSTITUTE(SUBSTITUTE(SUBSTITUTE(SUBSTITUTE(SUBSTITUTE(UPPER(IFERROR(INDEX('Base de Personas'!$E7:E21,MATCH($A145,'Base de Personas'!$B7:B21,0)),IFERROR(INDEX($D$5:D144,MATCH($A145,$A$5:A144,0)),""))),"Á","A"),"É","E"),"Í","I"),"Ó","O"),"Ú","U"),"Ü","U")))</f>
        <v/>
      </c>
      <c r="E145" s="36" t="str">
        <f aca="false">IF($A145="","",TRIM(SUBSTITUTE(SUBSTITUTE(SUBSTITUTE(SUBSTITUTE(SUBSTITUTE(SUBSTITUTE(UPPER(IFERROR(INDEX('Base de Personas'!$F7:F21,MATCH($A145,'Base de Personas'!$B7:B21,0)),IFERROR(INDEX($E$5:E144,MATCH($A145,$A$5:A144,0)),""))),"Á","A"),"É","E"),"Í","I"),"Ó","O"),"Ú","U"),"Ü","U")))</f>
        <v/>
      </c>
      <c r="F145" s="36" t="str">
        <f aca="false">IF($A145="","",TRIM(SUBSTITUTE(SUBSTITUTE(SUBSTITUTE(SUBSTITUTE(SUBSTITUTE(SUBSTITUTE(UPPER(IFERROR(INDEX('Base de Personas'!$G7:G21,MATCH($A145,'Base de Personas'!$B7:B21,0)),IFERROR(INDEX($F$5:F144,MATCH($A145,$A$5:A144,0)),""))),"Á","A"),"É","E"),"Í","I"),"Ó","O"),"Ú","U"),"Ü","U")))</f>
        <v/>
      </c>
      <c r="G145" s="37" t="str">
        <f aca="false">IF($A145="","",TRIM(SUBSTITUTE(SUBSTITUTE(SUBSTITUTE(SUBSTITUTE(SUBSTITUTE(SUBSTITUTE(UPPER(IFERROR(INDEX('Base de Personas'!$H7:H21,MATCH($A145,'Base de Personas'!$B7:B21,0)),IFERROR(INDEX($G$5:G144,MATCH($A145,$A$5:A144,0)),""))),"Á","A"),"É","E"),"Í","I"),"Ó","O"),"Ú","U"),"Ü","U")))</f>
        <v/>
      </c>
      <c r="H145" s="38" t="str">
        <f aca="false">IF($A145="","",IFERROR(INDEX('Base de Personas'!$I$7:$I$21,MATCH($A145,'Base de Personas'!$B$7:$B$21,0)),IFERROR(INDEX($H$5:H144,MATCH($A145,$A$5:A144,0)),"")))</f>
        <v/>
      </c>
      <c r="I145" s="39"/>
      <c r="J145" s="40"/>
      <c r="K145" s="40"/>
      <c r="L145" s="39"/>
      <c r="M145" s="41" t="str">
        <f aca="false">IF($A145="","",IF(K145=_xlfn.MAXIFS($K$5:$K$304,$A$5:$A$304,$A145),1,0))</f>
        <v/>
      </c>
      <c r="N145" s="41" t="str">
        <f aca="false">IF($A145="","",IF(M145=1,$A145&amp;"-ACT",""))</f>
        <v/>
      </c>
      <c r="O145" s="41" t="str">
        <f aca="false">IF($A145="","",IF(AND(COUNTIF('Base de Personas'!$B$7:$B$21,$A145)=0,COUNTIF($A$5:A145,$A145)=1),1,0))</f>
        <v/>
      </c>
      <c r="P145" s="41" t="str">
        <f aca="false">IF(O145=1,SUM($O$5:O145),"")</f>
        <v/>
      </c>
    </row>
    <row r="146" customFormat="false" ht="15" hidden="false" customHeight="false" outlineLevel="0" collapsed="false">
      <c r="A146" s="35"/>
      <c r="B146" s="36" t="str">
        <f aca="false">IF($A146="","",TRIM(SUBSTITUTE(SUBSTITUTE(SUBSTITUTE(SUBSTITUTE(SUBSTITUTE(SUBSTITUTE(UPPER(IFERROR(INDEX('Base de Personas'!$C7:C21,MATCH($A146,'Base de Personas'!$B7:B21,0)),IFERROR(INDEX($B$5:B145,MATCH($A146,$A$5:A145,0)),""))),"Á","A"),"É","E"),"Í","I"),"Ó","O"),"Ú","U"),"Ü","U")))</f>
        <v/>
      </c>
      <c r="C146" s="37" t="str">
        <f aca="false">IF($A146="","",TRIM(SUBSTITUTE(SUBSTITUTE(SUBSTITUTE(SUBSTITUTE(SUBSTITUTE(SUBSTITUTE(UPPER(IFERROR(INDEX('Base de Personas'!$D7:D21,MATCH($A146,'Base de Personas'!$B7:B21,0)),IFERROR(INDEX($C$5:C145,MATCH($A146,$A$5:A145,0)),""))),"Á","A"),"É","E"),"Í","I"),"Ó","O"),"Ú","U"),"Ü","U")))</f>
        <v/>
      </c>
      <c r="D146" s="36" t="str">
        <f aca="false">IF($A146="","",TRIM(SUBSTITUTE(SUBSTITUTE(SUBSTITUTE(SUBSTITUTE(SUBSTITUTE(SUBSTITUTE(UPPER(IFERROR(INDEX('Base de Personas'!$E7:E21,MATCH($A146,'Base de Personas'!$B7:B21,0)),IFERROR(INDEX($D$5:D145,MATCH($A146,$A$5:A145,0)),""))),"Á","A"),"É","E"),"Í","I"),"Ó","O"),"Ú","U"),"Ü","U")))</f>
        <v/>
      </c>
      <c r="E146" s="36" t="str">
        <f aca="false">IF($A146="","",TRIM(SUBSTITUTE(SUBSTITUTE(SUBSTITUTE(SUBSTITUTE(SUBSTITUTE(SUBSTITUTE(UPPER(IFERROR(INDEX('Base de Personas'!$F7:F21,MATCH($A146,'Base de Personas'!$B7:B21,0)),IFERROR(INDEX($E$5:E145,MATCH($A146,$A$5:A145,0)),""))),"Á","A"),"É","E"),"Í","I"),"Ó","O"),"Ú","U"),"Ü","U")))</f>
        <v/>
      </c>
      <c r="F146" s="36" t="str">
        <f aca="false">IF($A146="","",TRIM(SUBSTITUTE(SUBSTITUTE(SUBSTITUTE(SUBSTITUTE(SUBSTITUTE(SUBSTITUTE(UPPER(IFERROR(INDEX('Base de Personas'!$G7:G21,MATCH($A146,'Base de Personas'!$B7:B21,0)),IFERROR(INDEX($F$5:F145,MATCH($A146,$A$5:A145,0)),""))),"Á","A"),"É","E"),"Í","I"),"Ó","O"),"Ú","U"),"Ü","U")))</f>
        <v/>
      </c>
      <c r="G146" s="37" t="str">
        <f aca="false">IF($A146="","",TRIM(SUBSTITUTE(SUBSTITUTE(SUBSTITUTE(SUBSTITUTE(SUBSTITUTE(SUBSTITUTE(UPPER(IFERROR(INDEX('Base de Personas'!$H7:H21,MATCH($A146,'Base de Personas'!$B7:B21,0)),IFERROR(INDEX($G$5:G145,MATCH($A146,$A$5:A145,0)),""))),"Á","A"),"É","E"),"Í","I"),"Ó","O"),"Ú","U"),"Ü","U")))</f>
        <v/>
      </c>
      <c r="H146" s="38" t="str">
        <f aca="false">IF($A146="","",IFERROR(INDEX('Base de Personas'!$I$7:$I$21,MATCH($A146,'Base de Personas'!$B$7:$B$21,0)),IFERROR(INDEX($H$5:H145,MATCH($A146,$A$5:A145,0)),"")))</f>
        <v/>
      </c>
      <c r="I146" s="39"/>
      <c r="J146" s="40"/>
      <c r="K146" s="40"/>
      <c r="L146" s="39"/>
      <c r="M146" s="41" t="str">
        <f aca="false">IF($A146="","",IF(K146=_xlfn.MAXIFS($K$5:$K$304,$A$5:$A$304,$A146),1,0))</f>
        <v/>
      </c>
      <c r="N146" s="41" t="str">
        <f aca="false">IF($A146="","",IF(M146=1,$A146&amp;"-ACT",""))</f>
        <v/>
      </c>
      <c r="O146" s="41" t="str">
        <f aca="false">IF($A146="","",IF(AND(COUNTIF('Base de Personas'!$B$7:$B$21,$A146)=0,COUNTIF($A$5:A146,$A146)=1),1,0))</f>
        <v/>
      </c>
      <c r="P146" s="41" t="str">
        <f aca="false">IF(O146=1,SUM($O$5:O146),"")</f>
        <v/>
      </c>
    </row>
    <row r="147" customFormat="false" ht="15" hidden="false" customHeight="false" outlineLevel="0" collapsed="false">
      <c r="A147" s="35"/>
      <c r="B147" s="36" t="str">
        <f aca="false">IF($A147="","",TRIM(SUBSTITUTE(SUBSTITUTE(SUBSTITUTE(SUBSTITUTE(SUBSTITUTE(SUBSTITUTE(UPPER(IFERROR(INDEX('Base de Personas'!$C7:C21,MATCH($A147,'Base de Personas'!$B7:B21,0)),IFERROR(INDEX($B$5:B146,MATCH($A147,$A$5:A146,0)),""))),"Á","A"),"É","E"),"Í","I"),"Ó","O"),"Ú","U"),"Ü","U")))</f>
        <v/>
      </c>
      <c r="C147" s="37" t="str">
        <f aca="false">IF($A147="","",TRIM(SUBSTITUTE(SUBSTITUTE(SUBSTITUTE(SUBSTITUTE(SUBSTITUTE(SUBSTITUTE(UPPER(IFERROR(INDEX('Base de Personas'!$D7:D21,MATCH($A147,'Base de Personas'!$B7:B21,0)),IFERROR(INDEX($C$5:C146,MATCH($A147,$A$5:A146,0)),""))),"Á","A"),"É","E"),"Í","I"),"Ó","O"),"Ú","U"),"Ü","U")))</f>
        <v/>
      </c>
      <c r="D147" s="36" t="str">
        <f aca="false">IF($A147="","",TRIM(SUBSTITUTE(SUBSTITUTE(SUBSTITUTE(SUBSTITUTE(SUBSTITUTE(SUBSTITUTE(UPPER(IFERROR(INDEX('Base de Personas'!$E7:E21,MATCH($A147,'Base de Personas'!$B7:B21,0)),IFERROR(INDEX($D$5:D146,MATCH($A147,$A$5:A146,0)),""))),"Á","A"),"É","E"),"Í","I"),"Ó","O"),"Ú","U"),"Ü","U")))</f>
        <v/>
      </c>
      <c r="E147" s="36" t="str">
        <f aca="false">IF($A147="","",TRIM(SUBSTITUTE(SUBSTITUTE(SUBSTITUTE(SUBSTITUTE(SUBSTITUTE(SUBSTITUTE(UPPER(IFERROR(INDEX('Base de Personas'!$F7:F21,MATCH($A147,'Base de Personas'!$B7:B21,0)),IFERROR(INDEX($E$5:E146,MATCH($A147,$A$5:A146,0)),""))),"Á","A"),"É","E"),"Í","I"),"Ó","O"),"Ú","U"),"Ü","U")))</f>
        <v/>
      </c>
      <c r="F147" s="36" t="str">
        <f aca="false">IF($A147="","",TRIM(SUBSTITUTE(SUBSTITUTE(SUBSTITUTE(SUBSTITUTE(SUBSTITUTE(SUBSTITUTE(UPPER(IFERROR(INDEX('Base de Personas'!$G7:G21,MATCH($A147,'Base de Personas'!$B7:B21,0)),IFERROR(INDEX($F$5:F146,MATCH($A147,$A$5:A146,0)),""))),"Á","A"),"É","E"),"Í","I"),"Ó","O"),"Ú","U"),"Ü","U")))</f>
        <v/>
      </c>
      <c r="G147" s="37" t="str">
        <f aca="false">IF($A147="","",TRIM(SUBSTITUTE(SUBSTITUTE(SUBSTITUTE(SUBSTITUTE(SUBSTITUTE(SUBSTITUTE(UPPER(IFERROR(INDEX('Base de Personas'!$H7:H21,MATCH($A147,'Base de Personas'!$B7:B21,0)),IFERROR(INDEX($G$5:G146,MATCH($A147,$A$5:A146,0)),""))),"Á","A"),"É","E"),"Í","I"),"Ó","O"),"Ú","U"),"Ü","U")))</f>
        <v/>
      </c>
      <c r="H147" s="38" t="str">
        <f aca="false">IF($A147="","",IFERROR(INDEX('Base de Personas'!$I$7:$I$21,MATCH($A147,'Base de Personas'!$B$7:$B$21,0)),IFERROR(INDEX($H$5:H146,MATCH($A147,$A$5:A146,0)),"")))</f>
        <v/>
      </c>
      <c r="I147" s="39"/>
      <c r="J147" s="40"/>
      <c r="K147" s="40"/>
      <c r="L147" s="39"/>
      <c r="M147" s="41" t="str">
        <f aca="false">IF($A147="","",IF(K147=_xlfn.MAXIFS($K$5:$K$304,$A$5:$A$304,$A147),1,0))</f>
        <v/>
      </c>
      <c r="N147" s="41" t="str">
        <f aca="false">IF($A147="","",IF(M147=1,$A147&amp;"-ACT",""))</f>
        <v/>
      </c>
      <c r="O147" s="41" t="str">
        <f aca="false">IF($A147="","",IF(AND(COUNTIF('Base de Personas'!$B$7:$B$21,$A147)=0,COUNTIF($A$5:A147,$A147)=1),1,0))</f>
        <v/>
      </c>
      <c r="P147" s="41" t="str">
        <f aca="false">IF(O147=1,SUM($O$5:O147),"")</f>
        <v/>
      </c>
    </row>
    <row r="148" customFormat="false" ht="15" hidden="false" customHeight="false" outlineLevel="0" collapsed="false">
      <c r="A148" s="35"/>
      <c r="B148" s="36" t="str">
        <f aca="false">IF($A148="","",TRIM(SUBSTITUTE(SUBSTITUTE(SUBSTITUTE(SUBSTITUTE(SUBSTITUTE(SUBSTITUTE(UPPER(IFERROR(INDEX('Base de Personas'!$C7:C21,MATCH($A148,'Base de Personas'!$B7:B21,0)),IFERROR(INDEX($B$5:B147,MATCH($A148,$A$5:A147,0)),""))),"Á","A"),"É","E"),"Í","I"),"Ó","O"),"Ú","U"),"Ü","U")))</f>
        <v/>
      </c>
      <c r="C148" s="37" t="str">
        <f aca="false">IF($A148="","",TRIM(SUBSTITUTE(SUBSTITUTE(SUBSTITUTE(SUBSTITUTE(SUBSTITUTE(SUBSTITUTE(UPPER(IFERROR(INDEX('Base de Personas'!$D7:D21,MATCH($A148,'Base de Personas'!$B7:B21,0)),IFERROR(INDEX($C$5:C147,MATCH($A148,$A$5:A147,0)),""))),"Á","A"),"É","E"),"Í","I"),"Ó","O"),"Ú","U"),"Ü","U")))</f>
        <v/>
      </c>
      <c r="D148" s="36" t="str">
        <f aca="false">IF($A148="","",TRIM(SUBSTITUTE(SUBSTITUTE(SUBSTITUTE(SUBSTITUTE(SUBSTITUTE(SUBSTITUTE(UPPER(IFERROR(INDEX('Base de Personas'!$E7:E21,MATCH($A148,'Base de Personas'!$B7:B21,0)),IFERROR(INDEX($D$5:D147,MATCH($A148,$A$5:A147,0)),""))),"Á","A"),"É","E"),"Í","I"),"Ó","O"),"Ú","U"),"Ü","U")))</f>
        <v/>
      </c>
      <c r="E148" s="36" t="str">
        <f aca="false">IF($A148="","",TRIM(SUBSTITUTE(SUBSTITUTE(SUBSTITUTE(SUBSTITUTE(SUBSTITUTE(SUBSTITUTE(UPPER(IFERROR(INDEX('Base de Personas'!$F7:F21,MATCH($A148,'Base de Personas'!$B7:B21,0)),IFERROR(INDEX($E$5:E147,MATCH($A148,$A$5:A147,0)),""))),"Á","A"),"É","E"),"Í","I"),"Ó","O"),"Ú","U"),"Ü","U")))</f>
        <v/>
      </c>
      <c r="F148" s="36" t="str">
        <f aca="false">IF($A148="","",TRIM(SUBSTITUTE(SUBSTITUTE(SUBSTITUTE(SUBSTITUTE(SUBSTITUTE(SUBSTITUTE(UPPER(IFERROR(INDEX('Base de Personas'!$G7:G21,MATCH($A148,'Base de Personas'!$B7:B21,0)),IFERROR(INDEX($F$5:F147,MATCH($A148,$A$5:A147,0)),""))),"Á","A"),"É","E"),"Í","I"),"Ó","O"),"Ú","U"),"Ü","U")))</f>
        <v/>
      </c>
      <c r="G148" s="37" t="str">
        <f aca="false">IF($A148="","",TRIM(SUBSTITUTE(SUBSTITUTE(SUBSTITUTE(SUBSTITUTE(SUBSTITUTE(SUBSTITUTE(UPPER(IFERROR(INDEX('Base de Personas'!$H7:H21,MATCH($A148,'Base de Personas'!$B7:B21,0)),IFERROR(INDEX($G$5:G147,MATCH($A148,$A$5:A147,0)),""))),"Á","A"),"É","E"),"Í","I"),"Ó","O"),"Ú","U"),"Ü","U")))</f>
        <v/>
      </c>
      <c r="H148" s="38" t="str">
        <f aca="false">IF($A148="","",IFERROR(INDEX('Base de Personas'!$I$7:$I$21,MATCH($A148,'Base de Personas'!$B$7:$B$21,0)),IFERROR(INDEX($H$5:H147,MATCH($A148,$A$5:A147,0)),"")))</f>
        <v/>
      </c>
      <c r="I148" s="39"/>
      <c r="J148" s="40"/>
      <c r="K148" s="40"/>
      <c r="L148" s="39"/>
      <c r="M148" s="41" t="str">
        <f aca="false">IF($A148="","",IF(K148=_xlfn.MAXIFS($K$5:$K$304,$A$5:$A$304,$A148),1,0))</f>
        <v/>
      </c>
      <c r="N148" s="41" t="str">
        <f aca="false">IF($A148="","",IF(M148=1,$A148&amp;"-ACT",""))</f>
        <v/>
      </c>
      <c r="O148" s="41" t="str">
        <f aca="false">IF($A148="","",IF(AND(COUNTIF('Base de Personas'!$B$7:$B$21,$A148)=0,COUNTIF($A$5:A148,$A148)=1),1,0))</f>
        <v/>
      </c>
      <c r="P148" s="41" t="str">
        <f aca="false">IF(O148=1,SUM($O$5:O148),"")</f>
        <v/>
      </c>
    </row>
    <row r="149" customFormat="false" ht="15" hidden="false" customHeight="false" outlineLevel="0" collapsed="false">
      <c r="A149" s="35"/>
      <c r="B149" s="36" t="str">
        <f aca="false">IF($A149="","",TRIM(SUBSTITUTE(SUBSTITUTE(SUBSTITUTE(SUBSTITUTE(SUBSTITUTE(SUBSTITUTE(UPPER(IFERROR(INDEX('Base de Personas'!$C7:C21,MATCH($A149,'Base de Personas'!$B7:B21,0)),IFERROR(INDEX($B$5:B148,MATCH($A149,$A$5:A148,0)),""))),"Á","A"),"É","E"),"Í","I"),"Ó","O"),"Ú","U"),"Ü","U")))</f>
        <v/>
      </c>
      <c r="C149" s="37" t="str">
        <f aca="false">IF($A149="","",TRIM(SUBSTITUTE(SUBSTITUTE(SUBSTITUTE(SUBSTITUTE(SUBSTITUTE(SUBSTITUTE(UPPER(IFERROR(INDEX('Base de Personas'!$D7:D21,MATCH($A149,'Base de Personas'!$B7:B21,0)),IFERROR(INDEX($C$5:C148,MATCH($A149,$A$5:A148,0)),""))),"Á","A"),"É","E"),"Í","I"),"Ó","O"),"Ú","U"),"Ü","U")))</f>
        <v/>
      </c>
      <c r="D149" s="36" t="str">
        <f aca="false">IF($A149="","",TRIM(SUBSTITUTE(SUBSTITUTE(SUBSTITUTE(SUBSTITUTE(SUBSTITUTE(SUBSTITUTE(UPPER(IFERROR(INDEX('Base de Personas'!$E7:E21,MATCH($A149,'Base de Personas'!$B7:B21,0)),IFERROR(INDEX($D$5:D148,MATCH($A149,$A$5:A148,0)),""))),"Á","A"),"É","E"),"Í","I"),"Ó","O"),"Ú","U"),"Ü","U")))</f>
        <v/>
      </c>
      <c r="E149" s="36" t="str">
        <f aca="false">IF($A149="","",TRIM(SUBSTITUTE(SUBSTITUTE(SUBSTITUTE(SUBSTITUTE(SUBSTITUTE(SUBSTITUTE(UPPER(IFERROR(INDEX('Base de Personas'!$F7:F21,MATCH($A149,'Base de Personas'!$B7:B21,0)),IFERROR(INDEX($E$5:E148,MATCH($A149,$A$5:A148,0)),""))),"Á","A"),"É","E"),"Í","I"),"Ó","O"),"Ú","U"),"Ü","U")))</f>
        <v/>
      </c>
      <c r="F149" s="36" t="str">
        <f aca="false">IF($A149="","",TRIM(SUBSTITUTE(SUBSTITUTE(SUBSTITUTE(SUBSTITUTE(SUBSTITUTE(SUBSTITUTE(UPPER(IFERROR(INDEX('Base de Personas'!$G7:G21,MATCH($A149,'Base de Personas'!$B7:B21,0)),IFERROR(INDEX($F$5:F148,MATCH($A149,$A$5:A148,0)),""))),"Á","A"),"É","E"),"Í","I"),"Ó","O"),"Ú","U"),"Ü","U")))</f>
        <v/>
      </c>
      <c r="G149" s="37" t="str">
        <f aca="false">IF($A149="","",TRIM(SUBSTITUTE(SUBSTITUTE(SUBSTITUTE(SUBSTITUTE(SUBSTITUTE(SUBSTITUTE(UPPER(IFERROR(INDEX('Base de Personas'!$H7:H21,MATCH($A149,'Base de Personas'!$B7:B21,0)),IFERROR(INDEX($G$5:G148,MATCH($A149,$A$5:A148,0)),""))),"Á","A"),"É","E"),"Í","I"),"Ó","O"),"Ú","U"),"Ü","U")))</f>
        <v/>
      </c>
      <c r="H149" s="38" t="str">
        <f aca="false">IF($A149="","",IFERROR(INDEX('Base de Personas'!$I$7:$I$21,MATCH($A149,'Base de Personas'!$B$7:$B$21,0)),IFERROR(INDEX($H$5:H148,MATCH($A149,$A$5:A148,0)),"")))</f>
        <v/>
      </c>
      <c r="I149" s="39"/>
      <c r="J149" s="40"/>
      <c r="K149" s="40"/>
      <c r="L149" s="39"/>
      <c r="M149" s="41" t="str">
        <f aca="false">IF($A149="","",IF(K149=_xlfn.MAXIFS($K$5:$K$304,$A$5:$A$304,$A149),1,0))</f>
        <v/>
      </c>
      <c r="N149" s="41" t="str">
        <f aca="false">IF($A149="","",IF(M149=1,$A149&amp;"-ACT",""))</f>
        <v/>
      </c>
      <c r="O149" s="41" t="str">
        <f aca="false">IF($A149="","",IF(AND(COUNTIF('Base de Personas'!$B$7:$B$21,$A149)=0,COUNTIF($A$5:A149,$A149)=1),1,0))</f>
        <v/>
      </c>
      <c r="P149" s="41" t="str">
        <f aca="false">IF(O149=1,SUM($O$5:O149),"")</f>
        <v/>
      </c>
    </row>
    <row r="150" customFormat="false" ht="15" hidden="false" customHeight="false" outlineLevel="0" collapsed="false">
      <c r="A150" s="35"/>
      <c r="B150" s="36" t="str">
        <f aca="false">IF($A150="","",TRIM(SUBSTITUTE(SUBSTITUTE(SUBSTITUTE(SUBSTITUTE(SUBSTITUTE(SUBSTITUTE(UPPER(IFERROR(INDEX('Base de Personas'!$C7:C21,MATCH($A150,'Base de Personas'!$B7:B21,0)),IFERROR(INDEX($B$5:B149,MATCH($A150,$A$5:A149,0)),""))),"Á","A"),"É","E"),"Í","I"),"Ó","O"),"Ú","U"),"Ü","U")))</f>
        <v/>
      </c>
      <c r="C150" s="37" t="str">
        <f aca="false">IF($A150="","",TRIM(SUBSTITUTE(SUBSTITUTE(SUBSTITUTE(SUBSTITUTE(SUBSTITUTE(SUBSTITUTE(UPPER(IFERROR(INDEX('Base de Personas'!$D7:D21,MATCH($A150,'Base de Personas'!$B7:B21,0)),IFERROR(INDEX($C$5:C149,MATCH($A150,$A$5:A149,0)),""))),"Á","A"),"É","E"),"Í","I"),"Ó","O"),"Ú","U"),"Ü","U")))</f>
        <v/>
      </c>
      <c r="D150" s="36" t="str">
        <f aca="false">IF($A150="","",TRIM(SUBSTITUTE(SUBSTITUTE(SUBSTITUTE(SUBSTITUTE(SUBSTITUTE(SUBSTITUTE(UPPER(IFERROR(INDEX('Base de Personas'!$E7:E21,MATCH($A150,'Base de Personas'!$B7:B21,0)),IFERROR(INDEX($D$5:D149,MATCH($A150,$A$5:A149,0)),""))),"Á","A"),"É","E"),"Í","I"),"Ó","O"),"Ú","U"),"Ü","U")))</f>
        <v/>
      </c>
      <c r="E150" s="36" t="str">
        <f aca="false">IF($A150="","",TRIM(SUBSTITUTE(SUBSTITUTE(SUBSTITUTE(SUBSTITUTE(SUBSTITUTE(SUBSTITUTE(UPPER(IFERROR(INDEX('Base de Personas'!$F7:F21,MATCH($A150,'Base de Personas'!$B7:B21,0)),IFERROR(INDEX($E$5:E149,MATCH($A150,$A$5:A149,0)),""))),"Á","A"),"É","E"),"Í","I"),"Ó","O"),"Ú","U"),"Ü","U")))</f>
        <v/>
      </c>
      <c r="F150" s="36" t="str">
        <f aca="false">IF($A150="","",TRIM(SUBSTITUTE(SUBSTITUTE(SUBSTITUTE(SUBSTITUTE(SUBSTITUTE(SUBSTITUTE(UPPER(IFERROR(INDEX('Base de Personas'!$G7:G21,MATCH($A150,'Base de Personas'!$B7:B21,0)),IFERROR(INDEX($F$5:F149,MATCH($A150,$A$5:A149,0)),""))),"Á","A"),"É","E"),"Í","I"),"Ó","O"),"Ú","U"),"Ü","U")))</f>
        <v/>
      </c>
      <c r="G150" s="37" t="str">
        <f aca="false">IF($A150="","",TRIM(SUBSTITUTE(SUBSTITUTE(SUBSTITUTE(SUBSTITUTE(SUBSTITUTE(SUBSTITUTE(UPPER(IFERROR(INDEX('Base de Personas'!$H7:H21,MATCH($A150,'Base de Personas'!$B7:B21,0)),IFERROR(INDEX($G$5:G149,MATCH($A150,$A$5:A149,0)),""))),"Á","A"),"É","E"),"Í","I"),"Ó","O"),"Ú","U"),"Ü","U")))</f>
        <v/>
      </c>
      <c r="H150" s="38" t="str">
        <f aca="false">IF($A150="","",IFERROR(INDEX('Base de Personas'!$I$7:$I$21,MATCH($A150,'Base de Personas'!$B$7:$B$21,0)),IFERROR(INDEX($H$5:H149,MATCH($A150,$A$5:A149,0)),"")))</f>
        <v/>
      </c>
      <c r="I150" s="39"/>
      <c r="J150" s="40"/>
      <c r="K150" s="40"/>
      <c r="L150" s="39"/>
      <c r="M150" s="41" t="str">
        <f aca="false">IF($A150="","",IF(K150=_xlfn.MAXIFS($K$5:$K$304,$A$5:$A$304,$A150),1,0))</f>
        <v/>
      </c>
      <c r="N150" s="41" t="str">
        <f aca="false">IF($A150="","",IF(M150=1,$A150&amp;"-ACT",""))</f>
        <v/>
      </c>
      <c r="O150" s="41" t="str">
        <f aca="false">IF($A150="","",IF(AND(COUNTIF('Base de Personas'!$B$7:$B$21,$A150)=0,COUNTIF($A$5:A150,$A150)=1),1,0))</f>
        <v/>
      </c>
      <c r="P150" s="41" t="str">
        <f aca="false">IF(O150=1,SUM($O$5:O150),"")</f>
        <v/>
      </c>
    </row>
    <row r="151" customFormat="false" ht="15" hidden="false" customHeight="false" outlineLevel="0" collapsed="false">
      <c r="A151" s="35"/>
      <c r="B151" s="36" t="str">
        <f aca="false">IF($A151="","",TRIM(SUBSTITUTE(SUBSTITUTE(SUBSTITUTE(SUBSTITUTE(SUBSTITUTE(SUBSTITUTE(UPPER(IFERROR(INDEX('Base de Personas'!$C7:C21,MATCH($A151,'Base de Personas'!$B7:B21,0)),IFERROR(INDEX($B$5:B150,MATCH($A151,$A$5:A150,0)),""))),"Á","A"),"É","E"),"Í","I"),"Ó","O"),"Ú","U"),"Ü","U")))</f>
        <v/>
      </c>
      <c r="C151" s="37" t="str">
        <f aca="false">IF($A151="","",TRIM(SUBSTITUTE(SUBSTITUTE(SUBSTITUTE(SUBSTITUTE(SUBSTITUTE(SUBSTITUTE(UPPER(IFERROR(INDEX('Base de Personas'!$D7:D21,MATCH($A151,'Base de Personas'!$B7:B21,0)),IFERROR(INDEX($C$5:C150,MATCH($A151,$A$5:A150,0)),""))),"Á","A"),"É","E"),"Í","I"),"Ó","O"),"Ú","U"),"Ü","U")))</f>
        <v/>
      </c>
      <c r="D151" s="36" t="str">
        <f aca="false">IF($A151="","",TRIM(SUBSTITUTE(SUBSTITUTE(SUBSTITUTE(SUBSTITUTE(SUBSTITUTE(SUBSTITUTE(UPPER(IFERROR(INDEX('Base de Personas'!$E7:E21,MATCH($A151,'Base de Personas'!$B7:B21,0)),IFERROR(INDEX($D$5:D150,MATCH($A151,$A$5:A150,0)),""))),"Á","A"),"É","E"),"Í","I"),"Ó","O"),"Ú","U"),"Ü","U")))</f>
        <v/>
      </c>
      <c r="E151" s="36" t="str">
        <f aca="false">IF($A151="","",TRIM(SUBSTITUTE(SUBSTITUTE(SUBSTITUTE(SUBSTITUTE(SUBSTITUTE(SUBSTITUTE(UPPER(IFERROR(INDEX('Base de Personas'!$F7:F21,MATCH($A151,'Base de Personas'!$B7:B21,0)),IFERROR(INDEX($E$5:E150,MATCH($A151,$A$5:A150,0)),""))),"Á","A"),"É","E"),"Í","I"),"Ó","O"),"Ú","U"),"Ü","U")))</f>
        <v/>
      </c>
      <c r="F151" s="36" t="str">
        <f aca="false">IF($A151="","",TRIM(SUBSTITUTE(SUBSTITUTE(SUBSTITUTE(SUBSTITUTE(SUBSTITUTE(SUBSTITUTE(UPPER(IFERROR(INDEX('Base de Personas'!$G7:G21,MATCH($A151,'Base de Personas'!$B7:B21,0)),IFERROR(INDEX($F$5:F150,MATCH($A151,$A$5:A150,0)),""))),"Á","A"),"É","E"),"Í","I"),"Ó","O"),"Ú","U"),"Ü","U")))</f>
        <v/>
      </c>
      <c r="G151" s="37" t="str">
        <f aca="false">IF($A151="","",TRIM(SUBSTITUTE(SUBSTITUTE(SUBSTITUTE(SUBSTITUTE(SUBSTITUTE(SUBSTITUTE(UPPER(IFERROR(INDEX('Base de Personas'!$H7:H21,MATCH($A151,'Base de Personas'!$B7:B21,0)),IFERROR(INDEX($G$5:G150,MATCH($A151,$A$5:A150,0)),""))),"Á","A"),"É","E"),"Í","I"),"Ó","O"),"Ú","U"),"Ü","U")))</f>
        <v/>
      </c>
      <c r="H151" s="38" t="str">
        <f aca="false">IF($A151="","",IFERROR(INDEX('Base de Personas'!$I$7:$I$21,MATCH($A151,'Base de Personas'!$B$7:$B$21,0)),IFERROR(INDEX($H$5:H150,MATCH($A151,$A$5:A150,0)),"")))</f>
        <v/>
      </c>
      <c r="I151" s="39"/>
      <c r="J151" s="40"/>
      <c r="K151" s="40"/>
      <c r="L151" s="39"/>
      <c r="M151" s="41" t="str">
        <f aca="false">IF($A151="","",IF(K151=_xlfn.MAXIFS($K$5:$K$304,$A$5:$A$304,$A151),1,0))</f>
        <v/>
      </c>
      <c r="N151" s="41" t="str">
        <f aca="false">IF($A151="","",IF(M151=1,$A151&amp;"-ACT",""))</f>
        <v/>
      </c>
      <c r="O151" s="41" t="str">
        <f aca="false">IF($A151="","",IF(AND(COUNTIF('Base de Personas'!$B$7:$B$21,$A151)=0,COUNTIF($A$5:A151,$A151)=1),1,0))</f>
        <v/>
      </c>
      <c r="P151" s="41" t="str">
        <f aca="false">IF(O151=1,SUM($O$5:O151),"")</f>
        <v/>
      </c>
    </row>
    <row r="152" customFormat="false" ht="15" hidden="false" customHeight="false" outlineLevel="0" collapsed="false">
      <c r="A152" s="35"/>
      <c r="B152" s="36" t="str">
        <f aca="false">IF($A152="","",TRIM(SUBSTITUTE(SUBSTITUTE(SUBSTITUTE(SUBSTITUTE(SUBSTITUTE(SUBSTITUTE(UPPER(IFERROR(INDEX('Base de Personas'!$C7:C21,MATCH($A152,'Base de Personas'!$B7:B21,0)),IFERROR(INDEX($B$5:B151,MATCH($A152,$A$5:A151,0)),""))),"Á","A"),"É","E"),"Í","I"),"Ó","O"),"Ú","U"),"Ü","U")))</f>
        <v/>
      </c>
      <c r="C152" s="37" t="str">
        <f aca="false">IF($A152="","",TRIM(SUBSTITUTE(SUBSTITUTE(SUBSTITUTE(SUBSTITUTE(SUBSTITUTE(SUBSTITUTE(UPPER(IFERROR(INDEX('Base de Personas'!$D7:D21,MATCH($A152,'Base de Personas'!$B7:B21,0)),IFERROR(INDEX($C$5:C151,MATCH($A152,$A$5:A151,0)),""))),"Á","A"),"É","E"),"Í","I"),"Ó","O"),"Ú","U"),"Ü","U")))</f>
        <v/>
      </c>
      <c r="D152" s="36" t="str">
        <f aca="false">IF($A152="","",TRIM(SUBSTITUTE(SUBSTITUTE(SUBSTITUTE(SUBSTITUTE(SUBSTITUTE(SUBSTITUTE(UPPER(IFERROR(INDEX('Base de Personas'!$E7:E21,MATCH($A152,'Base de Personas'!$B7:B21,0)),IFERROR(INDEX($D$5:D151,MATCH($A152,$A$5:A151,0)),""))),"Á","A"),"É","E"),"Í","I"),"Ó","O"),"Ú","U"),"Ü","U")))</f>
        <v/>
      </c>
      <c r="E152" s="36" t="str">
        <f aca="false">IF($A152="","",TRIM(SUBSTITUTE(SUBSTITUTE(SUBSTITUTE(SUBSTITUTE(SUBSTITUTE(SUBSTITUTE(UPPER(IFERROR(INDEX('Base de Personas'!$F7:F21,MATCH($A152,'Base de Personas'!$B7:B21,0)),IFERROR(INDEX($E$5:E151,MATCH($A152,$A$5:A151,0)),""))),"Á","A"),"É","E"),"Í","I"),"Ó","O"),"Ú","U"),"Ü","U")))</f>
        <v/>
      </c>
      <c r="F152" s="36" t="str">
        <f aca="false">IF($A152="","",TRIM(SUBSTITUTE(SUBSTITUTE(SUBSTITUTE(SUBSTITUTE(SUBSTITUTE(SUBSTITUTE(UPPER(IFERROR(INDEX('Base de Personas'!$G7:G21,MATCH($A152,'Base de Personas'!$B7:B21,0)),IFERROR(INDEX($F$5:F151,MATCH($A152,$A$5:A151,0)),""))),"Á","A"),"É","E"),"Í","I"),"Ó","O"),"Ú","U"),"Ü","U")))</f>
        <v/>
      </c>
      <c r="G152" s="37" t="str">
        <f aca="false">IF($A152="","",TRIM(SUBSTITUTE(SUBSTITUTE(SUBSTITUTE(SUBSTITUTE(SUBSTITUTE(SUBSTITUTE(UPPER(IFERROR(INDEX('Base de Personas'!$H7:H21,MATCH($A152,'Base de Personas'!$B7:B21,0)),IFERROR(INDEX($G$5:G151,MATCH($A152,$A$5:A151,0)),""))),"Á","A"),"É","E"),"Í","I"),"Ó","O"),"Ú","U"),"Ü","U")))</f>
        <v/>
      </c>
      <c r="H152" s="38" t="str">
        <f aca="false">IF($A152="","",IFERROR(INDEX('Base de Personas'!$I$7:$I$21,MATCH($A152,'Base de Personas'!$B$7:$B$21,0)),IFERROR(INDEX($H$5:H151,MATCH($A152,$A$5:A151,0)),"")))</f>
        <v/>
      </c>
      <c r="I152" s="39"/>
      <c r="J152" s="40"/>
      <c r="K152" s="40"/>
      <c r="L152" s="39"/>
      <c r="M152" s="41" t="str">
        <f aca="false">IF($A152="","",IF(K152=_xlfn.MAXIFS($K$5:$K$304,$A$5:$A$304,$A152),1,0))</f>
        <v/>
      </c>
      <c r="N152" s="41" t="str">
        <f aca="false">IF($A152="","",IF(M152=1,$A152&amp;"-ACT",""))</f>
        <v/>
      </c>
      <c r="O152" s="41" t="str">
        <f aca="false">IF($A152="","",IF(AND(COUNTIF('Base de Personas'!$B$7:$B$21,$A152)=0,COUNTIF($A$5:A152,$A152)=1),1,0))</f>
        <v/>
      </c>
      <c r="P152" s="41" t="str">
        <f aca="false">IF(O152=1,SUM($O$5:O152),"")</f>
        <v/>
      </c>
    </row>
    <row r="153" customFormat="false" ht="15" hidden="false" customHeight="false" outlineLevel="0" collapsed="false">
      <c r="A153" s="35"/>
      <c r="B153" s="36" t="str">
        <f aca="false">IF($A153="","",TRIM(SUBSTITUTE(SUBSTITUTE(SUBSTITUTE(SUBSTITUTE(SUBSTITUTE(SUBSTITUTE(UPPER(IFERROR(INDEX('Base de Personas'!$C7:C21,MATCH($A153,'Base de Personas'!$B7:B21,0)),IFERROR(INDEX($B$5:B152,MATCH($A153,$A$5:A152,0)),""))),"Á","A"),"É","E"),"Í","I"),"Ó","O"),"Ú","U"),"Ü","U")))</f>
        <v/>
      </c>
      <c r="C153" s="37" t="str">
        <f aca="false">IF($A153="","",TRIM(SUBSTITUTE(SUBSTITUTE(SUBSTITUTE(SUBSTITUTE(SUBSTITUTE(SUBSTITUTE(UPPER(IFERROR(INDEX('Base de Personas'!$D7:D21,MATCH($A153,'Base de Personas'!$B7:B21,0)),IFERROR(INDEX($C$5:C152,MATCH($A153,$A$5:A152,0)),""))),"Á","A"),"É","E"),"Í","I"),"Ó","O"),"Ú","U"),"Ü","U")))</f>
        <v/>
      </c>
      <c r="D153" s="36" t="str">
        <f aca="false">IF($A153="","",TRIM(SUBSTITUTE(SUBSTITUTE(SUBSTITUTE(SUBSTITUTE(SUBSTITUTE(SUBSTITUTE(UPPER(IFERROR(INDEX('Base de Personas'!$E7:E21,MATCH($A153,'Base de Personas'!$B7:B21,0)),IFERROR(INDEX($D$5:D152,MATCH($A153,$A$5:A152,0)),""))),"Á","A"),"É","E"),"Í","I"),"Ó","O"),"Ú","U"),"Ü","U")))</f>
        <v/>
      </c>
      <c r="E153" s="36" t="str">
        <f aca="false">IF($A153="","",TRIM(SUBSTITUTE(SUBSTITUTE(SUBSTITUTE(SUBSTITUTE(SUBSTITUTE(SUBSTITUTE(UPPER(IFERROR(INDEX('Base de Personas'!$F7:F21,MATCH($A153,'Base de Personas'!$B7:B21,0)),IFERROR(INDEX($E$5:E152,MATCH($A153,$A$5:A152,0)),""))),"Á","A"),"É","E"),"Í","I"),"Ó","O"),"Ú","U"),"Ü","U")))</f>
        <v/>
      </c>
      <c r="F153" s="36" t="str">
        <f aca="false">IF($A153="","",TRIM(SUBSTITUTE(SUBSTITUTE(SUBSTITUTE(SUBSTITUTE(SUBSTITUTE(SUBSTITUTE(UPPER(IFERROR(INDEX('Base de Personas'!$G7:G21,MATCH($A153,'Base de Personas'!$B7:B21,0)),IFERROR(INDEX($F$5:F152,MATCH($A153,$A$5:A152,0)),""))),"Á","A"),"É","E"),"Í","I"),"Ó","O"),"Ú","U"),"Ü","U")))</f>
        <v/>
      </c>
      <c r="G153" s="37" t="str">
        <f aca="false">IF($A153="","",TRIM(SUBSTITUTE(SUBSTITUTE(SUBSTITUTE(SUBSTITUTE(SUBSTITUTE(SUBSTITUTE(UPPER(IFERROR(INDEX('Base de Personas'!$H7:H21,MATCH($A153,'Base de Personas'!$B7:B21,0)),IFERROR(INDEX($G$5:G152,MATCH($A153,$A$5:A152,0)),""))),"Á","A"),"É","E"),"Í","I"),"Ó","O"),"Ú","U"),"Ü","U")))</f>
        <v/>
      </c>
      <c r="H153" s="38" t="str">
        <f aca="false">IF($A153="","",IFERROR(INDEX('Base de Personas'!$I$7:$I$21,MATCH($A153,'Base de Personas'!$B$7:$B$21,0)),IFERROR(INDEX($H$5:H152,MATCH($A153,$A$5:A152,0)),"")))</f>
        <v/>
      </c>
      <c r="I153" s="39"/>
      <c r="J153" s="40"/>
      <c r="K153" s="40"/>
      <c r="L153" s="39"/>
      <c r="M153" s="41" t="str">
        <f aca="false">IF($A153="","",IF(K153=_xlfn.MAXIFS($K$5:$K$304,$A$5:$A$304,$A153),1,0))</f>
        <v/>
      </c>
      <c r="N153" s="41" t="str">
        <f aca="false">IF($A153="","",IF(M153=1,$A153&amp;"-ACT",""))</f>
        <v/>
      </c>
      <c r="O153" s="41" t="str">
        <f aca="false">IF($A153="","",IF(AND(COUNTIF('Base de Personas'!$B$7:$B$21,$A153)=0,COUNTIF($A$5:A153,$A153)=1),1,0))</f>
        <v/>
      </c>
      <c r="P153" s="41" t="str">
        <f aca="false">IF(O153=1,SUM($O$5:O153),"")</f>
        <v/>
      </c>
    </row>
    <row r="154" customFormat="false" ht="15" hidden="false" customHeight="false" outlineLevel="0" collapsed="false">
      <c r="A154" s="35"/>
      <c r="B154" s="36" t="str">
        <f aca="false">IF($A154="","",TRIM(SUBSTITUTE(SUBSTITUTE(SUBSTITUTE(SUBSTITUTE(SUBSTITUTE(SUBSTITUTE(UPPER(IFERROR(INDEX('Base de Personas'!$C7:C21,MATCH($A154,'Base de Personas'!$B7:B21,0)),IFERROR(INDEX($B$5:B153,MATCH($A154,$A$5:A153,0)),""))),"Á","A"),"É","E"),"Í","I"),"Ó","O"),"Ú","U"),"Ü","U")))</f>
        <v/>
      </c>
      <c r="C154" s="37" t="str">
        <f aca="false">IF($A154="","",TRIM(SUBSTITUTE(SUBSTITUTE(SUBSTITUTE(SUBSTITUTE(SUBSTITUTE(SUBSTITUTE(UPPER(IFERROR(INDEX('Base de Personas'!$D7:D21,MATCH($A154,'Base de Personas'!$B7:B21,0)),IFERROR(INDEX($C$5:C153,MATCH($A154,$A$5:A153,0)),""))),"Á","A"),"É","E"),"Í","I"),"Ó","O"),"Ú","U"),"Ü","U")))</f>
        <v/>
      </c>
      <c r="D154" s="36" t="str">
        <f aca="false">IF($A154="","",TRIM(SUBSTITUTE(SUBSTITUTE(SUBSTITUTE(SUBSTITUTE(SUBSTITUTE(SUBSTITUTE(UPPER(IFERROR(INDEX('Base de Personas'!$E7:E21,MATCH($A154,'Base de Personas'!$B7:B21,0)),IFERROR(INDEX($D$5:D153,MATCH($A154,$A$5:A153,0)),""))),"Á","A"),"É","E"),"Í","I"),"Ó","O"),"Ú","U"),"Ü","U")))</f>
        <v/>
      </c>
      <c r="E154" s="36" t="str">
        <f aca="false">IF($A154="","",TRIM(SUBSTITUTE(SUBSTITUTE(SUBSTITUTE(SUBSTITUTE(SUBSTITUTE(SUBSTITUTE(UPPER(IFERROR(INDEX('Base de Personas'!$F7:F21,MATCH($A154,'Base de Personas'!$B7:B21,0)),IFERROR(INDEX($E$5:E153,MATCH($A154,$A$5:A153,0)),""))),"Á","A"),"É","E"),"Í","I"),"Ó","O"),"Ú","U"),"Ü","U")))</f>
        <v/>
      </c>
      <c r="F154" s="36" t="str">
        <f aca="false">IF($A154="","",TRIM(SUBSTITUTE(SUBSTITUTE(SUBSTITUTE(SUBSTITUTE(SUBSTITUTE(SUBSTITUTE(UPPER(IFERROR(INDEX('Base de Personas'!$G7:G21,MATCH($A154,'Base de Personas'!$B7:B21,0)),IFERROR(INDEX($F$5:F153,MATCH($A154,$A$5:A153,0)),""))),"Á","A"),"É","E"),"Í","I"),"Ó","O"),"Ú","U"),"Ü","U")))</f>
        <v/>
      </c>
      <c r="G154" s="37" t="str">
        <f aca="false">IF($A154="","",TRIM(SUBSTITUTE(SUBSTITUTE(SUBSTITUTE(SUBSTITUTE(SUBSTITUTE(SUBSTITUTE(UPPER(IFERROR(INDEX('Base de Personas'!$H7:H21,MATCH($A154,'Base de Personas'!$B7:B21,0)),IFERROR(INDEX($G$5:G153,MATCH($A154,$A$5:A153,0)),""))),"Á","A"),"É","E"),"Í","I"),"Ó","O"),"Ú","U"),"Ü","U")))</f>
        <v/>
      </c>
      <c r="H154" s="38" t="str">
        <f aca="false">IF($A154="","",IFERROR(INDEX('Base de Personas'!$I$7:$I$21,MATCH($A154,'Base de Personas'!$B$7:$B$21,0)),IFERROR(INDEX($H$5:H153,MATCH($A154,$A$5:A153,0)),"")))</f>
        <v/>
      </c>
      <c r="I154" s="39"/>
      <c r="J154" s="40"/>
      <c r="K154" s="40"/>
      <c r="L154" s="39"/>
      <c r="M154" s="41" t="str">
        <f aca="false">IF($A154="","",IF(K154=_xlfn.MAXIFS($K$5:$K$304,$A$5:$A$304,$A154),1,0))</f>
        <v/>
      </c>
      <c r="N154" s="41" t="str">
        <f aca="false">IF($A154="","",IF(M154=1,$A154&amp;"-ACT",""))</f>
        <v/>
      </c>
      <c r="O154" s="41" t="str">
        <f aca="false">IF($A154="","",IF(AND(COUNTIF('Base de Personas'!$B$7:$B$21,$A154)=0,COUNTIF($A$5:A154,$A154)=1),1,0))</f>
        <v/>
      </c>
      <c r="P154" s="41" t="str">
        <f aca="false">IF(O154=1,SUM($O$5:O154),"")</f>
        <v/>
      </c>
    </row>
    <row r="155" customFormat="false" ht="15" hidden="false" customHeight="false" outlineLevel="0" collapsed="false">
      <c r="A155" s="35"/>
      <c r="B155" s="36" t="str">
        <f aca="false">IF($A155="","",TRIM(SUBSTITUTE(SUBSTITUTE(SUBSTITUTE(SUBSTITUTE(SUBSTITUTE(SUBSTITUTE(UPPER(IFERROR(INDEX('Base de Personas'!$C7:C21,MATCH($A155,'Base de Personas'!$B7:B21,0)),IFERROR(INDEX($B$5:B154,MATCH($A155,$A$5:A154,0)),""))),"Á","A"),"É","E"),"Í","I"),"Ó","O"),"Ú","U"),"Ü","U")))</f>
        <v/>
      </c>
      <c r="C155" s="37" t="str">
        <f aca="false">IF($A155="","",TRIM(SUBSTITUTE(SUBSTITUTE(SUBSTITUTE(SUBSTITUTE(SUBSTITUTE(SUBSTITUTE(UPPER(IFERROR(INDEX('Base de Personas'!$D7:D21,MATCH($A155,'Base de Personas'!$B7:B21,0)),IFERROR(INDEX($C$5:C154,MATCH($A155,$A$5:A154,0)),""))),"Á","A"),"É","E"),"Í","I"),"Ó","O"),"Ú","U"),"Ü","U")))</f>
        <v/>
      </c>
      <c r="D155" s="36" t="str">
        <f aca="false">IF($A155="","",TRIM(SUBSTITUTE(SUBSTITUTE(SUBSTITUTE(SUBSTITUTE(SUBSTITUTE(SUBSTITUTE(UPPER(IFERROR(INDEX('Base de Personas'!$E7:E21,MATCH($A155,'Base de Personas'!$B7:B21,0)),IFERROR(INDEX($D$5:D154,MATCH($A155,$A$5:A154,0)),""))),"Á","A"),"É","E"),"Í","I"),"Ó","O"),"Ú","U"),"Ü","U")))</f>
        <v/>
      </c>
      <c r="E155" s="36" t="str">
        <f aca="false">IF($A155="","",TRIM(SUBSTITUTE(SUBSTITUTE(SUBSTITUTE(SUBSTITUTE(SUBSTITUTE(SUBSTITUTE(UPPER(IFERROR(INDEX('Base de Personas'!$F7:F21,MATCH($A155,'Base de Personas'!$B7:B21,0)),IFERROR(INDEX($E$5:E154,MATCH($A155,$A$5:A154,0)),""))),"Á","A"),"É","E"),"Í","I"),"Ó","O"),"Ú","U"),"Ü","U")))</f>
        <v/>
      </c>
      <c r="F155" s="36" t="str">
        <f aca="false">IF($A155="","",TRIM(SUBSTITUTE(SUBSTITUTE(SUBSTITUTE(SUBSTITUTE(SUBSTITUTE(SUBSTITUTE(UPPER(IFERROR(INDEX('Base de Personas'!$G7:G21,MATCH($A155,'Base de Personas'!$B7:B21,0)),IFERROR(INDEX($F$5:F154,MATCH($A155,$A$5:A154,0)),""))),"Á","A"),"É","E"),"Í","I"),"Ó","O"),"Ú","U"),"Ü","U")))</f>
        <v/>
      </c>
      <c r="G155" s="37" t="str">
        <f aca="false">IF($A155="","",TRIM(SUBSTITUTE(SUBSTITUTE(SUBSTITUTE(SUBSTITUTE(SUBSTITUTE(SUBSTITUTE(UPPER(IFERROR(INDEX('Base de Personas'!$H7:H21,MATCH($A155,'Base de Personas'!$B7:B21,0)),IFERROR(INDEX($G$5:G154,MATCH($A155,$A$5:A154,0)),""))),"Á","A"),"É","E"),"Í","I"),"Ó","O"),"Ú","U"),"Ü","U")))</f>
        <v/>
      </c>
      <c r="H155" s="38" t="str">
        <f aca="false">IF($A155="","",IFERROR(INDEX('Base de Personas'!$I$7:$I$21,MATCH($A155,'Base de Personas'!$B$7:$B$21,0)),IFERROR(INDEX($H$5:H154,MATCH($A155,$A$5:A154,0)),"")))</f>
        <v/>
      </c>
      <c r="I155" s="39"/>
      <c r="J155" s="40"/>
      <c r="K155" s="40"/>
      <c r="L155" s="39"/>
      <c r="M155" s="41" t="str">
        <f aca="false">IF($A155="","",IF(K155=_xlfn.MAXIFS($K$5:$K$304,$A$5:$A$304,$A155),1,0))</f>
        <v/>
      </c>
      <c r="N155" s="41" t="str">
        <f aca="false">IF($A155="","",IF(M155=1,$A155&amp;"-ACT",""))</f>
        <v/>
      </c>
      <c r="O155" s="41" t="str">
        <f aca="false">IF($A155="","",IF(AND(COUNTIF('Base de Personas'!$B$7:$B$21,$A155)=0,COUNTIF($A$5:A155,$A155)=1),1,0))</f>
        <v/>
      </c>
      <c r="P155" s="41" t="str">
        <f aca="false">IF(O155=1,SUM($O$5:O155),"")</f>
        <v/>
      </c>
    </row>
    <row r="156" customFormat="false" ht="15" hidden="false" customHeight="false" outlineLevel="0" collapsed="false">
      <c r="A156" s="35"/>
      <c r="B156" s="36" t="str">
        <f aca="false">IF($A156="","",TRIM(SUBSTITUTE(SUBSTITUTE(SUBSTITUTE(SUBSTITUTE(SUBSTITUTE(SUBSTITUTE(UPPER(IFERROR(INDEX('Base de Personas'!$C7:C21,MATCH($A156,'Base de Personas'!$B7:B21,0)),IFERROR(INDEX($B$5:B155,MATCH($A156,$A$5:A155,0)),""))),"Á","A"),"É","E"),"Í","I"),"Ó","O"),"Ú","U"),"Ü","U")))</f>
        <v/>
      </c>
      <c r="C156" s="37" t="str">
        <f aca="false">IF($A156="","",TRIM(SUBSTITUTE(SUBSTITUTE(SUBSTITUTE(SUBSTITUTE(SUBSTITUTE(SUBSTITUTE(UPPER(IFERROR(INDEX('Base de Personas'!$D7:D21,MATCH($A156,'Base de Personas'!$B7:B21,0)),IFERROR(INDEX($C$5:C155,MATCH($A156,$A$5:A155,0)),""))),"Á","A"),"É","E"),"Í","I"),"Ó","O"),"Ú","U"),"Ü","U")))</f>
        <v/>
      </c>
      <c r="D156" s="36" t="str">
        <f aca="false">IF($A156="","",TRIM(SUBSTITUTE(SUBSTITUTE(SUBSTITUTE(SUBSTITUTE(SUBSTITUTE(SUBSTITUTE(UPPER(IFERROR(INDEX('Base de Personas'!$E7:E21,MATCH($A156,'Base de Personas'!$B7:B21,0)),IFERROR(INDEX($D$5:D155,MATCH($A156,$A$5:A155,0)),""))),"Á","A"),"É","E"),"Í","I"),"Ó","O"),"Ú","U"),"Ü","U")))</f>
        <v/>
      </c>
      <c r="E156" s="36" t="str">
        <f aca="false">IF($A156="","",TRIM(SUBSTITUTE(SUBSTITUTE(SUBSTITUTE(SUBSTITUTE(SUBSTITUTE(SUBSTITUTE(UPPER(IFERROR(INDEX('Base de Personas'!$F7:F21,MATCH($A156,'Base de Personas'!$B7:B21,0)),IFERROR(INDEX($E$5:E155,MATCH($A156,$A$5:A155,0)),""))),"Á","A"),"É","E"),"Í","I"),"Ó","O"),"Ú","U"),"Ü","U")))</f>
        <v/>
      </c>
      <c r="F156" s="36" t="str">
        <f aca="false">IF($A156="","",TRIM(SUBSTITUTE(SUBSTITUTE(SUBSTITUTE(SUBSTITUTE(SUBSTITUTE(SUBSTITUTE(UPPER(IFERROR(INDEX('Base de Personas'!$G7:G21,MATCH($A156,'Base de Personas'!$B7:B21,0)),IFERROR(INDEX($F$5:F155,MATCH($A156,$A$5:A155,0)),""))),"Á","A"),"É","E"),"Í","I"),"Ó","O"),"Ú","U"),"Ü","U")))</f>
        <v/>
      </c>
      <c r="G156" s="37" t="str">
        <f aca="false">IF($A156="","",TRIM(SUBSTITUTE(SUBSTITUTE(SUBSTITUTE(SUBSTITUTE(SUBSTITUTE(SUBSTITUTE(UPPER(IFERROR(INDEX('Base de Personas'!$H7:H21,MATCH($A156,'Base de Personas'!$B7:B21,0)),IFERROR(INDEX($G$5:G155,MATCH($A156,$A$5:A155,0)),""))),"Á","A"),"É","E"),"Í","I"),"Ó","O"),"Ú","U"),"Ü","U")))</f>
        <v/>
      </c>
      <c r="H156" s="38" t="str">
        <f aca="false">IF($A156="","",IFERROR(INDEX('Base de Personas'!$I$7:$I$21,MATCH($A156,'Base de Personas'!$B$7:$B$21,0)),IFERROR(INDEX($H$5:H155,MATCH($A156,$A$5:A155,0)),"")))</f>
        <v/>
      </c>
      <c r="I156" s="39"/>
      <c r="J156" s="40"/>
      <c r="K156" s="40"/>
      <c r="L156" s="39"/>
      <c r="M156" s="41" t="str">
        <f aca="false">IF($A156="","",IF(K156=_xlfn.MAXIFS($K$5:$K$304,$A$5:$A$304,$A156),1,0))</f>
        <v/>
      </c>
      <c r="N156" s="41" t="str">
        <f aca="false">IF($A156="","",IF(M156=1,$A156&amp;"-ACT",""))</f>
        <v/>
      </c>
      <c r="O156" s="41" t="str">
        <f aca="false">IF($A156="","",IF(AND(COUNTIF('Base de Personas'!$B$7:$B$21,$A156)=0,COUNTIF($A$5:A156,$A156)=1),1,0))</f>
        <v/>
      </c>
      <c r="P156" s="41" t="str">
        <f aca="false">IF(O156=1,SUM($O$5:O156),"")</f>
        <v/>
      </c>
    </row>
    <row r="157" customFormat="false" ht="15" hidden="false" customHeight="false" outlineLevel="0" collapsed="false">
      <c r="A157" s="35"/>
      <c r="B157" s="36" t="str">
        <f aca="false">IF($A157="","",TRIM(SUBSTITUTE(SUBSTITUTE(SUBSTITUTE(SUBSTITUTE(SUBSTITUTE(SUBSTITUTE(UPPER(IFERROR(INDEX('Base de Personas'!$C7:C21,MATCH($A157,'Base de Personas'!$B7:B21,0)),IFERROR(INDEX($B$5:B156,MATCH($A157,$A$5:A156,0)),""))),"Á","A"),"É","E"),"Í","I"),"Ó","O"),"Ú","U"),"Ü","U")))</f>
        <v/>
      </c>
      <c r="C157" s="37" t="str">
        <f aca="false">IF($A157="","",TRIM(SUBSTITUTE(SUBSTITUTE(SUBSTITUTE(SUBSTITUTE(SUBSTITUTE(SUBSTITUTE(UPPER(IFERROR(INDEX('Base de Personas'!$D7:D21,MATCH($A157,'Base de Personas'!$B7:B21,0)),IFERROR(INDEX($C$5:C156,MATCH($A157,$A$5:A156,0)),""))),"Á","A"),"É","E"),"Í","I"),"Ó","O"),"Ú","U"),"Ü","U")))</f>
        <v/>
      </c>
      <c r="D157" s="36" t="str">
        <f aca="false">IF($A157="","",TRIM(SUBSTITUTE(SUBSTITUTE(SUBSTITUTE(SUBSTITUTE(SUBSTITUTE(SUBSTITUTE(UPPER(IFERROR(INDEX('Base de Personas'!$E7:E21,MATCH($A157,'Base de Personas'!$B7:B21,0)),IFERROR(INDEX($D$5:D156,MATCH($A157,$A$5:A156,0)),""))),"Á","A"),"É","E"),"Í","I"),"Ó","O"),"Ú","U"),"Ü","U")))</f>
        <v/>
      </c>
      <c r="E157" s="36" t="str">
        <f aca="false">IF($A157="","",TRIM(SUBSTITUTE(SUBSTITUTE(SUBSTITUTE(SUBSTITUTE(SUBSTITUTE(SUBSTITUTE(UPPER(IFERROR(INDEX('Base de Personas'!$F7:F21,MATCH($A157,'Base de Personas'!$B7:B21,0)),IFERROR(INDEX($E$5:E156,MATCH($A157,$A$5:A156,0)),""))),"Á","A"),"É","E"),"Í","I"),"Ó","O"),"Ú","U"),"Ü","U")))</f>
        <v/>
      </c>
      <c r="F157" s="36" t="str">
        <f aca="false">IF($A157="","",TRIM(SUBSTITUTE(SUBSTITUTE(SUBSTITUTE(SUBSTITUTE(SUBSTITUTE(SUBSTITUTE(UPPER(IFERROR(INDEX('Base de Personas'!$G7:G21,MATCH($A157,'Base de Personas'!$B7:B21,0)),IFERROR(INDEX($F$5:F156,MATCH($A157,$A$5:A156,0)),""))),"Á","A"),"É","E"),"Í","I"),"Ó","O"),"Ú","U"),"Ü","U")))</f>
        <v/>
      </c>
      <c r="G157" s="37" t="str">
        <f aca="false">IF($A157="","",TRIM(SUBSTITUTE(SUBSTITUTE(SUBSTITUTE(SUBSTITUTE(SUBSTITUTE(SUBSTITUTE(UPPER(IFERROR(INDEX('Base de Personas'!$H7:H21,MATCH($A157,'Base de Personas'!$B7:B21,0)),IFERROR(INDEX($G$5:G156,MATCH($A157,$A$5:A156,0)),""))),"Á","A"),"É","E"),"Í","I"),"Ó","O"),"Ú","U"),"Ü","U")))</f>
        <v/>
      </c>
      <c r="H157" s="38" t="str">
        <f aca="false">IF($A157="","",IFERROR(INDEX('Base de Personas'!$I$7:$I$21,MATCH($A157,'Base de Personas'!$B$7:$B$21,0)),IFERROR(INDEX($H$5:H156,MATCH($A157,$A$5:A156,0)),"")))</f>
        <v/>
      </c>
      <c r="I157" s="39"/>
      <c r="J157" s="40"/>
      <c r="K157" s="40"/>
      <c r="L157" s="39"/>
      <c r="M157" s="41" t="str">
        <f aca="false">IF($A157="","",IF(K157=_xlfn.MAXIFS($K$5:$K$304,$A$5:$A$304,$A157),1,0))</f>
        <v/>
      </c>
      <c r="N157" s="41" t="str">
        <f aca="false">IF($A157="","",IF(M157=1,$A157&amp;"-ACT",""))</f>
        <v/>
      </c>
      <c r="O157" s="41" t="str">
        <f aca="false">IF($A157="","",IF(AND(COUNTIF('Base de Personas'!$B$7:$B$21,$A157)=0,COUNTIF($A$5:A157,$A157)=1),1,0))</f>
        <v/>
      </c>
      <c r="P157" s="41" t="str">
        <f aca="false">IF(O157=1,SUM($O$5:O157),"")</f>
        <v/>
      </c>
    </row>
    <row r="158" customFormat="false" ht="15" hidden="false" customHeight="false" outlineLevel="0" collapsed="false">
      <c r="A158" s="35"/>
      <c r="B158" s="36" t="str">
        <f aca="false">IF($A158="","",TRIM(SUBSTITUTE(SUBSTITUTE(SUBSTITUTE(SUBSTITUTE(SUBSTITUTE(SUBSTITUTE(UPPER(IFERROR(INDEX('Base de Personas'!$C7:C21,MATCH($A158,'Base de Personas'!$B7:B21,0)),IFERROR(INDEX($B$5:B157,MATCH($A158,$A$5:A157,0)),""))),"Á","A"),"É","E"),"Í","I"),"Ó","O"),"Ú","U"),"Ü","U")))</f>
        <v/>
      </c>
      <c r="C158" s="37" t="str">
        <f aca="false">IF($A158="","",TRIM(SUBSTITUTE(SUBSTITUTE(SUBSTITUTE(SUBSTITUTE(SUBSTITUTE(SUBSTITUTE(UPPER(IFERROR(INDEX('Base de Personas'!$D7:D21,MATCH($A158,'Base de Personas'!$B7:B21,0)),IFERROR(INDEX($C$5:C157,MATCH($A158,$A$5:A157,0)),""))),"Á","A"),"É","E"),"Í","I"),"Ó","O"),"Ú","U"),"Ü","U")))</f>
        <v/>
      </c>
      <c r="D158" s="36" t="str">
        <f aca="false">IF($A158="","",TRIM(SUBSTITUTE(SUBSTITUTE(SUBSTITUTE(SUBSTITUTE(SUBSTITUTE(SUBSTITUTE(UPPER(IFERROR(INDEX('Base de Personas'!$E7:E21,MATCH($A158,'Base de Personas'!$B7:B21,0)),IFERROR(INDEX($D$5:D157,MATCH($A158,$A$5:A157,0)),""))),"Á","A"),"É","E"),"Í","I"),"Ó","O"),"Ú","U"),"Ü","U")))</f>
        <v/>
      </c>
      <c r="E158" s="36" t="str">
        <f aca="false">IF($A158="","",TRIM(SUBSTITUTE(SUBSTITUTE(SUBSTITUTE(SUBSTITUTE(SUBSTITUTE(SUBSTITUTE(UPPER(IFERROR(INDEX('Base de Personas'!$F7:F21,MATCH($A158,'Base de Personas'!$B7:B21,0)),IFERROR(INDEX($E$5:E157,MATCH($A158,$A$5:A157,0)),""))),"Á","A"),"É","E"),"Í","I"),"Ó","O"),"Ú","U"),"Ü","U")))</f>
        <v/>
      </c>
      <c r="F158" s="36" t="str">
        <f aca="false">IF($A158="","",TRIM(SUBSTITUTE(SUBSTITUTE(SUBSTITUTE(SUBSTITUTE(SUBSTITUTE(SUBSTITUTE(UPPER(IFERROR(INDEX('Base de Personas'!$G7:G21,MATCH($A158,'Base de Personas'!$B7:B21,0)),IFERROR(INDEX($F$5:F157,MATCH($A158,$A$5:A157,0)),""))),"Á","A"),"É","E"),"Í","I"),"Ó","O"),"Ú","U"),"Ü","U")))</f>
        <v/>
      </c>
      <c r="G158" s="37" t="str">
        <f aca="false">IF($A158="","",TRIM(SUBSTITUTE(SUBSTITUTE(SUBSTITUTE(SUBSTITUTE(SUBSTITUTE(SUBSTITUTE(UPPER(IFERROR(INDEX('Base de Personas'!$H7:H21,MATCH($A158,'Base de Personas'!$B7:B21,0)),IFERROR(INDEX($G$5:G157,MATCH($A158,$A$5:A157,0)),""))),"Á","A"),"É","E"),"Í","I"),"Ó","O"),"Ú","U"),"Ü","U")))</f>
        <v/>
      </c>
      <c r="H158" s="38" t="str">
        <f aca="false">IF($A158="","",IFERROR(INDEX('Base de Personas'!$I$7:$I$21,MATCH($A158,'Base de Personas'!$B$7:$B$21,0)),IFERROR(INDEX($H$5:H157,MATCH($A158,$A$5:A157,0)),"")))</f>
        <v/>
      </c>
      <c r="I158" s="39"/>
      <c r="J158" s="40"/>
      <c r="K158" s="40"/>
      <c r="L158" s="39"/>
      <c r="M158" s="41" t="str">
        <f aca="false">IF($A158="","",IF(K158=_xlfn.MAXIFS($K$5:$K$304,$A$5:$A$304,$A158),1,0))</f>
        <v/>
      </c>
      <c r="N158" s="41" t="str">
        <f aca="false">IF($A158="","",IF(M158=1,$A158&amp;"-ACT",""))</f>
        <v/>
      </c>
      <c r="O158" s="41" t="str">
        <f aca="false">IF($A158="","",IF(AND(COUNTIF('Base de Personas'!$B$7:$B$21,$A158)=0,COUNTIF($A$5:A158,$A158)=1),1,0))</f>
        <v/>
      </c>
      <c r="P158" s="41" t="str">
        <f aca="false">IF(O158=1,SUM($O$5:O158),"")</f>
        <v/>
      </c>
    </row>
    <row r="159" customFormat="false" ht="15" hidden="false" customHeight="false" outlineLevel="0" collapsed="false">
      <c r="A159" s="35"/>
      <c r="B159" s="36" t="str">
        <f aca="false">IF($A159="","",TRIM(SUBSTITUTE(SUBSTITUTE(SUBSTITUTE(SUBSTITUTE(SUBSTITUTE(SUBSTITUTE(UPPER(IFERROR(INDEX('Base de Personas'!$C7:C21,MATCH($A159,'Base de Personas'!$B7:B21,0)),IFERROR(INDEX($B$5:B158,MATCH($A159,$A$5:A158,0)),""))),"Á","A"),"É","E"),"Í","I"),"Ó","O"),"Ú","U"),"Ü","U")))</f>
        <v/>
      </c>
      <c r="C159" s="37" t="str">
        <f aca="false">IF($A159="","",TRIM(SUBSTITUTE(SUBSTITUTE(SUBSTITUTE(SUBSTITUTE(SUBSTITUTE(SUBSTITUTE(UPPER(IFERROR(INDEX('Base de Personas'!$D7:D21,MATCH($A159,'Base de Personas'!$B7:B21,0)),IFERROR(INDEX($C$5:C158,MATCH($A159,$A$5:A158,0)),""))),"Á","A"),"É","E"),"Í","I"),"Ó","O"),"Ú","U"),"Ü","U")))</f>
        <v/>
      </c>
      <c r="D159" s="36" t="str">
        <f aca="false">IF($A159="","",TRIM(SUBSTITUTE(SUBSTITUTE(SUBSTITUTE(SUBSTITUTE(SUBSTITUTE(SUBSTITUTE(UPPER(IFERROR(INDEX('Base de Personas'!$E7:E21,MATCH($A159,'Base de Personas'!$B7:B21,0)),IFERROR(INDEX($D$5:D158,MATCH($A159,$A$5:A158,0)),""))),"Á","A"),"É","E"),"Í","I"),"Ó","O"),"Ú","U"),"Ü","U")))</f>
        <v/>
      </c>
      <c r="E159" s="36" t="str">
        <f aca="false">IF($A159="","",TRIM(SUBSTITUTE(SUBSTITUTE(SUBSTITUTE(SUBSTITUTE(SUBSTITUTE(SUBSTITUTE(UPPER(IFERROR(INDEX('Base de Personas'!$F7:F21,MATCH($A159,'Base de Personas'!$B7:B21,0)),IFERROR(INDEX($E$5:E158,MATCH($A159,$A$5:A158,0)),""))),"Á","A"),"É","E"),"Í","I"),"Ó","O"),"Ú","U"),"Ü","U")))</f>
        <v/>
      </c>
      <c r="F159" s="36" t="str">
        <f aca="false">IF($A159="","",TRIM(SUBSTITUTE(SUBSTITUTE(SUBSTITUTE(SUBSTITUTE(SUBSTITUTE(SUBSTITUTE(UPPER(IFERROR(INDEX('Base de Personas'!$G7:G21,MATCH($A159,'Base de Personas'!$B7:B21,0)),IFERROR(INDEX($F$5:F158,MATCH($A159,$A$5:A158,0)),""))),"Á","A"),"É","E"),"Í","I"),"Ó","O"),"Ú","U"),"Ü","U")))</f>
        <v/>
      </c>
      <c r="G159" s="37" t="str">
        <f aca="false">IF($A159="","",TRIM(SUBSTITUTE(SUBSTITUTE(SUBSTITUTE(SUBSTITUTE(SUBSTITUTE(SUBSTITUTE(UPPER(IFERROR(INDEX('Base de Personas'!$H7:H21,MATCH($A159,'Base de Personas'!$B7:B21,0)),IFERROR(INDEX($G$5:G158,MATCH($A159,$A$5:A158,0)),""))),"Á","A"),"É","E"),"Í","I"),"Ó","O"),"Ú","U"),"Ü","U")))</f>
        <v/>
      </c>
      <c r="H159" s="38" t="str">
        <f aca="false">IF($A159="","",IFERROR(INDEX('Base de Personas'!$I$7:$I$21,MATCH($A159,'Base de Personas'!$B$7:$B$21,0)),IFERROR(INDEX($H$5:H158,MATCH($A159,$A$5:A158,0)),"")))</f>
        <v/>
      </c>
      <c r="I159" s="39"/>
      <c r="J159" s="40"/>
      <c r="K159" s="40"/>
      <c r="L159" s="39"/>
      <c r="M159" s="41" t="str">
        <f aca="false">IF($A159="","",IF(K159=_xlfn.MAXIFS($K$5:$K$304,$A$5:$A$304,$A159),1,0))</f>
        <v/>
      </c>
      <c r="N159" s="41" t="str">
        <f aca="false">IF($A159="","",IF(M159=1,$A159&amp;"-ACT",""))</f>
        <v/>
      </c>
      <c r="O159" s="41" t="str">
        <f aca="false">IF($A159="","",IF(AND(COUNTIF('Base de Personas'!$B$7:$B$21,$A159)=0,COUNTIF($A$5:A159,$A159)=1),1,0))</f>
        <v/>
      </c>
      <c r="P159" s="41" t="str">
        <f aca="false">IF(O159=1,SUM($O$5:O159),"")</f>
        <v/>
      </c>
    </row>
    <row r="160" customFormat="false" ht="15" hidden="false" customHeight="false" outlineLevel="0" collapsed="false">
      <c r="A160" s="35"/>
      <c r="B160" s="36" t="str">
        <f aca="false">IF($A160="","",TRIM(SUBSTITUTE(SUBSTITUTE(SUBSTITUTE(SUBSTITUTE(SUBSTITUTE(SUBSTITUTE(UPPER(IFERROR(INDEX('Base de Personas'!$C7:C21,MATCH($A160,'Base de Personas'!$B7:B21,0)),IFERROR(INDEX($B$5:B159,MATCH($A160,$A$5:A159,0)),""))),"Á","A"),"É","E"),"Í","I"),"Ó","O"),"Ú","U"),"Ü","U")))</f>
        <v/>
      </c>
      <c r="C160" s="37" t="str">
        <f aca="false">IF($A160="","",TRIM(SUBSTITUTE(SUBSTITUTE(SUBSTITUTE(SUBSTITUTE(SUBSTITUTE(SUBSTITUTE(UPPER(IFERROR(INDEX('Base de Personas'!$D7:D21,MATCH($A160,'Base de Personas'!$B7:B21,0)),IFERROR(INDEX($C$5:C159,MATCH($A160,$A$5:A159,0)),""))),"Á","A"),"É","E"),"Í","I"),"Ó","O"),"Ú","U"),"Ü","U")))</f>
        <v/>
      </c>
      <c r="D160" s="36" t="str">
        <f aca="false">IF($A160="","",TRIM(SUBSTITUTE(SUBSTITUTE(SUBSTITUTE(SUBSTITUTE(SUBSTITUTE(SUBSTITUTE(UPPER(IFERROR(INDEX('Base de Personas'!$E7:E21,MATCH($A160,'Base de Personas'!$B7:B21,0)),IFERROR(INDEX($D$5:D159,MATCH($A160,$A$5:A159,0)),""))),"Á","A"),"É","E"),"Í","I"),"Ó","O"),"Ú","U"),"Ü","U")))</f>
        <v/>
      </c>
      <c r="E160" s="36" t="str">
        <f aca="false">IF($A160="","",TRIM(SUBSTITUTE(SUBSTITUTE(SUBSTITUTE(SUBSTITUTE(SUBSTITUTE(SUBSTITUTE(UPPER(IFERROR(INDEX('Base de Personas'!$F7:F21,MATCH($A160,'Base de Personas'!$B7:B21,0)),IFERROR(INDEX($E$5:E159,MATCH($A160,$A$5:A159,0)),""))),"Á","A"),"É","E"),"Í","I"),"Ó","O"),"Ú","U"),"Ü","U")))</f>
        <v/>
      </c>
      <c r="F160" s="36" t="str">
        <f aca="false">IF($A160="","",TRIM(SUBSTITUTE(SUBSTITUTE(SUBSTITUTE(SUBSTITUTE(SUBSTITUTE(SUBSTITUTE(UPPER(IFERROR(INDEX('Base de Personas'!$G7:G21,MATCH($A160,'Base de Personas'!$B7:B21,0)),IFERROR(INDEX($F$5:F159,MATCH($A160,$A$5:A159,0)),""))),"Á","A"),"É","E"),"Í","I"),"Ó","O"),"Ú","U"),"Ü","U")))</f>
        <v/>
      </c>
      <c r="G160" s="37" t="str">
        <f aca="false">IF($A160="","",TRIM(SUBSTITUTE(SUBSTITUTE(SUBSTITUTE(SUBSTITUTE(SUBSTITUTE(SUBSTITUTE(UPPER(IFERROR(INDEX('Base de Personas'!$H7:H21,MATCH($A160,'Base de Personas'!$B7:B21,0)),IFERROR(INDEX($G$5:G159,MATCH($A160,$A$5:A159,0)),""))),"Á","A"),"É","E"),"Í","I"),"Ó","O"),"Ú","U"),"Ü","U")))</f>
        <v/>
      </c>
      <c r="H160" s="38" t="str">
        <f aca="false">IF($A160="","",IFERROR(INDEX('Base de Personas'!$I$7:$I$21,MATCH($A160,'Base de Personas'!$B$7:$B$21,0)),IFERROR(INDEX($H$5:H159,MATCH($A160,$A$5:A159,0)),"")))</f>
        <v/>
      </c>
      <c r="I160" s="39"/>
      <c r="J160" s="40"/>
      <c r="K160" s="40"/>
      <c r="L160" s="39"/>
      <c r="M160" s="41" t="str">
        <f aca="false">IF($A160="","",IF(K160=_xlfn.MAXIFS($K$5:$K$304,$A$5:$A$304,$A160),1,0))</f>
        <v/>
      </c>
      <c r="N160" s="41" t="str">
        <f aca="false">IF($A160="","",IF(M160=1,$A160&amp;"-ACT",""))</f>
        <v/>
      </c>
      <c r="O160" s="41" t="str">
        <f aca="false">IF($A160="","",IF(AND(COUNTIF('Base de Personas'!$B$7:$B$21,$A160)=0,COUNTIF($A$5:A160,$A160)=1),1,0))</f>
        <v/>
      </c>
      <c r="P160" s="41" t="str">
        <f aca="false">IF(O160=1,SUM($O$5:O160),"")</f>
        <v/>
      </c>
    </row>
    <row r="161" customFormat="false" ht="15" hidden="false" customHeight="false" outlineLevel="0" collapsed="false">
      <c r="A161" s="35"/>
      <c r="B161" s="36" t="str">
        <f aca="false">IF($A161="","",TRIM(SUBSTITUTE(SUBSTITUTE(SUBSTITUTE(SUBSTITUTE(SUBSTITUTE(SUBSTITUTE(UPPER(IFERROR(INDEX('Base de Personas'!$C7:C21,MATCH($A161,'Base de Personas'!$B7:B21,0)),IFERROR(INDEX($B$5:B160,MATCH($A161,$A$5:A160,0)),""))),"Á","A"),"É","E"),"Í","I"),"Ó","O"),"Ú","U"),"Ü","U")))</f>
        <v/>
      </c>
      <c r="C161" s="37" t="str">
        <f aca="false">IF($A161="","",TRIM(SUBSTITUTE(SUBSTITUTE(SUBSTITUTE(SUBSTITUTE(SUBSTITUTE(SUBSTITUTE(UPPER(IFERROR(INDEX('Base de Personas'!$D7:D21,MATCH($A161,'Base de Personas'!$B7:B21,0)),IFERROR(INDEX($C$5:C160,MATCH($A161,$A$5:A160,0)),""))),"Á","A"),"É","E"),"Í","I"),"Ó","O"),"Ú","U"),"Ü","U")))</f>
        <v/>
      </c>
      <c r="D161" s="36" t="str">
        <f aca="false">IF($A161="","",TRIM(SUBSTITUTE(SUBSTITUTE(SUBSTITUTE(SUBSTITUTE(SUBSTITUTE(SUBSTITUTE(UPPER(IFERROR(INDEX('Base de Personas'!$E7:E21,MATCH($A161,'Base de Personas'!$B7:B21,0)),IFERROR(INDEX($D$5:D160,MATCH($A161,$A$5:A160,0)),""))),"Á","A"),"É","E"),"Í","I"),"Ó","O"),"Ú","U"),"Ü","U")))</f>
        <v/>
      </c>
      <c r="E161" s="36" t="str">
        <f aca="false">IF($A161="","",TRIM(SUBSTITUTE(SUBSTITUTE(SUBSTITUTE(SUBSTITUTE(SUBSTITUTE(SUBSTITUTE(UPPER(IFERROR(INDEX('Base de Personas'!$F7:F21,MATCH($A161,'Base de Personas'!$B7:B21,0)),IFERROR(INDEX($E$5:E160,MATCH($A161,$A$5:A160,0)),""))),"Á","A"),"É","E"),"Í","I"),"Ó","O"),"Ú","U"),"Ü","U")))</f>
        <v/>
      </c>
      <c r="F161" s="36" t="str">
        <f aca="false">IF($A161="","",TRIM(SUBSTITUTE(SUBSTITUTE(SUBSTITUTE(SUBSTITUTE(SUBSTITUTE(SUBSTITUTE(UPPER(IFERROR(INDEX('Base de Personas'!$G7:G21,MATCH($A161,'Base de Personas'!$B7:B21,0)),IFERROR(INDEX($F$5:F160,MATCH($A161,$A$5:A160,0)),""))),"Á","A"),"É","E"),"Í","I"),"Ó","O"),"Ú","U"),"Ü","U")))</f>
        <v/>
      </c>
      <c r="G161" s="37" t="str">
        <f aca="false">IF($A161="","",TRIM(SUBSTITUTE(SUBSTITUTE(SUBSTITUTE(SUBSTITUTE(SUBSTITUTE(SUBSTITUTE(UPPER(IFERROR(INDEX('Base de Personas'!$H7:H21,MATCH($A161,'Base de Personas'!$B7:B21,0)),IFERROR(INDEX($G$5:G160,MATCH($A161,$A$5:A160,0)),""))),"Á","A"),"É","E"),"Í","I"),"Ó","O"),"Ú","U"),"Ü","U")))</f>
        <v/>
      </c>
      <c r="H161" s="38" t="str">
        <f aca="false">IF($A161="","",IFERROR(INDEX('Base de Personas'!$I$7:$I$21,MATCH($A161,'Base de Personas'!$B$7:$B$21,0)),IFERROR(INDEX($H$5:H160,MATCH($A161,$A$5:A160,0)),"")))</f>
        <v/>
      </c>
      <c r="I161" s="39"/>
      <c r="J161" s="40"/>
      <c r="K161" s="40"/>
      <c r="L161" s="39"/>
      <c r="M161" s="41" t="str">
        <f aca="false">IF($A161="","",IF(K161=_xlfn.MAXIFS($K$5:$K$304,$A$5:$A$304,$A161),1,0))</f>
        <v/>
      </c>
      <c r="N161" s="41" t="str">
        <f aca="false">IF($A161="","",IF(M161=1,$A161&amp;"-ACT",""))</f>
        <v/>
      </c>
      <c r="O161" s="41" t="str">
        <f aca="false">IF($A161="","",IF(AND(COUNTIF('Base de Personas'!$B$7:$B$21,$A161)=0,COUNTIF($A$5:A161,$A161)=1),1,0))</f>
        <v/>
      </c>
      <c r="P161" s="41" t="str">
        <f aca="false">IF(O161=1,SUM($O$5:O161),"")</f>
        <v/>
      </c>
    </row>
    <row r="162" customFormat="false" ht="15" hidden="false" customHeight="false" outlineLevel="0" collapsed="false">
      <c r="A162" s="35"/>
      <c r="B162" s="36" t="str">
        <f aca="false">IF($A162="","",TRIM(SUBSTITUTE(SUBSTITUTE(SUBSTITUTE(SUBSTITUTE(SUBSTITUTE(SUBSTITUTE(UPPER(IFERROR(INDEX('Base de Personas'!$C7:C21,MATCH($A162,'Base de Personas'!$B7:B21,0)),IFERROR(INDEX($B$5:B161,MATCH($A162,$A$5:A161,0)),""))),"Á","A"),"É","E"),"Í","I"),"Ó","O"),"Ú","U"),"Ü","U")))</f>
        <v/>
      </c>
      <c r="C162" s="37" t="str">
        <f aca="false">IF($A162="","",TRIM(SUBSTITUTE(SUBSTITUTE(SUBSTITUTE(SUBSTITUTE(SUBSTITUTE(SUBSTITUTE(UPPER(IFERROR(INDEX('Base de Personas'!$D7:D21,MATCH($A162,'Base de Personas'!$B7:B21,0)),IFERROR(INDEX($C$5:C161,MATCH($A162,$A$5:A161,0)),""))),"Á","A"),"É","E"),"Í","I"),"Ó","O"),"Ú","U"),"Ü","U")))</f>
        <v/>
      </c>
      <c r="D162" s="36" t="str">
        <f aca="false">IF($A162="","",TRIM(SUBSTITUTE(SUBSTITUTE(SUBSTITUTE(SUBSTITUTE(SUBSTITUTE(SUBSTITUTE(UPPER(IFERROR(INDEX('Base de Personas'!$E7:E21,MATCH($A162,'Base de Personas'!$B7:B21,0)),IFERROR(INDEX($D$5:D161,MATCH($A162,$A$5:A161,0)),""))),"Á","A"),"É","E"),"Í","I"),"Ó","O"),"Ú","U"),"Ü","U")))</f>
        <v/>
      </c>
      <c r="E162" s="36" t="str">
        <f aca="false">IF($A162="","",TRIM(SUBSTITUTE(SUBSTITUTE(SUBSTITUTE(SUBSTITUTE(SUBSTITUTE(SUBSTITUTE(UPPER(IFERROR(INDEX('Base de Personas'!$F7:F21,MATCH($A162,'Base de Personas'!$B7:B21,0)),IFERROR(INDEX($E$5:E161,MATCH($A162,$A$5:A161,0)),""))),"Á","A"),"É","E"),"Í","I"),"Ó","O"),"Ú","U"),"Ü","U")))</f>
        <v/>
      </c>
      <c r="F162" s="36" t="str">
        <f aca="false">IF($A162="","",TRIM(SUBSTITUTE(SUBSTITUTE(SUBSTITUTE(SUBSTITUTE(SUBSTITUTE(SUBSTITUTE(UPPER(IFERROR(INDEX('Base de Personas'!$G7:G21,MATCH($A162,'Base de Personas'!$B7:B21,0)),IFERROR(INDEX($F$5:F161,MATCH($A162,$A$5:A161,0)),""))),"Á","A"),"É","E"),"Í","I"),"Ó","O"),"Ú","U"),"Ü","U")))</f>
        <v/>
      </c>
      <c r="G162" s="37" t="str">
        <f aca="false">IF($A162="","",TRIM(SUBSTITUTE(SUBSTITUTE(SUBSTITUTE(SUBSTITUTE(SUBSTITUTE(SUBSTITUTE(UPPER(IFERROR(INDEX('Base de Personas'!$H7:H21,MATCH($A162,'Base de Personas'!$B7:B21,0)),IFERROR(INDEX($G$5:G161,MATCH($A162,$A$5:A161,0)),""))),"Á","A"),"É","E"),"Í","I"),"Ó","O"),"Ú","U"),"Ü","U")))</f>
        <v/>
      </c>
      <c r="H162" s="38" t="str">
        <f aca="false">IF($A162="","",IFERROR(INDEX('Base de Personas'!$I$7:$I$21,MATCH($A162,'Base de Personas'!$B$7:$B$21,0)),IFERROR(INDEX($H$5:H161,MATCH($A162,$A$5:A161,0)),"")))</f>
        <v/>
      </c>
      <c r="I162" s="39"/>
      <c r="J162" s="40"/>
      <c r="K162" s="40"/>
      <c r="L162" s="39"/>
      <c r="M162" s="41" t="str">
        <f aca="false">IF($A162="","",IF(K162=_xlfn.MAXIFS($K$5:$K$304,$A$5:$A$304,$A162),1,0))</f>
        <v/>
      </c>
      <c r="N162" s="41" t="str">
        <f aca="false">IF($A162="","",IF(M162=1,$A162&amp;"-ACT",""))</f>
        <v/>
      </c>
      <c r="O162" s="41" t="str">
        <f aca="false">IF($A162="","",IF(AND(COUNTIF('Base de Personas'!$B$7:$B$21,$A162)=0,COUNTIF($A$5:A162,$A162)=1),1,0))</f>
        <v/>
      </c>
      <c r="P162" s="41" t="str">
        <f aca="false">IF(O162=1,SUM($O$5:O162),"")</f>
        <v/>
      </c>
    </row>
    <row r="163" customFormat="false" ht="15" hidden="false" customHeight="false" outlineLevel="0" collapsed="false">
      <c r="A163" s="35"/>
      <c r="B163" s="36" t="str">
        <f aca="false">IF($A163="","",TRIM(SUBSTITUTE(SUBSTITUTE(SUBSTITUTE(SUBSTITUTE(SUBSTITUTE(SUBSTITUTE(UPPER(IFERROR(INDEX('Base de Personas'!$C7:C21,MATCH($A163,'Base de Personas'!$B7:B21,0)),IFERROR(INDEX($B$5:B162,MATCH($A163,$A$5:A162,0)),""))),"Á","A"),"É","E"),"Í","I"),"Ó","O"),"Ú","U"),"Ü","U")))</f>
        <v/>
      </c>
      <c r="C163" s="37" t="str">
        <f aca="false">IF($A163="","",TRIM(SUBSTITUTE(SUBSTITUTE(SUBSTITUTE(SUBSTITUTE(SUBSTITUTE(SUBSTITUTE(UPPER(IFERROR(INDEX('Base de Personas'!$D7:D21,MATCH($A163,'Base de Personas'!$B7:B21,0)),IFERROR(INDEX($C$5:C162,MATCH($A163,$A$5:A162,0)),""))),"Á","A"),"É","E"),"Í","I"),"Ó","O"),"Ú","U"),"Ü","U")))</f>
        <v/>
      </c>
      <c r="D163" s="36" t="str">
        <f aca="false">IF($A163="","",TRIM(SUBSTITUTE(SUBSTITUTE(SUBSTITUTE(SUBSTITUTE(SUBSTITUTE(SUBSTITUTE(UPPER(IFERROR(INDEX('Base de Personas'!$E7:E21,MATCH($A163,'Base de Personas'!$B7:B21,0)),IFERROR(INDEX($D$5:D162,MATCH($A163,$A$5:A162,0)),""))),"Á","A"),"É","E"),"Í","I"),"Ó","O"),"Ú","U"),"Ü","U")))</f>
        <v/>
      </c>
      <c r="E163" s="36" t="str">
        <f aca="false">IF($A163="","",TRIM(SUBSTITUTE(SUBSTITUTE(SUBSTITUTE(SUBSTITUTE(SUBSTITUTE(SUBSTITUTE(UPPER(IFERROR(INDEX('Base de Personas'!$F7:F21,MATCH($A163,'Base de Personas'!$B7:B21,0)),IFERROR(INDEX($E$5:E162,MATCH($A163,$A$5:A162,0)),""))),"Á","A"),"É","E"),"Í","I"),"Ó","O"),"Ú","U"),"Ü","U")))</f>
        <v/>
      </c>
      <c r="F163" s="36" t="str">
        <f aca="false">IF($A163="","",TRIM(SUBSTITUTE(SUBSTITUTE(SUBSTITUTE(SUBSTITUTE(SUBSTITUTE(SUBSTITUTE(UPPER(IFERROR(INDEX('Base de Personas'!$G7:G21,MATCH($A163,'Base de Personas'!$B7:B21,0)),IFERROR(INDEX($F$5:F162,MATCH($A163,$A$5:A162,0)),""))),"Á","A"),"É","E"),"Í","I"),"Ó","O"),"Ú","U"),"Ü","U")))</f>
        <v/>
      </c>
      <c r="G163" s="37" t="str">
        <f aca="false">IF($A163="","",TRIM(SUBSTITUTE(SUBSTITUTE(SUBSTITUTE(SUBSTITUTE(SUBSTITUTE(SUBSTITUTE(UPPER(IFERROR(INDEX('Base de Personas'!$H7:H21,MATCH($A163,'Base de Personas'!$B7:B21,0)),IFERROR(INDEX($G$5:G162,MATCH($A163,$A$5:A162,0)),""))),"Á","A"),"É","E"),"Í","I"),"Ó","O"),"Ú","U"),"Ü","U")))</f>
        <v/>
      </c>
      <c r="H163" s="38" t="str">
        <f aca="false">IF($A163="","",IFERROR(INDEX('Base de Personas'!$I$7:$I$21,MATCH($A163,'Base de Personas'!$B$7:$B$21,0)),IFERROR(INDEX($H$5:H162,MATCH($A163,$A$5:A162,0)),"")))</f>
        <v/>
      </c>
      <c r="I163" s="39"/>
      <c r="J163" s="40"/>
      <c r="K163" s="40"/>
      <c r="L163" s="39"/>
      <c r="M163" s="41" t="str">
        <f aca="false">IF($A163="","",IF(K163=_xlfn.MAXIFS($K$5:$K$304,$A$5:$A$304,$A163),1,0))</f>
        <v/>
      </c>
      <c r="N163" s="41" t="str">
        <f aca="false">IF($A163="","",IF(M163=1,$A163&amp;"-ACT",""))</f>
        <v/>
      </c>
      <c r="O163" s="41" t="str">
        <f aca="false">IF($A163="","",IF(AND(COUNTIF('Base de Personas'!$B$7:$B$21,$A163)=0,COUNTIF($A$5:A163,$A163)=1),1,0))</f>
        <v/>
      </c>
      <c r="P163" s="41" t="str">
        <f aca="false">IF(O163=1,SUM($O$5:O163),"")</f>
        <v/>
      </c>
    </row>
    <row r="164" customFormat="false" ht="15" hidden="false" customHeight="false" outlineLevel="0" collapsed="false">
      <c r="A164" s="35"/>
      <c r="B164" s="36" t="str">
        <f aca="false">IF($A164="","",TRIM(SUBSTITUTE(SUBSTITUTE(SUBSTITUTE(SUBSTITUTE(SUBSTITUTE(SUBSTITUTE(UPPER(IFERROR(INDEX('Base de Personas'!$C7:C21,MATCH($A164,'Base de Personas'!$B7:B21,0)),IFERROR(INDEX($B$5:B163,MATCH($A164,$A$5:A163,0)),""))),"Á","A"),"É","E"),"Í","I"),"Ó","O"),"Ú","U"),"Ü","U")))</f>
        <v/>
      </c>
      <c r="C164" s="37" t="str">
        <f aca="false">IF($A164="","",TRIM(SUBSTITUTE(SUBSTITUTE(SUBSTITUTE(SUBSTITUTE(SUBSTITUTE(SUBSTITUTE(UPPER(IFERROR(INDEX('Base de Personas'!$D7:D21,MATCH($A164,'Base de Personas'!$B7:B21,0)),IFERROR(INDEX($C$5:C163,MATCH($A164,$A$5:A163,0)),""))),"Á","A"),"É","E"),"Í","I"),"Ó","O"),"Ú","U"),"Ü","U")))</f>
        <v/>
      </c>
      <c r="D164" s="36" t="str">
        <f aca="false">IF($A164="","",TRIM(SUBSTITUTE(SUBSTITUTE(SUBSTITUTE(SUBSTITUTE(SUBSTITUTE(SUBSTITUTE(UPPER(IFERROR(INDEX('Base de Personas'!$E7:E21,MATCH($A164,'Base de Personas'!$B7:B21,0)),IFERROR(INDEX($D$5:D163,MATCH($A164,$A$5:A163,0)),""))),"Á","A"),"É","E"),"Í","I"),"Ó","O"),"Ú","U"),"Ü","U")))</f>
        <v/>
      </c>
      <c r="E164" s="36" t="str">
        <f aca="false">IF($A164="","",TRIM(SUBSTITUTE(SUBSTITUTE(SUBSTITUTE(SUBSTITUTE(SUBSTITUTE(SUBSTITUTE(UPPER(IFERROR(INDEX('Base de Personas'!$F7:F21,MATCH($A164,'Base de Personas'!$B7:B21,0)),IFERROR(INDEX($E$5:E163,MATCH($A164,$A$5:A163,0)),""))),"Á","A"),"É","E"),"Í","I"),"Ó","O"),"Ú","U"),"Ü","U")))</f>
        <v/>
      </c>
      <c r="F164" s="36" t="str">
        <f aca="false">IF($A164="","",TRIM(SUBSTITUTE(SUBSTITUTE(SUBSTITUTE(SUBSTITUTE(SUBSTITUTE(SUBSTITUTE(UPPER(IFERROR(INDEX('Base de Personas'!$G7:G21,MATCH($A164,'Base de Personas'!$B7:B21,0)),IFERROR(INDEX($F$5:F163,MATCH($A164,$A$5:A163,0)),""))),"Á","A"),"É","E"),"Í","I"),"Ó","O"),"Ú","U"),"Ü","U")))</f>
        <v/>
      </c>
      <c r="G164" s="37" t="str">
        <f aca="false">IF($A164="","",TRIM(SUBSTITUTE(SUBSTITUTE(SUBSTITUTE(SUBSTITUTE(SUBSTITUTE(SUBSTITUTE(UPPER(IFERROR(INDEX('Base de Personas'!$H7:H21,MATCH($A164,'Base de Personas'!$B7:B21,0)),IFERROR(INDEX($G$5:G163,MATCH($A164,$A$5:A163,0)),""))),"Á","A"),"É","E"),"Í","I"),"Ó","O"),"Ú","U"),"Ü","U")))</f>
        <v/>
      </c>
      <c r="H164" s="38" t="str">
        <f aca="false">IF($A164="","",IFERROR(INDEX('Base de Personas'!$I$7:$I$21,MATCH($A164,'Base de Personas'!$B$7:$B$21,0)),IFERROR(INDEX($H$5:H163,MATCH($A164,$A$5:A163,0)),"")))</f>
        <v/>
      </c>
      <c r="I164" s="39"/>
      <c r="J164" s="40"/>
      <c r="K164" s="40"/>
      <c r="L164" s="39"/>
      <c r="M164" s="41" t="str">
        <f aca="false">IF($A164="","",IF(K164=_xlfn.MAXIFS($K$5:$K$304,$A$5:$A$304,$A164),1,0))</f>
        <v/>
      </c>
      <c r="N164" s="41" t="str">
        <f aca="false">IF($A164="","",IF(M164=1,$A164&amp;"-ACT",""))</f>
        <v/>
      </c>
      <c r="O164" s="41" t="str">
        <f aca="false">IF($A164="","",IF(AND(COUNTIF('Base de Personas'!$B$7:$B$21,$A164)=0,COUNTIF($A$5:A164,$A164)=1),1,0))</f>
        <v/>
      </c>
      <c r="P164" s="41" t="str">
        <f aca="false">IF(O164=1,SUM($O$5:O164),"")</f>
        <v/>
      </c>
    </row>
    <row r="165" customFormat="false" ht="15" hidden="false" customHeight="false" outlineLevel="0" collapsed="false">
      <c r="A165" s="35"/>
      <c r="B165" s="36" t="str">
        <f aca="false">IF($A165="","",TRIM(SUBSTITUTE(SUBSTITUTE(SUBSTITUTE(SUBSTITUTE(SUBSTITUTE(SUBSTITUTE(UPPER(IFERROR(INDEX('Base de Personas'!$C7:C21,MATCH($A165,'Base de Personas'!$B7:B21,0)),IFERROR(INDEX($B$5:B164,MATCH($A165,$A$5:A164,0)),""))),"Á","A"),"É","E"),"Í","I"),"Ó","O"),"Ú","U"),"Ü","U")))</f>
        <v/>
      </c>
      <c r="C165" s="37" t="str">
        <f aca="false">IF($A165="","",TRIM(SUBSTITUTE(SUBSTITUTE(SUBSTITUTE(SUBSTITUTE(SUBSTITUTE(SUBSTITUTE(UPPER(IFERROR(INDEX('Base de Personas'!$D7:D21,MATCH($A165,'Base de Personas'!$B7:B21,0)),IFERROR(INDEX($C$5:C164,MATCH($A165,$A$5:A164,0)),""))),"Á","A"),"É","E"),"Í","I"),"Ó","O"),"Ú","U"),"Ü","U")))</f>
        <v/>
      </c>
      <c r="D165" s="36" t="str">
        <f aca="false">IF($A165="","",TRIM(SUBSTITUTE(SUBSTITUTE(SUBSTITUTE(SUBSTITUTE(SUBSTITUTE(SUBSTITUTE(UPPER(IFERROR(INDEX('Base de Personas'!$E7:E21,MATCH($A165,'Base de Personas'!$B7:B21,0)),IFERROR(INDEX($D$5:D164,MATCH($A165,$A$5:A164,0)),""))),"Á","A"),"É","E"),"Í","I"),"Ó","O"),"Ú","U"),"Ü","U")))</f>
        <v/>
      </c>
      <c r="E165" s="36" t="str">
        <f aca="false">IF($A165="","",TRIM(SUBSTITUTE(SUBSTITUTE(SUBSTITUTE(SUBSTITUTE(SUBSTITUTE(SUBSTITUTE(UPPER(IFERROR(INDEX('Base de Personas'!$F7:F21,MATCH($A165,'Base de Personas'!$B7:B21,0)),IFERROR(INDEX($E$5:E164,MATCH($A165,$A$5:A164,0)),""))),"Á","A"),"É","E"),"Í","I"),"Ó","O"),"Ú","U"),"Ü","U")))</f>
        <v/>
      </c>
      <c r="F165" s="36" t="str">
        <f aca="false">IF($A165="","",TRIM(SUBSTITUTE(SUBSTITUTE(SUBSTITUTE(SUBSTITUTE(SUBSTITUTE(SUBSTITUTE(UPPER(IFERROR(INDEX('Base de Personas'!$G7:G21,MATCH($A165,'Base de Personas'!$B7:B21,0)),IFERROR(INDEX($F$5:F164,MATCH($A165,$A$5:A164,0)),""))),"Á","A"),"É","E"),"Í","I"),"Ó","O"),"Ú","U"),"Ü","U")))</f>
        <v/>
      </c>
      <c r="G165" s="37" t="str">
        <f aca="false">IF($A165="","",TRIM(SUBSTITUTE(SUBSTITUTE(SUBSTITUTE(SUBSTITUTE(SUBSTITUTE(SUBSTITUTE(UPPER(IFERROR(INDEX('Base de Personas'!$H7:H21,MATCH($A165,'Base de Personas'!$B7:B21,0)),IFERROR(INDEX($G$5:G164,MATCH($A165,$A$5:A164,0)),""))),"Á","A"),"É","E"),"Í","I"),"Ó","O"),"Ú","U"),"Ü","U")))</f>
        <v/>
      </c>
      <c r="H165" s="38" t="str">
        <f aca="false">IF($A165="","",IFERROR(INDEX('Base de Personas'!$I$7:$I$21,MATCH($A165,'Base de Personas'!$B$7:$B$21,0)),IFERROR(INDEX($H$5:H164,MATCH($A165,$A$5:A164,0)),"")))</f>
        <v/>
      </c>
      <c r="I165" s="39"/>
      <c r="J165" s="40"/>
      <c r="K165" s="40"/>
      <c r="L165" s="39"/>
      <c r="M165" s="41" t="str">
        <f aca="false">IF($A165="","",IF(K165=_xlfn.MAXIFS($K$5:$K$304,$A$5:$A$304,$A165),1,0))</f>
        <v/>
      </c>
      <c r="N165" s="41" t="str">
        <f aca="false">IF($A165="","",IF(M165=1,$A165&amp;"-ACT",""))</f>
        <v/>
      </c>
      <c r="O165" s="41" t="str">
        <f aca="false">IF($A165="","",IF(AND(COUNTIF('Base de Personas'!$B$7:$B$21,$A165)=0,COUNTIF($A$5:A165,$A165)=1),1,0))</f>
        <v/>
      </c>
      <c r="P165" s="41" t="str">
        <f aca="false">IF(O165=1,SUM($O$5:O165),"")</f>
        <v/>
      </c>
    </row>
    <row r="166" customFormat="false" ht="15" hidden="false" customHeight="false" outlineLevel="0" collapsed="false">
      <c r="A166" s="35"/>
      <c r="B166" s="36" t="str">
        <f aca="false">IF($A166="","",TRIM(SUBSTITUTE(SUBSTITUTE(SUBSTITUTE(SUBSTITUTE(SUBSTITUTE(SUBSTITUTE(UPPER(IFERROR(INDEX('Base de Personas'!$C7:C21,MATCH($A166,'Base de Personas'!$B7:B21,0)),IFERROR(INDEX($B$5:B165,MATCH($A166,$A$5:A165,0)),""))),"Á","A"),"É","E"),"Í","I"),"Ó","O"),"Ú","U"),"Ü","U")))</f>
        <v/>
      </c>
      <c r="C166" s="37" t="str">
        <f aca="false">IF($A166="","",TRIM(SUBSTITUTE(SUBSTITUTE(SUBSTITUTE(SUBSTITUTE(SUBSTITUTE(SUBSTITUTE(UPPER(IFERROR(INDEX('Base de Personas'!$D7:D21,MATCH($A166,'Base de Personas'!$B7:B21,0)),IFERROR(INDEX($C$5:C165,MATCH($A166,$A$5:A165,0)),""))),"Á","A"),"É","E"),"Í","I"),"Ó","O"),"Ú","U"),"Ü","U")))</f>
        <v/>
      </c>
      <c r="D166" s="36" t="str">
        <f aca="false">IF($A166="","",TRIM(SUBSTITUTE(SUBSTITUTE(SUBSTITUTE(SUBSTITUTE(SUBSTITUTE(SUBSTITUTE(UPPER(IFERROR(INDEX('Base de Personas'!$E7:E21,MATCH($A166,'Base de Personas'!$B7:B21,0)),IFERROR(INDEX($D$5:D165,MATCH($A166,$A$5:A165,0)),""))),"Á","A"),"É","E"),"Í","I"),"Ó","O"),"Ú","U"),"Ü","U")))</f>
        <v/>
      </c>
      <c r="E166" s="36" t="str">
        <f aca="false">IF($A166="","",TRIM(SUBSTITUTE(SUBSTITUTE(SUBSTITUTE(SUBSTITUTE(SUBSTITUTE(SUBSTITUTE(UPPER(IFERROR(INDEX('Base de Personas'!$F7:F21,MATCH($A166,'Base de Personas'!$B7:B21,0)),IFERROR(INDEX($E$5:E165,MATCH($A166,$A$5:A165,0)),""))),"Á","A"),"É","E"),"Í","I"),"Ó","O"),"Ú","U"),"Ü","U")))</f>
        <v/>
      </c>
      <c r="F166" s="36" t="str">
        <f aca="false">IF($A166="","",TRIM(SUBSTITUTE(SUBSTITUTE(SUBSTITUTE(SUBSTITUTE(SUBSTITUTE(SUBSTITUTE(UPPER(IFERROR(INDEX('Base de Personas'!$G7:G21,MATCH($A166,'Base de Personas'!$B7:B21,0)),IFERROR(INDEX($F$5:F165,MATCH($A166,$A$5:A165,0)),""))),"Á","A"),"É","E"),"Í","I"),"Ó","O"),"Ú","U"),"Ü","U")))</f>
        <v/>
      </c>
      <c r="G166" s="37" t="str">
        <f aca="false">IF($A166="","",TRIM(SUBSTITUTE(SUBSTITUTE(SUBSTITUTE(SUBSTITUTE(SUBSTITUTE(SUBSTITUTE(UPPER(IFERROR(INDEX('Base de Personas'!$H7:H21,MATCH($A166,'Base de Personas'!$B7:B21,0)),IFERROR(INDEX($G$5:G165,MATCH($A166,$A$5:A165,0)),""))),"Á","A"),"É","E"),"Í","I"),"Ó","O"),"Ú","U"),"Ü","U")))</f>
        <v/>
      </c>
      <c r="H166" s="38" t="str">
        <f aca="false">IF($A166="","",IFERROR(INDEX('Base de Personas'!$I$7:$I$21,MATCH($A166,'Base de Personas'!$B$7:$B$21,0)),IFERROR(INDEX($H$5:H165,MATCH($A166,$A$5:A165,0)),"")))</f>
        <v/>
      </c>
      <c r="I166" s="39"/>
      <c r="J166" s="40"/>
      <c r="K166" s="40"/>
      <c r="L166" s="39"/>
      <c r="M166" s="41" t="str">
        <f aca="false">IF($A166="","",IF(K166=_xlfn.MAXIFS($K$5:$K$304,$A$5:$A$304,$A166),1,0))</f>
        <v/>
      </c>
      <c r="N166" s="41" t="str">
        <f aca="false">IF($A166="","",IF(M166=1,$A166&amp;"-ACT",""))</f>
        <v/>
      </c>
      <c r="O166" s="41" t="str">
        <f aca="false">IF($A166="","",IF(AND(COUNTIF('Base de Personas'!$B$7:$B$21,$A166)=0,COUNTIF($A$5:A166,$A166)=1),1,0))</f>
        <v/>
      </c>
      <c r="P166" s="41" t="str">
        <f aca="false">IF(O166=1,SUM($O$5:O166),"")</f>
        <v/>
      </c>
    </row>
    <row r="167" customFormat="false" ht="15" hidden="false" customHeight="false" outlineLevel="0" collapsed="false">
      <c r="A167" s="35"/>
      <c r="B167" s="36" t="str">
        <f aca="false">IF($A167="","",TRIM(SUBSTITUTE(SUBSTITUTE(SUBSTITUTE(SUBSTITUTE(SUBSTITUTE(SUBSTITUTE(UPPER(IFERROR(INDEX('Base de Personas'!$C7:C21,MATCH($A167,'Base de Personas'!$B7:B21,0)),IFERROR(INDEX($B$5:B166,MATCH($A167,$A$5:A166,0)),""))),"Á","A"),"É","E"),"Í","I"),"Ó","O"),"Ú","U"),"Ü","U")))</f>
        <v/>
      </c>
      <c r="C167" s="37" t="str">
        <f aca="false">IF($A167="","",TRIM(SUBSTITUTE(SUBSTITUTE(SUBSTITUTE(SUBSTITUTE(SUBSTITUTE(SUBSTITUTE(UPPER(IFERROR(INDEX('Base de Personas'!$D7:D21,MATCH($A167,'Base de Personas'!$B7:B21,0)),IFERROR(INDEX($C$5:C166,MATCH($A167,$A$5:A166,0)),""))),"Á","A"),"É","E"),"Í","I"),"Ó","O"),"Ú","U"),"Ü","U")))</f>
        <v/>
      </c>
      <c r="D167" s="36" t="str">
        <f aca="false">IF($A167="","",TRIM(SUBSTITUTE(SUBSTITUTE(SUBSTITUTE(SUBSTITUTE(SUBSTITUTE(SUBSTITUTE(UPPER(IFERROR(INDEX('Base de Personas'!$E7:E21,MATCH($A167,'Base de Personas'!$B7:B21,0)),IFERROR(INDEX($D$5:D166,MATCH($A167,$A$5:A166,0)),""))),"Á","A"),"É","E"),"Í","I"),"Ó","O"),"Ú","U"),"Ü","U")))</f>
        <v/>
      </c>
      <c r="E167" s="36" t="str">
        <f aca="false">IF($A167="","",TRIM(SUBSTITUTE(SUBSTITUTE(SUBSTITUTE(SUBSTITUTE(SUBSTITUTE(SUBSTITUTE(UPPER(IFERROR(INDEX('Base de Personas'!$F7:F21,MATCH($A167,'Base de Personas'!$B7:B21,0)),IFERROR(INDEX($E$5:E166,MATCH($A167,$A$5:A166,0)),""))),"Á","A"),"É","E"),"Í","I"),"Ó","O"),"Ú","U"),"Ü","U")))</f>
        <v/>
      </c>
      <c r="F167" s="36" t="str">
        <f aca="false">IF($A167="","",TRIM(SUBSTITUTE(SUBSTITUTE(SUBSTITUTE(SUBSTITUTE(SUBSTITUTE(SUBSTITUTE(UPPER(IFERROR(INDEX('Base de Personas'!$G7:G21,MATCH($A167,'Base de Personas'!$B7:B21,0)),IFERROR(INDEX($F$5:F166,MATCH($A167,$A$5:A166,0)),""))),"Á","A"),"É","E"),"Í","I"),"Ó","O"),"Ú","U"),"Ü","U")))</f>
        <v/>
      </c>
      <c r="G167" s="37" t="str">
        <f aca="false">IF($A167="","",TRIM(SUBSTITUTE(SUBSTITUTE(SUBSTITUTE(SUBSTITUTE(SUBSTITUTE(SUBSTITUTE(UPPER(IFERROR(INDEX('Base de Personas'!$H7:H21,MATCH($A167,'Base de Personas'!$B7:B21,0)),IFERROR(INDEX($G$5:G166,MATCH($A167,$A$5:A166,0)),""))),"Á","A"),"É","E"),"Í","I"),"Ó","O"),"Ú","U"),"Ü","U")))</f>
        <v/>
      </c>
      <c r="H167" s="38" t="str">
        <f aca="false">IF($A167="","",IFERROR(INDEX('Base de Personas'!$I$7:$I$21,MATCH($A167,'Base de Personas'!$B$7:$B$21,0)),IFERROR(INDEX($H$5:H166,MATCH($A167,$A$5:A166,0)),"")))</f>
        <v/>
      </c>
      <c r="I167" s="39"/>
      <c r="J167" s="40"/>
      <c r="K167" s="40"/>
      <c r="L167" s="39"/>
      <c r="M167" s="41" t="str">
        <f aca="false">IF($A167="","",IF(K167=_xlfn.MAXIFS($K$5:$K$304,$A$5:$A$304,$A167),1,0))</f>
        <v/>
      </c>
      <c r="N167" s="41" t="str">
        <f aca="false">IF($A167="","",IF(M167=1,$A167&amp;"-ACT",""))</f>
        <v/>
      </c>
      <c r="O167" s="41" t="str">
        <f aca="false">IF($A167="","",IF(AND(COUNTIF('Base de Personas'!$B$7:$B$21,$A167)=0,COUNTIF($A$5:A167,$A167)=1),1,0))</f>
        <v/>
      </c>
      <c r="P167" s="41" t="str">
        <f aca="false">IF(O167=1,SUM($O$5:O167),"")</f>
        <v/>
      </c>
    </row>
    <row r="168" customFormat="false" ht="15" hidden="false" customHeight="false" outlineLevel="0" collapsed="false">
      <c r="A168" s="35"/>
      <c r="B168" s="36" t="str">
        <f aca="false">IF($A168="","",TRIM(SUBSTITUTE(SUBSTITUTE(SUBSTITUTE(SUBSTITUTE(SUBSTITUTE(SUBSTITUTE(UPPER(IFERROR(INDEX('Base de Personas'!$C7:C21,MATCH($A168,'Base de Personas'!$B7:B21,0)),IFERROR(INDEX($B$5:B167,MATCH($A168,$A$5:A167,0)),""))),"Á","A"),"É","E"),"Í","I"),"Ó","O"),"Ú","U"),"Ü","U")))</f>
        <v/>
      </c>
      <c r="C168" s="37" t="str">
        <f aca="false">IF($A168="","",TRIM(SUBSTITUTE(SUBSTITUTE(SUBSTITUTE(SUBSTITUTE(SUBSTITUTE(SUBSTITUTE(UPPER(IFERROR(INDEX('Base de Personas'!$D7:D21,MATCH($A168,'Base de Personas'!$B7:B21,0)),IFERROR(INDEX($C$5:C167,MATCH($A168,$A$5:A167,0)),""))),"Á","A"),"É","E"),"Í","I"),"Ó","O"),"Ú","U"),"Ü","U")))</f>
        <v/>
      </c>
      <c r="D168" s="36" t="str">
        <f aca="false">IF($A168="","",TRIM(SUBSTITUTE(SUBSTITUTE(SUBSTITUTE(SUBSTITUTE(SUBSTITUTE(SUBSTITUTE(UPPER(IFERROR(INDEX('Base de Personas'!$E7:E21,MATCH($A168,'Base de Personas'!$B7:B21,0)),IFERROR(INDEX($D$5:D167,MATCH($A168,$A$5:A167,0)),""))),"Á","A"),"É","E"),"Í","I"),"Ó","O"),"Ú","U"),"Ü","U")))</f>
        <v/>
      </c>
      <c r="E168" s="36" t="str">
        <f aca="false">IF($A168="","",TRIM(SUBSTITUTE(SUBSTITUTE(SUBSTITUTE(SUBSTITUTE(SUBSTITUTE(SUBSTITUTE(UPPER(IFERROR(INDEX('Base de Personas'!$F7:F21,MATCH($A168,'Base de Personas'!$B7:B21,0)),IFERROR(INDEX($E$5:E167,MATCH($A168,$A$5:A167,0)),""))),"Á","A"),"É","E"),"Í","I"),"Ó","O"),"Ú","U"),"Ü","U")))</f>
        <v/>
      </c>
      <c r="F168" s="36" t="str">
        <f aca="false">IF($A168="","",TRIM(SUBSTITUTE(SUBSTITUTE(SUBSTITUTE(SUBSTITUTE(SUBSTITUTE(SUBSTITUTE(UPPER(IFERROR(INDEX('Base de Personas'!$G7:G21,MATCH($A168,'Base de Personas'!$B7:B21,0)),IFERROR(INDEX($F$5:F167,MATCH($A168,$A$5:A167,0)),""))),"Á","A"),"É","E"),"Í","I"),"Ó","O"),"Ú","U"),"Ü","U")))</f>
        <v/>
      </c>
      <c r="G168" s="37" t="str">
        <f aca="false">IF($A168="","",TRIM(SUBSTITUTE(SUBSTITUTE(SUBSTITUTE(SUBSTITUTE(SUBSTITUTE(SUBSTITUTE(UPPER(IFERROR(INDEX('Base de Personas'!$H7:H21,MATCH($A168,'Base de Personas'!$B7:B21,0)),IFERROR(INDEX($G$5:G167,MATCH($A168,$A$5:A167,0)),""))),"Á","A"),"É","E"),"Í","I"),"Ó","O"),"Ú","U"),"Ü","U")))</f>
        <v/>
      </c>
      <c r="H168" s="38" t="str">
        <f aca="false">IF($A168="","",IFERROR(INDEX('Base de Personas'!$I$7:$I$21,MATCH($A168,'Base de Personas'!$B$7:$B$21,0)),IFERROR(INDEX($H$5:H167,MATCH($A168,$A$5:A167,0)),"")))</f>
        <v/>
      </c>
      <c r="I168" s="39"/>
      <c r="J168" s="40"/>
      <c r="K168" s="40"/>
      <c r="L168" s="39"/>
      <c r="M168" s="41" t="str">
        <f aca="false">IF($A168="","",IF(K168=_xlfn.MAXIFS($K$5:$K$304,$A$5:$A$304,$A168),1,0))</f>
        <v/>
      </c>
      <c r="N168" s="41" t="str">
        <f aca="false">IF($A168="","",IF(M168=1,$A168&amp;"-ACT",""))</f>
        <v/>
      </c>
      <c r="O168" s="41" t="str">
        <f aca="false">IF($A168="","",IF(AND(COUNTIF('Base de Personas'!$B$7:$B$21,$A168)=0,COUNTIF($A$5:A168,$A168)=1),1,0))</f>
        <v/>
      </c>
      <c r="P168" s="41" t="str">
        <f aca="false">IF(O168=1,SUM($O$5:O168),"")</f>
        <v/>
      </c>
    </row>
    <row r="169" customFormat="false" ht="15" hidden="false" customHeight="false" outlineLevel="0" collapsed="false">
      <c r="A169" s="35"/>
      <c r="B169" s="36" t="str">
        <f aca="false">IF($A169="","",TRIM(SUBSTITUTE(SUBSTITUTE(SUBSTITUTE(SUBSTITUTE(SUBSTITUTE(SUBSTITUTE(UPPER(IFERROR(INDEX('Base de Personas'!$C7:C21,MATCH($A169,'Base de Personas'!$B7:B21,0)),IFERROR(INDEX($B$5:B168,MATCH($A169,$A$5:A168,0)),""))),"Á","A"),"É","E"),"Í","I"),"Ó","O"),"Ú","U"),"Ü","U")))</f>
        <v/>
      </c>
      <c r="C169" s="37" t="str">
        <f aca="false">IF($A169="","",TRIM(SUBSTITUTE(SUBSTITUTE(SUBSTITUTE(SUBSTITUTE(SUBSTITUTE(SUBSTITUTE(UPPER(IFERROR(INDEX('Base de Personas'!$D7:D21,MATCH($A169,'Base de Personas'!$B7:B21,0)),IFERROR(INDEX($C$5:C168,MATCH($A169,$A$5:A168,0)),""))),"Á","A"),"É","E"),"Í","I"),"Ó","O"),"Ú","U"),"Ü","U")))</f>
        <v/>
      </c>
      <c r="D169" s="36" t="str">
        <f aca="false">IF($A169="","",TRIM(SUBSTITUTE(SUBSTITUTE(SUBSTITUTE(SUBSTITUTE(SUBSTITUTE(SUBSTITUTE(UPPER(IFERROR(INDEX('Base de Personas'!$E7:E21,MATCH($A169,'Base de Personas'!$B7:B21,0)),IFERROR(INDEX($D$5:D168,MATCH($A169,$A$5:A168,0)),""))),"Á","A"),"É","E"),"Í","I"),"Ó","O"),"Ú","U"),"Ü","U")))</f>
        <v/>
      </c>
      <c r="E169" s="36" t="str">
        <f aca="false">IF($A169="","",TRIM(SUBSTITUTE(SUBSTITUTE(SUBSTITUTE(SUBSTITUTE(SUBSTITUTE(SUBSTITUTE(UPPER(IFERROR(INDEX('Base de Personas'!$F7:F21,MATCH($A169,'Base de Personas'!$B7:B21,0)),IFERROR(INDEX($E$5:E168,MATCH($A169,$A$5:A168,0)),""))),"Á","A"),"É","E"),"Í","I"),"Ó","O"),"Ú","U"),"Ü","U")))</f>
        <v/>
      </c>
      <c r="F169" s="36" t="str">
        <f aca="false">IF($A169="","",TRIM(SUBSTITUTE(SUBSTITUTE(SUBSTITUTE(SUBSTITUTE(SUBSTITUTE(SUBSTITUTE(UPPER(IFERROR(INDEX('Base de Personas'!$G7:G21,MATCH($A169,'Base de Personas'!$B7:B21,0)),IFERROR(INDEX($F$5:F168,MATCH($A169,$A$5:A168,0)),""))),"Á","A"),"É","E"),"Í","I"),"Ó","O"),"Ú","U"),"Ü","U")))</f>
        <v/>
      </c>
      <c r="G169" s="37" t="str">
        <f aca="false">IF($A169="","",TRIM(SUBSTITUTE(SUBSTITUTE(SUBSTITUTE(SUBSTITUTE(SUBSTITUTE(SUBSTITUTE(UPPER(IFERROR(INDEX('Base de Personas'!$H7:H21,MATCH($A169,'Base de Personas'!$B7:B21,0)),IFERROR(INDEX($G$5:G168,MATCH($A169,$A$5:A168,0)),""))),"Á","A"),"É","E"),"Í","I"),"Ó","O"),"Ú","U"),"Ü","U")))</f>
        <v/>
      </c>
      <c r="H169" s="38" t="str">
        <f aca="false">IF($A169="","",IFERROR(INDEX('Base de Personas'!$I$7:$I$21,MATCH($A169,'Base de Personas'!$B$7:$B$21,0)),IFERROR(INDEX($H$5:H168,MATCH($A169,$A$5:A168,0)),"")))</f>
        <v/>
      </c>
      <c r="I169" s="39"/>
      <c r="J169" s="40"/>
      <c r="K169" s="40"/>
      <c r="L169" s="39"/>
      <c r="M169" s="41" t="str">
        <f aca="false">IF($A169="","",IF(K169=_xlfn.MAXIFS($K$5:$K$304,$A$5:$A$304,$A169),1,0))</f>
        <v/>
      </c>
      <c r="N169" s="41" t="str">
        <f aca="false">IF($A169="","",IF(M169=1,$A169&amp;"-ACT",""))</f>
        <v/>
      </c>
      <c r="O169" s="41" t="str">
        <f aca="false">IF($A169="","",IF(AND(COUNTIF('Base de Personas'!$B$7:$B$21,$A169)=0,COUNTIF($A$5:A169,$A169)=1),1,0))</f>
        <v/>
      </c>
      <c r="P169" s="41" t="str">
        <f aca="false">IF(O169=1,SUM($O$5:O169),"")</f>
        <v/>
      </c>
    </row>
    <row r="170" customFormat="false" ht="15" hidden="false" customHeight="false" outlineLevel="0" collapsed="false">
      <c r="A170" s="35"/>
      <c r="B170" s="36" t="str">
        <f aca="false">IF($A170="","",TRIM(SUBSTITUTE(SUBSTITUTE(SUBSTITUTE(SUBSTITUTE(SUBSTITUTE(SUBSTITUTE(UPPER(IFERROR(INDEX('Base de Personas'!$C7:C21,MATCH($A170,'Base de Personas'!$B7:B21,0)),IFERROR(INDEX($B$5:B169,MATCH($A170,$A$5:A169,0)),""))),"Á","A"),"É","E"),"Í","I"),"Ó","O"),"Ú","U"),"Ü","U")))</f>
        <v/>
      </c>
      <c r="C170" s="37" t="str">
        <f aca="false">IF($A170="","",TRIM(SUBSTITUTE(SUBSTITUTE(SUBSTITUTE(SUBSTITUTE(SUBSTITUTE(SUBSTITUTE(UPPER(IFERROR(INDEX('Base de Personas'!$D7:D21,MATCH($A170,'Base de Personas'!$B7:B21,0)),IFERROR(INDEX($C$5:C169,MATCH($A170,$A$5:A169,0)),""))),"Á","A"),"É","E"),"Í","I"),"Ó","O"),"Ú","U"),"Ü","U")))</f>
        <v/>
      </c>
      <c r="D170" s="36" t="str">
        <f aca="false">IF($A170="","",TRIM(SUBSTITUTE(SUBSTITUTE(SUBSTITUTE(SUBSTITUTE(SUBSTITUTE(SUBSTITUTE(UPPER(IFERROR(INDEX('Base de Personas'!$E7:E21,MATCH($A170,'Base de Personas'!$B7:B21,0)),IFERROR(INDEX($D$5:D169,MATCH($A170,$A$5:A169,0)),""))),"Á","A"),"É","E"),"Í","I"),"Ó","O"),"Ú","U"),"Ü","U")))</f>
        <v/>
      </c>
      <c r="E170" s="36" t="str">
        <f aca="false">IF($A170="","",TRIM(SUBSTITUTE(SUBSTITUTE(SUBSTITUTE(SUBSTITUTE(SUBSTITUTE(SUBSTITUTE(UPPER(IFERROR(INDEX('Base de Personas'!$F7:F21,MATCH($A170,'Base de Personas'!$B7:B21,0)),IFERROR(INDEX($E$5:E169,MATCH($A170,$A$5:A169,0)),""))),"Á","A"),"É","E"),"Í","I"),"Ó","O"),"Ú","U"),"Ü","U")))</f>
        <v/>
      </c>
      <c r="F170" s="36" t="str">
        <f aca="false">IF($A170="","",TRIM(SUBSTITUTE(SUBSTITUTE(SUBSTITUTE(SUBSTITUTE(SUBSTITUTE(SUBSTITUTE(UPPER(IFERROR(INDEX('Base de Personas'!$G7:G21,MATCH($A170,'Base de Personas'!$B7:B21,0)),IFERROR(INDEX($F$5:F169,MATCH($A170,$A$5:A169,0)),""))),"Á","A"),"É","E"),"Í","I"),"Ó","O"),"Ú","U"),"Ü","U")))</f>
        <v/>
      </c>
      <c r="G170" s="37" t="str">
        <f aca="false">IF($A170="","",TRIM(SUBSTITUTE(SUBSTITUTE(SUBSTITUTE(SUBSTITUTE(SUBSTITUTE(SUBSTITUTE(UPPER(IFERROR(INDEX('Base de Personas'!$H7:H21,MATCH($A170,'Base de Personas'!$B7:B21,0)),IFERROR(INDEX($G$5:G169,MATCH($A170,$A$5:A169,0)),""))),"Á","A"),"É","E"),"Í","I"),"Ó","O"),"Ú","U"),"Ü","U")))</f>
        <v/>
      </c>
      <c r="H170" s="38" t="str">
        <f aca="false">IF($A170="","",IFERROR(INDEX('Base de Personas'!$I$7:$I$21,MATCH($A170,'Base de Personas'!$B$7:$B$21,0)),IFERROR(INDEX($H$5:H169,MATCH($A170,$A$5:A169,0)),"")))</f>
        <v/>
      </c>
      <c r="I170" s="39"/>
      <c r="J170" s="40"/>
      <c r="K170" s="40"/>
      <c r="L170" s="39"/>
      <c r="M170" s="41" t="str">
        <f aca="false">IF($A170="","",IF(K170=_xlfn.MAXIFS($K$5:$K$304,$A$5:$A$304,$A170),1,0))</f>
        <v/>
      </c>
      <c r="N170" s="41" t="str">
        <f aca="false">IF($A170="","",IF(M170=1,$A170&amp;"-ACT",""))</f>
        <v/>
      </c>
      <c r="O170" s="41" t="str">
        <f aca="false">IF($A170="","",IF(AND(COUNTIF('Base de Personas'!$B$7:$B$21,$A170)=0,COUNTIF($A$5:A170,$A170)=1),1,0))</f>
        <v/>
      </c>
      <c r="P170" s="41" t="str">
        <f aca="false">IF(O170=1,SUM($O$5:O170),"")</f>
        <v/>
      </c>
    </row>
    <row r="171" customFormat="false" ht="15" hidden="false" customHeight="false" outlineLevel="0" collapsed="false">
      <c r="A171" s="35"/>
      <c r="B171" s="36" t="str">
        <f aca="false">IF($A171="","",TRIM(SUBSTITUTE(SUBSTITUTE(SUBSTITUTE(SUBSTITUTE(SUBSTITUTE(SUBSTITUTE(UPPER(IFERROR(INDEX('Base de Personas'!$C7:C21,MATCH($A171,'Base de Personas'!$B7:B21,0)),IFERROR(INDEX($B$5:B170,MATCH($A171,$A$5:A170,0)),""))),"Á","A"),"É","E"),"Í","I"),"Ó","O"),"Ú","U"),"Ü","U")))</f>
        <v/>
      </c>
      <c r="C171" s="37" t="str">
        <f aca="false">IF($A171="","",TRIM(SUBSTITUTE(SUBSTITUTE(SUBSTITUTE(SUBSTITUTE(SUBSTITUTE(SUBSTITUTE(UPPER(IFERROR(INDEX('Base de Personas'!$D7:D21,MATCH($A171,'Base de Personas'!$B7:B21,0)),IFERROR(INDEX($C$5:C170,MATCH($A171,$A$5:A170,0)),""))),"Á","A"),"É","E"),"Í","I"),"Ó","O"),"Ú","U"),"Ü","U")))</f>
        <v/>
      </c>
      <c r="D171" s="36" t="str">
        <f aca="false">IF($A171="","",TRIM(SUBSTITUTE(SUBSTITUTE(SUBSTITUTE(SUBSTITUTE(SUBSTITUTE(SUBSTITUTE(UPPER(IFERROR(INDEX('Base de Personas'!$E7:E21,MATCH($A171,'Base de Personas'!$B7:B21,0)),IFERROR(INDEX($D$5:D170,MATCH($A171,$A$5:A170,0)),""))),"Á","A"),"É","E"),"Í","I"),"Ó","O"),"Ú","U"),"Ü","U")))</f>
        <v/>
      </c>
      <c r="E171" s="36" t="str">
        <f aca="false">IF($A171="","",TRIM(SUBSTITUTE(SUBSTITUTE(SUBSTITUTE(SUBSTITUTE(SUBSTITUTE(SUBSTITUTE(UPPER(IFERROR(INDEX('Base de Personas'!$F7:F21,MATCH($A171,'Base de Personas'!$B7:B21,0)),IFERROR(INDEX($E$5:E170,MATCH($A171,$A$5:A170,0)),""))),"Á","A"),"É","E"),"Í","I"),"Ó","O"),"Ú","U"),"Ü","U")))</f>
        <v/>
      </c>
      <c r="F171" s="36" t="str">
        <f aca="false">IF($A171="","",TRIM(SUBSTITUTE(SUBSTITUTE(SUBSTITUTE(SUBSTITUTE(SUBSTITUTE(SUBSTITUTE(UPPER(IFERROR(INDEX('Base de Personas'!$G7:G21,MATCH($A171,'Base de Personas'!$B7:B21,0)),IFERROR(INDEX($F$5:F170,MATCH($A171,$A$5:A170,0)),""))),"Á","A"),"É","E"),"Í","I"),"Ó","O"),"Ú","U"),"Ü","U")))</f>
        <v/>
      </c>
      <c r="G171" s="37" t="str">
        <f aca="false">IF($A171="","",TRIM(SUBSTITUTE(SUBSTITUTE(SUBSTITUTE(SUBSTITUTE(SUBSTITUTE(SUBSTITUTE(UPPER(IFERROR(INDEX('Base de Personas'!$H7:H21,MATCH($A171,'Base de Personas'!$B7:B21,0)),IFERROR(INDEX($G$5:G170,MATCH($A171,$A$5:A170,0)),""))),"Á","A"),"É","E"),"Í","I"),"Ó","O"),"Ú","U"),"Ü","U")))</f>
        <v/>
      </c>
      <c r="H171" s="38" t="str">
        <f aca="false">IF($A171="","",IFERROR(INDEX('Base de Personas'!$I$7:$I$21,MATCH($A171,'Base de Personas'!$B$7:$B$21,0)),IFERROR(INDEX($H$5:H170,MATCH($A171,$A$5:A170,0)),"")))</f>
        <v/>
      </c>
      <c r="I171" s="39"/>
      <c r="J171" s="40"/>
      <c r="K171" s="40"/>
      <c r="L171" s="39"/>
      <c r="M171" s="41" t="str">
        <f aca="false">IF($A171="","",IF(K171=_xlfn.MAXIFS($K$5:$K$304,$A$5:$A$304,$A171),1,0))</f>
        <v/>
      </c>
      <c r="N171" s="41" t="str">
        <f aca="false">IF($A171="","",IF(M171=1,$A171&amp;"-ACT",""))</f>
        <v/>
      </c>
      <c r="O171" s="41" t="str">
        <f aca="false">IF($A171="","",IF(AND(COUNTIF('Base de Personas'!$B$7:$B$21,$A171)=0,COUNTIF($A$5:A171,$A171)=1),1,0))</f>
        <v/>
      </c>
      <c r="P171" s="41" t="str">
        <f aca="false">IF(O171=1,SUM($O$5:O171),"")</f>
        <v/>
      </c>
    </row>
    <row r="172" customFormat="false" ht="15" hidden="false" customHeight="false" outlineLevel="0" collapsed="false">
      <c r="A172" s="35"/>
      <c r="B172" s="36" t="str">
        <f aca="false">IF($A172="","",TRIM(SUBSTITUTE(SUBSTITUTE(SUBSTITUTE(SUBSTITUTE(SUBSTITUTE(SUBSTITUTE(UPPER(IFERROR(INDEX('Base de Personas'!$C7:C21,MATCH($A172,'Base de Personas'!$B7:B21,0)),IFERROR(INDEX($B$5:B171,MATCH($A172,$A$5:A171,0)),""))),"Á","A"),"É","E"),"Í","I"),"Ó","O"),"Ú","U"),"Ü","U")))</f>
        <v/>
      </c>
      <c r="C172" s="37" t="str">
        <f aca="false">IF($A172="","",TRIM(SUBSTITUTE(SUBSTITUTE(SUBSTITUTE(SUBSTITUTE(SUBSTITUTE(SUBSTITUTE(UPPER(IFERROR(INDEX('Base de Personas'!$D7:D21,MATCH($A172,'Base de Personas'!$B7:B21,0)),IFERROR(INDEX($C$5:C171,MATCH($A172,$A$5:A171,0)),""))),"Á","A"),"É","E"),"Í","I"),"Ó","O"),"Ú","U"),"Ü","U")))</f>
        <v/>
      </c>
      <c r="D172" s="36" t="str">
        <f aca="false">IF($A172="","",TRIM(SUBSTITUTE(SUBSTITUTE(SUBSTITUTE(SUBSTITUTE(SUBSTITUTE(SUBSTITUTE(UPPER(IFERROR(INDEX('Base de Personas'!$E7:E21,MATCH($A172,'Base de Personas'!$B7:B21,0)),IFERROR(INDEX($D$5:D171,MATCH($A172,$A$5:A171,0)),""))),"Á","A"),"É","E"),"Í","I"),"Ó","O"),"Ú","U"),"Ü","U")))</f>
        <v/>
      </c>
      <c r="E172" s="36" t="str">
        <f aca="false">IF($A172="","",TRIM(SUBSTITUTE(SUBSTITUTE(SUBSTITUTE(SUBSTITUTE(SUBSTITUTE(SUBSTITUTE(UPPER(IFERROR(INDEX('Base de Personas'!$F7:F21,MATCH($A172,'Base de Personas'!$B7:B21,0)),IFERROR(INDEX($E$5:E171,MATCH($A172,$A$5:A171,0)),""))),"Á","A"),"É","E"),"Í","I"),"Ó","O"),"Ú","U"),"Ü","U")))</f>
        <v/>
      </c>
      <c r="F172" s="36" t="str">
        <f aca="false">IF($A172="","",TRIM(SUBSTITUTE(SUBSTITUTE(SUBSTITUTE(SUBSTITUTE(SUBSTITUTE(SUBSTITUTE(UPPER(IFERROR(INDEX('Base de Personas'!$G7:G21,MATCH($A172,'Base de Personas'!$B7:B21,0)),IFERROR(INDEX($F$5:F171,MATCH($A172,$A$5:A171,0)),""))),"Á","A"),"É","E"),"Í","I"),"Ó","O"),"Ú","U"),"Ü","U")))</f>
        <v/>
      </c>
      <c r="G172" s="37" t="str">
        <f aca="false">IF($A172="","",TRIM(SUBSTITUTE(SUBSTITUTE(SUBSTITUTE(SUBSTITUTE(SUBSTITUTE(SUBSTITUTE(UPPER(IFERROR(INDEX('Base de Personas'!$H7:H21,MATCH($A172,'Base de Personas'!$B7:B21,0)),IFERROR(INDEX($G$5:G171,MATCH($A172,$A$5:A171,0)),""))),"Á","A"),"É","E"),"Í","I"),"Ó","O"),"Ú","U"),"Ü","U")))</f>
        <v/>
      </c>
      <c r="H172" s="38" t="str">
        <f aca="false">IF($A172="","",IFERROR(INDEX('Base de Personas'!$I$7:$I$21,MATCH($A172,'Base de Personas'!$B$7:$B$21,0)),IFERROR(INDEX($H$5:H171,MATCH($A172,$A$5:A171,0)),"")))</f>
        <v/>
      </c>
      <c r="I172" s="39"/>
      <c r="J172" s="40"/>
      <c r="K172" s="40"/>
      <c r="L172" s="39"/>
      <c r="M172" s="41" t="str">
        <f aca="false">IF($A172="","",IF(K172=_xlfn.MAXIFS($K$5:$K$304,$A$5:$A$304,$A172),1,0))</f>
        <v/>
      </c>
      <c r="N172" s="41" t="str">
        <f aca="false">IF($A172="","",IF(M172=1,$A172&amp;"-ACT",""))</f>
        <v/>
      </c>
      <c r="O172" s="41" t="str">
        <f aca="false">IF($A172="","",IF(AND(COUNTIF('Base de Personas'!$B$7:$B$21,$A172)=0,COUNTIF($A$5:A172,$A172)=1),1,0))</f>
        <v/>
      </c>
      <c r="P172" s="41" t="str">
        <f aca="false">IF(O172=1,SUM($O$5:O172),"")</f>
        <v/>
      </c>
    </row>
    <row r="173" customFormat="false" ht="15" hidden="false" customHeight="false" outlineLevel="0" collapsed="false">
      <c r="A173" s="35"/>
      <c r="B173" s="36" t="str">
        <f aca="false">IF($A173="","",TRIM(SUBSTITUTE(SUBSTITUTE(SUBSTITUTE(SUBSTITUTE(SUBSTITUTE(SUBSTITUTE(UPPER(IFERROR(INDEX('Base de Personas'!$C7:C21,MATCH($A173,'Base de Personas'!$B7:B21,0)),IFERROR(INDEX($B$5:B172,MATCH($A173,$A$5:A172,0)),""))),"Á","A"),"É","E"),"Í","I"),"Ó","O"),"Ú","U"),"Ü","U")))</f>
        <v/>
      </c>
      <c r="C173" s="37" t="str">
        <f aca="false">IF($A173="","",TRIM(SUBSTITUTE(SUBSTITUTE(SUBSTITUTE(SUBSTITUTE(SUBSTITUTE(SUBSTITUTE(UPPER(IFERROR(INDEX('Base de Personas'!$D7:D21,MATCH($A173,'Base de Personas'!$B7:B21,0)),IFERROR(INDEX($C$5:C172,MATCH($A173,$A$5:A172,0)),""))),"Á","A"),"É","E"),"Í","I"),"Ó","O"),"Ú","U"),"Ü","U")))</f>
        <v/>
      </c>
      <c r="D173" s="36" t="str">
        <f aca="false">IF($A173="","",TRIM(SUBSTITUTE(SUBSTITUTE(SUBSTITUTE(SUBSTITUTE(SUBSTITUTE(SUBSTITUTE(UPPER(IFERROR(INDEX('Base de Personas'!$E7:E21,MATCH($A173,'Base de Personas'!$B7:B21,0)),IFERROR(INDEX($D$5:D172,MATCH($A173,$A$5:A172,0)),""))),"Á","A"),"É","E"),"Í","I"),"Ó","O"),"Ú","U"),"Ü","U")))</f>
        <v/>
      </c>
      <c r="E173" s="36" t="str">
        <f aca="false">IF($A173="","",TRIM(SUBSTITUTE(SUBSTITUTE(SUBSTITUTE(SUBSTITUTE(SUBSTITUTE(SUBSTITUTE(UPPER(IFERROR(INDEX('Base de Personas'!$F7:F21,MATCH($A173,'Base de Personas'!$B7:B21,0)),IFERROR(INDEX($E$5:E172,MATCH($A173,$A$5:A172,0)),""))),"Á","A"),"É","E"),"Í","I"),"Ó","O"),"Ú","U"),"Ü","U")))</f>
        <v/>
      </c>
      <c r="F173" s="36" t="str">
        <f aca="false">IF($A173="","",TRIM(SUBSTITUTE(SUBSTITUTE(SUBSTITUTE(SUBSTITUTE(SUBSTITUTE(SUBSTITUTE(UPPER(IFERROR(INDEX('Base de Personas'!$G7:G21,MATCH($A173,'Base de Personas'!$B7:B21,0)),IFERROR(INDEX($F$5:F172,MATCH($A173,$A$5:A172,0)),""))),"Á","A"),"É","E"),"Í","I"),"Ó","O"),"Ú","U"),"Ü","U")))</f>
        <v/>
      </c>
      <c r="G173" s="37" t="str">
        <f aca="false">IF($A173="","",TRIM(SUBSTITUTE(SUBSTITUTE(SUBSTITUTE(SUBSTITUTE(SUBSTITUTE(SUBSTITUTE(UPPER(IFERROR(INDEX('Base de Personas'!$H7:H21,MATCH($A173,'Base de Personas'!$B7:B21,0)),IFERROR(INDEX($G$5:G172,MATCH($A173,$A$5:A172,0)),""))),"Á","A"),"É","E"),"Í","I"),"Ó","O"),"Ú","U"),"Ü","U")))</f>
        <v/>
      </c>
      <c r="H173" s="38" t="str">
        <f aca="false">IF($A173="","",IFERROR(INDEX('Base de Personas'!$I$7:$I$21,MATCH($A173,'Base de Personas'!$B$7:$B$21,0)),IFERROR(INDEX($H$5:H172,MATCH($A173,$A$5:A172,0)),"")))</f>
        <v/>
      </c>
      <c r="I173" s="39"/>
      <c r="J173" s="40"/>
      <c r="K173" s="40"/>
      <c r="L173" s="39"/>
      <c r="M173" s="41" t="str">
        <f aca="false">IF($A173="","",IF(K173=_xlfn.MAXIFS($K$5:$K$304,$A$5:$A$304,$A173),1,0))</f>
        <v/>
      </c>
      <c r="N173" s="41" t="str">
        <f aca="false">IF($A173="","",IF(M173=1,$A173&amp;"-ACT",""))</f>
        <v/>
      </c>
      <c r="O173" s="41" t="str">
        <f aca="false">IF($A173="","",IF(AND(COUNTIF('Base de Personas'!$B$7:$B$21,$A173)=0,COUNTIF($A$5:A173,$A173)=1),1,0))</f>
        <v/>
      </c>
      <c r="P173" s="41" t="str">
        <f aca="false">IF(O173=1,SUM($O$5:O173),"")</f>
        <v/>
      </c>
    </row>
    <row r="174" customFormat="false" ht="15" hidden="false" customHeight="false" outlineLevel="0" collapsed="false">
      <c r="A174" s="35"/>
      <c r="B174" s="36" t="str">
        <f aca="false">IF($A174="","",TRIM(SUBSTITUTE(SUBSTITUTE(SUBSTITUTE(SUBSTITUTE(SUBSTITUTE(SUBSTITUTE(UPPER(IFERROR(INDEX('Base de Personas'!$C7:C21,MATCH($A174,'Base de Personas'!$B7:B21,0)),IFERROR(INDEX($B$5:B173,MATCH($A174,$A$5:A173,0)),""))),"Á","A"),"É","E"),"Í","I"),"Ó","O"),"Ú","U"),"Ü","U")))</f>
        <v/>
      </c>
      <c r="C174" s="37" t="str">
        <f aca="false">IF($A174="","",TRIM(SUBSTITUTE(SUBSTITUTE(SUBSTITUTE(SUBSTITUTE(SUBSTITUTE(SUBSTITUTE(UPPER(IFERROR(INDEX('Base de Personas'!$D7:D21,MATCH($A174,'Base de Personas'!$B7:B21,0)),IFERROR(INDEX($C$5:C173,MATCH($A174,$A$5:A173,0)),""))),"Á","A"),"É","E"),"Í","I"),"Ó","O"),"Ú","U"),"Ü","U")))</f>
        <v/>
      </c>
      <c r="D174" s="36" t="str">
        <f aca="false">IF($A174="","",TRIM(SUBSTITUTE(SUBSTITUTE(SUBSTITUTE(SUBSTITUTE(SUBSTITUTE(SUBSTITUTE(UPPER(IFERROR(INDEX('Base de Personas'!$E7:E21,MATCH($A174,'Base de Personas'!$B7:B21,0)),IFERROR(INDEX($D$5:D173,MATCH($A174,$A$5:A173,0)),""))),"Á","A"),"É","E"),"Í","I"),"Ó","O"),"Ú","U"),"Ü","U")))</f>
        <v/>
      </c>
      <c r="E174" s="36" t="str">
        <f aca="false">IF($A174="","",TRIM(SUBSTITUTE(SUBSTITUTE(SUBSTITUTE(SUBSTITUTE(SUBSTITUTE(SUBSTITUTE(UPPER(IFERROR(INDEX('Base de Personas'!$F7:F21,MATCH($A174,'Base de Personas'!$B7:B21,0)),IFERROR(INDEX($E$5:E173,MATCH($A174,$A$5:A173,0)),""))),"Á","A"),"É","E"),"Í","I"),"Ó","O"),"Ú","U"),"Ü","U")))</f>
        <v/>
      </c>
      <c r="F174" s="36" t="str">
        <f aca="false">IF($A174="","",TRIM(SUBSTITUTE(SUBSTITUTE(SUBSTITUTE(SUBSTITUTE(SUBSTITUTE(SUBSTITUTE(UPPER(IFERROR(INDEX('Base de Personas'!$G7:G21,MATCH($A174,'Base de Personas'!$B7:B21,0)),IFERROR(INDEX($F$5:F173,MATCH($A174,$A$5:A173,0)),""))),"Á","A"),"É","E"),"Í","I"),"Ó","O"),"Ú","U"),"Ü","U")))</f>
        <v/>
      </c>
      <c r="G174" s="37" t="str">
        <f aca="false">IF($A174="","",TRIM(SUBSTITUTE(SUBSTITUTE(SUBSTITUTE(SUBSTITUTE(SUBSTITUTE(SUBSTITUTE(UPPER(IFERROR(INDEX('Base de Personas'!$H7:H21,MATCH($A174,'Base de Personas'!$B7:B21,0)),IFERROR(INDEX($G$5:G173,MATCH($A174,$A$5:A173,0)),""))),"Á","A"),"É","E"),"Í","I"),"Ó","O"),"Ú","U"),"Ü","U")))</f>
        <v/>
      </c>
      <c r="H174" s="38" t="str">
        <f aca="false">IF($A174="","",IFERROR(INDEX('Base de Personas'!$I$7:$I$21,MATCH($A174,'Base de Personas'!$B$7:$B$21,0)),IFERROR(INDEX($H$5:H173,MATCH($A174,$A$5:A173,0)),"")))</f>
        <v/>
      </c>
      <c r="I174" s="39"/>
      <c r="J174" s="40"/>
      <c r="K174" s="40"/>
      <c r="L174" s="39"/>
      <c r="M174" s="41" t="str">
        <f aca="false">IF($A174="","",IF(K174=_xlfn.MAXIFS($K$5:$K$304,$A$5:$A$304,$A174),1,0))</f>
        <v/>
      </c>
      <c r="N174" s="41" t="str">
        <f aca="false">IF($A174="","",IF(M174=1,$A174&amp;"-ACT",""))</f>
        <v/>
      </c>
      <c r="O174" s="41" t="str">
        <f aca="false">IF($A174="","",IF(AND(COUNTIF('Base de Personas'!$B$7:$B$21,$A174)=0,COUNTIF($A$5:A174,$A174)=1),1,0))</f>
        <v/>
      </c>
      <c r="P174" s="41" t="str">
        <f aca="false">IF(O174=1,SUM($O$5:O174),"")</f>
        <v/>
      </c>
    </row>
    <row r="175" customFormat="false" ht="15" hidden="false" customHeight="false" outlineLevel="0" collapsed="false">
      <c r="A175" s="35"/>
      <c r="B175" s="36" t="str">
        <f aca="false">IF($A175="","",TRIM(SUBSTITUTE(SUBSTITUTE(SUBSTITUTE(SUBSTITUTE(SUBSTITUTE(SUBSTITUTE(UPPER(IFERROR(INDEX('Base de Personas'!$C7:C21,MATCH($A175,'Base de Personas'!$B7:B21,0)),IFERROR(INDEX($B$5:B174,MATCH($A175,$A$5:A174,0)),""))),"Á","A"),"É","E"),"Í","I"),"Ó","O"),"Ú","U"),"Ü","U")))</f>
        <v/>
      </c>
      <c r="C175" s="37" t="str">
        <f aca="false">IF($A175="","",TRIM(SUBSTITUTE(SUBSTITUTE(SUBSTITUTE(SUBSTITUTE(SUBSTITUTE(SUBSTITUTE(UPPER(IFERROR(INDEX('Base de Personas'!$D7:D21,MATCH($A175,'Base de Personas'!$B7:B21,0)),IFERROR(INDEX($C$5:C174,MATCH($A175,$A$5:A174,0)),""))),"Á","A"),"É","E"),"Í","I"),"Ó","O"),"Ú","U"),"Ü","U")))</f>
        <v/>
      </c>
      <c r="D175" s="36" t="str">
        <f aca="false">IF($A175="","",TRIM(SUBSTITUTE(SUBSTITUTE(SUBSTITUTE(SUBSTITUTE(SUBSTITUTE(SUBSTITUTE(UPPER(IFERROR(INDEX('Base de Personas'!$E7:E21,MATCH($A175,'Base de Personas'!$B7:B21,0)),IFERROR(INDEX($D$5:D174,MATCH($A175,$A$5:A174,0)),""))),"Á","A"),"É","E"),"Í","I"),"Ó","O"),"Ú","U"),"Ü","U")))</f>
        <v/>
      </c>
      <c r="E175" s="36" t="str">
        <f aca="false">IF($A175="","",TRIM(SUBSTITUTE(SUBSTITUTE(SUBSTITUTE(SUBSTITUTE(SUBSTITUTE(SUBSTITUTE(UPPER(IFERROR(INDEX('Base de Personas'!$F7:F21,MATCH($A175,'Base de Personas'!$B7:B21,0)),IFERROR(INDEX($E$5:E174,MATCH($A175,$A$5:A174,0)),""))),"Á","A"),"É","E"),"Í","I"),"Ó","O"),"Ú","U"),"Ü","U")))</f>
        <v/>
      </c>
      <c r="F175" s="36" t="str">
        <f aca="false">IF($A175="","",TRIM(SUBSTITUTE(SUBSTITUTE(SUBSTITUTE(SUBSTITUTE(SUBSTITUTE(SUBSTITUTE(UPPER(IFERROR(INDEX('Base de Personas'!$G7:G21,MATCH($A175,'Base de Personas'!$B7:B21,0)),IFERROR(INDEX($F$5:F174,MATCH($A175,$A$5:A174,0)),""))),"Á","A"),"É","E"),"Í","I"),"Ó","O"),"Ú","U"),"Ü","U")))</f>
        <v/>
      </c>
      <c r="G175" s="37" t="str">
        <f aca="false">IF($A175="","",TRIM(SUBSTITUTE(SUBSTITUTE(SUBSTITUTE(SUBSTITUTE(SUBSTITUTE(SUBSTITUTE(UPPER(IFERROR(INDEX('Base de Personas'!$H7:H21,MATCH($A175,'Base de Personas'!$B7:B21,0)),IFERROR(INDEX($G$5:G174,MATCH($A175,$A$5:A174,0)),""))),"Á","A"),"É","E"),"Í","I"),"Ó","O"),"Ú","U"),"Ü","U")))</f>
        <v/>
      </c>
      <c r="H175" s="38" t="str">
        <f aca="false">IF($A175="","",IFERROR(INDEX('Base de Personas'!$I$7:$I$21,MATCH($A175,'Base de Personas'!$B$7:$B$21,0)),IFERROR(INDEX($H$5:H174,MATCH($A175,$A$5:A174,0)),"")))</f>
        <v/>
      </c>
      <c r="I175" s="39"/>
      <c r="J175" s="40"/>
      <c r="K175" s="40"/>
      <c r="L175" s="39"/>
      <c r="M175" s="41" t="str">
        <f aca="false">IF($A175="","",IF(K175=_xlfn.MAXIFS($K$5:$K$304,$A$5:$A$304,$A175),1,0))</f>
        <v/>
      </c>
      <c r="N175" s="41" t="str">
        <f aca="false">IF($A175="","",IF(M175=1,$A175&amp;"-ACT",""))</f>
        <v/>
      </c>
      <c r="O175" s="41" t="str">
        <f aca="false">IF($A175="","",IF(AND(COUNTIF('Base de Personas'!$B$7:$B$21,$A175)=0,COUNTIF($A$5:A175,$A175)=1),1,0))</f>
        <v/>
      </c>
      <c r="P175" s="41" t="str">
        <f aca="false">IF(O175=1,SUM($O$5:O175),"")</f>
        <v/>
      </c>
    </row>
    <row r="176" customFormat="false" ht="15" hidden="false" customHeight="false" outlineLevel="0" collapsed="false">
      <c r="A176" s="35"/>
      <c r="B176" s="36" t="str">
        <f aca="false">IF($A176="","",TRIM(SUBSTITUTE(SUBSTITUTE(SUBSTITUTE(SUBSTITUTE(SUBSTITUTE(SUBSTITUTE(UPPER(IFERROR(INDEX('Base de Personas'!$C7:C21,MATCH($A176,'Base de Personas'!$B7:B21,0)),IFERROR(INDEX($B$5:B175,MATCH($A176,$A$5:A175,0)),""))),"Á","A"),"É","E"),"Í","I"),"Ó","O"),"Ú","U"),"Ü","U")))</f>
        <v/>
      </c>
      <c r="C176" s="37" t="str">
        <f aca="false">IF($A176="","",TRIM(SUBSTITUTE(SUBSTITUTE(SUBSTITUTE(SUBSTITUTE(SUBSTITUTE(SUBSTITUTE(UPPER(IFERROR(INDEX('Base de Personas'!$D7:D21,MATCH($A176,'Base de Personas'!$B7:B21,0)),IFERROR(INDEX($C$5:C175,MATCH($A176,$A$5:A175,0)),""))),"Á","A"),"É","E"),"Í","I"),"Ó","O"),"Ú","U"),"Ü","U")))</f>
        <v/>
      </c>
      <c r="D176" s="36" t="str">
        <f aca="false">IF($A176="","",TRIM(SUBSTITUTE(SUBSTITUTE(SUBSTITUTE(SUBSTITUTE(SUBSTITUTE(SUBSTITUTE(UPPER(IFERROR(INDEX('Base de Personas'!$E7:E21,MATCH($A176,'Base de Personas'!$B7:B21,0)),IFERROR(INDEX($D$5:D175,MATCH($A176,$A$5:A175,0)),""))),"Á","A"),"É","E"),"Í","I"),"Ó","O"),"Ú","U"),"Ü","U")))</f>
        <v/>
      </c>
      <c r="E176" s="36" t="str">
        <f aca="false">IF($A176="","",TRIM(SUBSTITUTE(SUBSTITUTE(SUBSTITUTE(SUBSTITUTE(SUBSTITUTE(SUBSTITUTE(UPPER(IFERROR(INDEX('Base de Personas'!$F7:F21,MATCH($A176,'Base de Personas'!$B7:B21,0)),IFERROR(INDEX($E$5:E175,MATCH($A176,$A$5:A175,0)),""))),"Á","A"),"É","E"),"Í","I"),"Ó","O"),"Ú","U"),"Ü","U")))</f>
        <v/>
      </c>
      <c r="F176" s="36" t="str">
        <f aca="false">IF($A176="","",TRIM(SUBSTITUTE(SUBSTITUTE(SUBSTITUTE(SUBSTITUTE(SUBSTITUTE(SUBSTITUTE(UPPER(IFERROR(INDEX('Base de Personas'!$G7:G21,MATCH($A176,'Base de Personas'!$B7:B21,0)),IFERROR(INDEX($F$5:F175,MATCH($A176,$A$5:A175,0)),""))),"Á","A"),"É","E"),"Í","I"),"Ó","O"),"Ú","U"),"Ü","U")))</f>
        <v/>
      </c>
      <c r="G176" s="37" t="str">
        <f aca="false">IF($A176="","",TRIM(SUBSTITUTE(SUBSTITUTE(SUBSTITUTE(SUBSTITUTE(SUBSTITUTE(SUBSTITUTE(UPPER(IFERROR(INDEX('Base de Personas'!$H7:H21,MATCH($A176,'Base de Personas'!$B7:B21,0)),IFERROR(INDEX($G$5:G175,MATCH($A176,$A$5:A175,0)),""))),"Á","A"),"É","E"),"Í","I"),"Ó","O"),"Ú","U"),"Ü","U")))</f>
        <v/>
      </c>
      <c r="H176" s="38" t="str">
        <f aca="false">IF($A176="","",IFERROR(INDEX('Base de Personas'!$I$7:$I$21,MATCH($A176,'Base de Personas'!$B$7:$B$21,0)),IFERROR(INDEX($H$5:H175,MATCH($A176,$A$5:A175,0)),"")))</f>
        <v/>
      </c>
      <c r="I176" s="39"/>
      <c r="J176" s="40"/>
      <c r="K176" s="40"/>
      <c r="L176" s="39"/>
      <c r="M176" s="41" t="str">
        <f aca="false">IF($A176="","",IF(K176=_xlfn.MAXIFS($K$5:$K$304,$A$5:$A$304,$A176),1,0))</f>
        <v/>
      </c>
      <c r="N176" s="41" t="str">
        <f aca="false">IF($A176="","",IF(M176=1,$A176&amp;"-ACT",""))</f>
        <v/>
      </c>
      <c r="O176" s="41" t="str">
        <f aca="false">IF($A176="","",IF(AND(COUNTIF('Base de Personas'!$B$7:$B$21,$A176)=0,COUNTIF($A$5:A176,$A176)=1),1,0))</f>
        <v/>
      </c>
      <c r="P176" s="41" t="str">
        <f aca="false">IF(O176=1,SUM($O$5:O176),"")</f>
        <v/>
      </c>
    </row>
    <row r="177" customFormat="false" ht="15" hidden="false" customHeight="false" outlineLevel="0" collapsed="false">
      <c r="A177" s="35"/>
      <c r="B177" s="36" t="str">
        <f aca="false">IF($A177="","",TRIM(SUBSTITUTE(SUBSTITUTE(SUBSTITUTE(SUBSTITUTE(SUBSTITUTE(SUBSTITUTE(UPPER(IFERROR(INDEX('Base de Personas'!$C7:C21,MATCH($A177,'Base de Personas'!$B7:B21,0)),IFERROR(INDEX($B$5:B176,MATCH($A177,$A$5:A176,0)),""))),"Á","A"),"É","E"),"Í","I"),"Ó","O"),"Ú","U"),"Ü","U")))</f>
        <v/>
      </c>
      <c r="C177" s="37" t="str">
        <f aca="false">IF($A177="","",TRIM(SUBSTITUTE(SUBSTITUTE(SUBSTITUTE(SUBSTITUTE(SUBSTITUTE(SUBSTITUTE(UPPER(IFERROR(INDEX('Base de Personas'!$D7:D21,MATCH($A177,'Base de Personas'!$B7:B21,0)),IFERROR(INDEX($C$5:C176,MATCH($A177,$A$5:A176,0)),""))),"Á","A"),"É","E"),"Í","I"),"Ó","O"),"Ú","U"),"Ü","U")))</f>
        <v/>
      </c>
      <c r="D177" s="36" t="str">
        <f aca="false">IF($A177="","",TRIM(SUBSTITUTE(SUBSTITUTE(SUBSTITUTE(SUBSTITUTE(SUBSTITUTE(SUBSTITUTE(UPPER(IFERROR(INDEX('Base de Personas'!$E7:E21,MATCH($A177,'Base de Personas'!$B7:B21,0)),IFERROR(INDEX($D$5:D176,MATCH($A177,$A$5:A176,0)),""))),"Á","A"),"É","E"),"Í","I"),"Ó","O"),"Ú","U"),"Ü","U")))</f>
        <v/>
      </c>
      <c r="E177" s="36" t="str">
        <f aca="false">IF($A177="","",TRIM(SUBSTITUTE(SUBSTITUTE(SUBSTITUTE(SUBSTITUTE(SUBSTITUTE(SUBSTITUTE(UPPER(IFERROR(INDEX('Base de Personas'!$F7:F21,MATCH($A177,'Base de Personas'!$B7:B21,0)),IFERROR(INDEX($E$5:E176,MATCH($A177,$A$5:A176,0)),""))),"Á","A"),"É","E"),"Í","I"),"Ó","O"),"Ú","U"),"Ü","U")))</f>
        <v/>
      </c>
      <c r="F177" s="36" t="str">
        <f aca="false">IF($A177="","",TRIM(SUBSTITUTE(SUBSTITUTE(SUBSTITUTE(SUBSTITUTE(SUBSTITUTE(SUBSTITUTE(UPPER(IFERROR(INDEX('Base de Personas'!$G7:G21,MATCH($A177,'Base de Personas'!$B7:B21,0)),IFERROR(INDEX($F$5:F176,MATCH($A177,$A$5:A176,0)),""))),"Á","A"),"É","E"),"Í","I"),"Ó","O"),"Ú","U"),"Ü","U")))</f>
        <v/>
      </c>
      <c r="G177" s="37" t="str">
        <f aca="false">IF($A177="","",TRIM(SUBSTITUTE(SUBSTITUTE(SUBSTITUTE(SUBSTITUTE(SUBSTITUTE(SUBSTITUTE(UPPER(IFERROR(INDEX('Base de Personas'!$H7:H21,MATCH($A177,'Base de Personas'!$B7:B21,0)),IFERROR(INDEX($G$5:G176,MATCH($A177,$A$5:A176,0)),""))),"Á","A"),"É","E"),"Í","I"),"Ó","O"),"Ú","U"),"Ü","U")))</f>
        <v/>
      </c>
      <c r="H177" s="38" t="str">
        <f aca="false">IF($A177="","",IFERROR(INDEX('Base de Personas'!$I$7:$I$21,MATCH($A177,'Base de Personas'!$B$7:$B$21,0)),IFERROR(INDEX($H$5:H176,MATCH($A177,$A$5:A176,0)),"")))</f>
        <v/>
      </c>
      <c r="I177" s="39"/>
      <c r="J177" s="40"/>
      <c r="K177" s="40"/>
      <c r="L177" s="39"/>
      <c r="M177" s="41" t="str">
        <f aca="false">IF($A177="","",IF(K177=_xlfn.MAXIFS($K$5:$K$304,$A$5:$A$304,$A177),1,0))</f>
        <v/>
      </c>
      <c r="N177" s="41" t="str">
        <f aca="false">IF($A177="","",IF(M177=1,$A177&amp;"-ACT",""))</f>
        <v/>
      </c>
      <c r="O177" s="41" t="str">
        <f aca="false">IF($A177="","",IF(AND(COUNTIF('Base de Personas'!$B$7:$B$21,$A177)=0,COUNTIF($A$5:A177,$A177)=1),1,0))</f>
        <v/>
      </c>
      <c r="P177" s="41" t="str">
        <f aca="false">IF(O177=1,SUM($O$5:O177),"")</f>
        <v/>
      </c>
    </row>
    <row r="178" customFormat="false" ht="15" hidden="false" customHeight="false" outlineLevel="0" collapsed="false">
      <c r="A178" s="35"/>
      <c r="B178" s="36" t="str">
        <f aca="false">IF($A178="","",TRIM(SUBSTITUTE(SUBSTITUTE(SUBSTITUTE(SUBSTITUTE(SUBSTITUTE(SUBSTITUTE(UPPER(IFERROR(INDEX('Base de Personas'!$C7:C21,MATCH($A178,'Base de Personas'!$B7:B21,0)),IFERROR(INDEX($B$5:B177,MATCH($A178,$A$5:A177,0)),""))),"Á","A"),"É","E"),"Í","I"),"Ó","O"),"Ú","U"),"Ü","U")))</f>
        <v/>
      </c>
      <c r="C178" s="37" t="str">
        <f aca="false">IF($A178="","",TRIM(SUBSTITUTE(SUBSTITUTE(SUBSTITUTE(SUBSTITUTE(SUBSTITUTE(SUBSTITUTE(UPPER(IFERROR(INDEX('Base de Personas'!$D7:D21,MATCH($A178,'Base de Personas'!$B7:B21,0)),IFERROR(INDEX($C$5:C177,MATCH($A178,$A$5:A177,0)),""))),"Á","A"),"É","E"),"Í","I"),"Ó","O"),"Ú","U"),"Ü","U")))</f>
        <v/>
      </c>
      <c r="D178" s="36" t="str">
        <f aca="false">IF($A178="","",TRIM(SUBSTITUTE(SUBSTITUTE(SUBSTITUTE(SUBSTITUTE(SUBSTITUTE(SUBSTITUTE(UPPER(IFERROR(INDEX('Base de Personas'!$E7:E21,MATCH($A178,'Base de Personas'!$B7:B21,0)),IFERROR(INDEX($D$5:D177,MATCH($A178,$A$5:A177,0)),""))),"Á","A"),"É","E"),"Í","I"),"Ó","O"),"Ú","U"),"Ü","U")))</f>
        <v/>
      </c>
      <c r="E178" s="36" t="str">
        <f aca="false">IF($A178="","",TRIM(SUBSTITUTE(SUBSTITUTE(SUBSTITUTE(SUBSTITUTE(SUBSTITUTE(SUBSTITUTE(UPPER(IFERROR(INDEX('Base de Personas'!$F7:F21,MATCH($A178,'Base de Personas'!$B7:B21,0)),IFERROR(INDEX($E$5:E177,MATCH($A178,$A$5:A177,0)),""))),"Á","A"),"É","E"),"Í","I"),"Ó","O"),"Ú","U"),"Ü","U")))</f>
        <v/>
      </c>
      <c r="F178" s="36" t="str">
        <f aca="false">IF($A178="","",TRIM(SUBSTITUTE(SUBSTITUTE(SUBSTITUTE(SUBSTITUTE(SUBSTITUTE(SUBSTITUTE(UPPER(IFERROR(INDEX('Base de Personas'!$G7:G21,MATCH($A178,'Base de Personas'!$B7:B21,0)),IFERROR(INDEX($F$5:F177,MATCH($A178,$A$5:A177,0)),""))),"Á","A"),"É","E"),"Í","I"),"Ó","O"),"Ú","U"),"Ü","U")))</f>
        <v/>
      </c>
      <c r="G178" s="37" t="str">
        <f aca="false">IF($A178="","",TRIM(SUBSTITUTE(SUBSTITUTE(SUBSTITUTE(SUBSTITUTE(SUBSTITUTE(SUBSTITUTE(UPPER(IFERROR(INDEX('Base de Personas'!$H7:H21,MATCH($A178,'Base de Personas'!$B7:B21,0)),IFERROR(INDEX($G$5:G177,MATCH($A178,$A$5:A177,0)),""))),"Á","A"),"É","E"),"Í","I"),"Ó","O"),"Ú","U"),"Ü","U")))</f>
        <v/>
      </c>
      <c r="H178" s="38" t="str">
        <f aca="false">IF($A178="","",IFERROR(INDEX('Base de Personas'!$I$7:$I$21,MATCH($A178,'Base de Personas'!$B$7:$B$21,0)),IFERROR(INDEX($H$5:H177,MATCH($A178,$A$5:A177,0)),"")))</f>
        <v/>
      </c>
      <c r="I178" s="39"/>
      <c r="J178" s="40"/>
      <c r="K178" s="40"/>
      <c r="L178" s="39"/>
      <c r="M178" s="41" t="str">
        <f aca="false">IF($A178="","",IF(K178=_xlfn.MAXIFS($K$5:$K$304,$A$5:$A$304,$A178),1,0))</f>
        <v/>
      </c>
      <c r="N178" s="41" t="str">
        <f aca="false">IF($A178="","",IF(M178=1,$A178&amp;"-ACT",""))</f>
        <v/>
      </c>
      <c r="O178" s="41" t="str">
        <f aca="false">IF($A178="","",IF(AND(COUNTIF('Base de Personas'!$B$7:$B$21,$A178)=0,COUNTIF($A$5:A178,$A178)=1),1,0))</f>
        <v/>
      </c>
      <c r="P178" s="41" t="str">
        <f aca="false">IF(O178=1,SUM($O$5:O178),"")</f>
        <v/>
      </c>
    </row>
    <row r="179" customFormat="false" ht="15" hidden="false" customHeight="false" outlineLevel="0" collapsed="false">
      <c r="A179" s="35"/>
      <c r="B179" s="36" t="str">
        <f aca="false">IF($A179="","",TRIM(SUBSTITUTE(SUBSTITUTE(SUBSTITUTE(SUBSTITUTE(SUBSTITUTE(SUBSTITUTE(UPPER(IFERROR(INDEX('Base de Personas'!$C7:C21,MATCH($A179,'Base de Personas'!$B7:B21,0)),IFERROR(INDEX($B$5:B178,MATCH($A179,$A$5:A178,0)),""))),"Á","A"),"É","E"),"Í","I"),"Ó","O"),"Ú","U"),"Ü","U")))</f>
        <v/>
      </c>
      <c r="C179" s="37" t="str">
        <f aca="false">IF($A179="","",TRIM(SUBSTITUTE(SUBSTITUTE(SUBSTITUTE(SUBSTITUTE(SUBSTITUTE(SUBSTITUTE(UPPER(IFERROR(INDEX('Base de Personas'!$D7:D21,MATCH($A179,'Base de Personas'!$B7:B21,0)),IFERROR(INDEX($C$5:C178,MATCH($A179,$A$5:A178,0)),""))),"Á","A"),"É","E"),"Í","I"),"Ó","O"),"Ú","U"),"Ü","U")))</f>
        <v/>
      </c>
      <c r="D179" s="36" t="str">
        <f aca="false">IF($A179="","",TRIM(SUBSTITUTE(SUBSTITUTE(SUBSTITUTE(SUBSTITUTE(SUBSTITUTE(SUBSTITUTE(UPPER(IFERROR(INDEX('Base de Personas'!$E7:E21,MATCH($A179,'Base de Personas'!$B7:B21,0)),IFERROR(INDEX($D$5:D178,MATCH($A179,$A$5:A178,0)),""))),"Á","A"),"É","E"),"Í","I"),"Ó","O"),"Ú","U"),"Ü","U")))</f>
        <v/>
      </c>
      <c r="E179" s="36" t="str">
        <f aca="false">IF($A179="","",TRIM(SUBSTITUTE(SUBSTITUTE(SUBSTITUTE(SUBSTITUTE(SUBSTITUTE(SUBSTITUTE(UPPER(IFERROR(INDEX('Base de Personas'!$F7:F21,MATCH($A179,'Base de Personas'!$B7:B21,0)),IFERROR(INDEX($E$5:E178,MATCH($A179,$A$5:A178,0)),""))),"Á","A"),"É","E"),"Í","I"),"Ó","O"),"Ú","U"),"Ü","U")))</f>
        <v/>
      </c>
      <c r="F179" s="36" t="str">
        <f aca="false">IF($A179="","",TRIM(SUBSTITUTE(SUBSTITUTE(SUBSTITUTE(SUBSTITUTE(SUBSTITUTE(SUBSTITUTE(UPPER(IFERROR(INDEX('Base de Personas'!$G7:G21,MATCH($A179,'Base de Personas'!$B7:B21,0)),IFERROR(INDEX($F$5:F178,MATCH($A179,$A$5:A178,0)),""))),"Á","A"),"É","E"),"Í","I"),"Ó","O"),"Ú","U"),"Ü","U")))</f>
        <v/>
      </c>
      <c r="G179" s="37" t="str">
        <f aca="false">IF($A179="","",TRIM(SUBSTITUTE(SUBSTITUTE(SUBSTITUTE(SUBSTITUTE(SUBSTITUTE(SUBSTITUTE(UPPER(IFERROR(INDEX('Base de Personas'!$H7:H21,MATCH($A179,'Base de Personas'!$B7:B21,0)),IFERROR(INDEX($G$5:G178,MATCH($A179,$A$5:A178,0)),""))),"Á","A"),"É","E"),"Í","I"),"Ó","O"),"Ú","U"),"Ü","U")))</f>
        <v/>
      </c>
      <c r="H179" s="38" t="str">
        <f aca="false">IF($A179="","",IFERROR(INDEX('Base de Personas'!$I$7:$I$21,MATCH($A179,'Base de Personas'!$B$7:$B$21,0)),IFERROR(INDEX($H$5:H178,MATCH($A179,$A$5:A178,0)),"")))</f>
        <v/>
      </c>
      <c r="I179" s="39"/>
      <c r="J179" s="40"/>
      <c r="K179" s="40"/>
      <c r="L179" s="39"/>
      <c r="M179" s="41" t="str">
        <f aca="false">IF($A179="","",IF(K179=_xlfn.MAXIFS($K$5:$K$304,$A$5:$A$304,$A179),1,0))</f>
        <v/>
      </c>
      <c r="N179" s="41" t="str">
        <f aca="false">IF($A179="","",IF(M179=1,$A179&amp;"-ACT",""))</f>
        <v/>
      </c>
      <c r="O179" s="41" t="str">
        <f aca="false">IF($A179="","",IF(AND(COUNTIF('Base de Personas'!$B$7:$B$21,$A179)=0,COUNTIF($A$5:A179,$A179)=1),1,0))</f>
        <v/>
      </c>
      <c r="P179" s="41" t="str">
        <f aca="false">IF(O179=1,SUM($O$5:O179),"")</f>
        <v/>
      </c>
    </row>
    <row r="180" customFormat="false" ht="15" hidden="false" customHeight="false" outlineLevel="0" collapsed="false">
      <c r="A180" s="35"/>
      <c r="B180" s="36" t="str">
        <f aca="false">IF($A180="","",TRIM(SUBSTITUTE(SUBSTITUTE(SUBSTITUTE(SUBSTITUTE(SUBSTITUTE(SUBSTITUTE(UPPER(IFERROR(INDEX('Base de Personas'!$C7:C21,MATCH($A180,'Base de Personas'!$B7:B21,0)),IFERROR(INDEX($B$5:B179,MATCH($A180,$A$5:A179,0)),""))),"Á","A"),"É","E"),"Í","I"),"Ó","O"),"Ú","U"),"Ü","U")))</f>
        <v/>
      </c>
      <c r="C180" s="37" t="str">
        <f aca="false">IF($A180="","",TRIM(SUBSTITUTE(SUBSTITUTE(SUBSTITUTE(SUBSTITUTE(SUBSTITUTE(SUBSTITUTE(UPPER(IFERROR(INDEX('Base de Personas'!$D7:D21,MATCH($A180,'Base de Personas'!$B7:B21,0)),IFERROR(INDEX($C$5:C179,MATCH($A180,$A$5:A179,0)),""))),"Á","A"),"É","E"),"Í","I"),"Ó","O"),"Ú","U"),"Ü","U")))</f>
        <v/>
      </c>
      <c r="D180" s="36" t="str">
        <f aca="false">IF($A180="","",TRIM(SUBSTITUTE(SUBSTITUTE(SUBSTITUTE(SUBSTITUTE(SUBSTITUTE(SUBSTITUTE(UPPER(IFERROR(INDEX('Base de Personas'!$E7:E21,MATCH($A180,'Base de Personas'!$B7:B21,0)),IFERROR(INDEX($D$5:D179,MATCH($A180,$A$5:A179,0)),""))),"Á","A"),"É","E"),"Í","I"),"Ó","O"),"Ú","U"),"Ü","U")))</f>
        <v/>
      </c>
      <c r="E180" s="36" t="str">
        <f aca="false">IF($A180="","",TRIM(SUBSTITUTE(SUBSTITUTE(SUBSTITUTE(SUBSTITUTE(SUBSTITUTE(SUBSTITUTE(UPPER(IFERROR(INDEX('Base de Personas'!$F7:F21,MATCH($A180,'Base de Personas'!$B7:B21,0)),IFERROR(INDEX($E$5:E179,MATCH($A180,$A$5:A179,0)),""))),"Á","A"),"É","E"),"Í","I"),"Ó","O"),"Ú","U"),"Ü","U")))</f>
        <v/>
      </c>
      <c r="F180" s="36" t="str">
        <f aca="false">IF($A180="","",TRIM(SUBSTITUTE(SUBSTITUTE(SUBSTITUTE(SUBSTITUTE(SUBSTITUTE(SUBSTITUTE(UPPER(IFERROR(INDEX('Base de Personas'!$G7:G21,MATCH($A180,'Base de Personas'!$B7:B21,0)),IFERROR(INDEX($F$5:F179,MATCH($A180,$A$5:A179,0)),""))),"Á","A"),"É","E"),"Í","I"),"Ó","O"),"Ú","U"),"Ü","U")))</f>
        <v/>
      </c>
      <c r="G180" s="37" t="str">
        <f aca="false">IF($A180="","",TRIM(SUBSTITUTE(SUBSTITUTE(SUBSTITUTE(SUBSTITUTE(SUBSTITUTE(SUBSTITUTE(UPPER(IFERROR(INDEX('Base de Personas'!$H7:H21,MATCH($A180,'Base de Personas'!$B7:B21,0)),IFERROR(INDEX($G$5:G179,MATCH($A180,$A$5:A179,0)),""))),"Á","A"),"É","E"),"Í","I"),"Ó","O"),"Ú","U"),"Ü","U")))</f>
        <v/>
      </c>
      <c r="H180" s="38" t="str">
        <f aca="false">IF($A180="","",IFERROR(INDEX('Base de Personas'!$I$7:$I$21,MATCH($A180,'Base de Personas'!$B$7:$B$21,0)),IFERROR(INDEX($H$5:H179,MATCH($A180,$A$5:A179,0)),"")))</f>
        <v/>
      </c>
      <c r="I180" s="39"/>
      <c r="J180" s="40"/>
      <c r="K180" s="40"/>
      <c r="L180" s="39"/>
      <c r="M180" s="41" t="str">
        <f aca="false">IF($A180="","",IF(K180=_xlfn.MAXIFS($K$5:$K$304,$A$5:$A$304,$A180),1,0))</f>
        <v/>
      </c>
      <c r="N180" s="41" t="str">
        <f aca="false">IF($A180="","",IF(M180=1,$A180&amp;"-ACT",""))</f>
        <v/>
      </c>
      <c r="O180" s="41" t="str">
        <f aca="false">IF($A180="","",IF(AND(COUNTIF('Base de Personas'!$B$7:$B$21,$A180)=0,COUNTIF($A$5:A180,$A180)=1),1,0))</f>
        <v/>
      </c>
      <c r="P180" s="41" t="str">
        <f aca="false">IF(O180=1,SUM($O$5:O180),"")</f>
        <v/>
      </c>
    </row>
    <row r="181" customFormat="false" ht="15" hidden="false" customHeight="false" outlineLevel="0" collapsed="false">
      <c r="A181" s="35"/>
      <c r="B181" s="36" t="str">
        <f aca="false">IF($A181="","",TRIM(SUBSTITUTE(SUBSTITUTE(SUBSTITUTE(SUBSTITUTE(SUBSTITUTE(SUBSTITUTE(UPPER(IFERROR(INDEX('Base de Personas'!$C7:C21,MATCH($A181,'Base de Personas'!$B7:B21,0)),IFERROR(INDEX($B$5:B180,MATCH($A181,$A$5:A180,0)),""))),"Á","A"),"É","E"),"Í","I"),"Ó","O"),"Ú","U"),"Ü","U")))</f>
        <v/>
      </c>
      <c r="C181" s="37" t="str">
        <f aca="false">IF($A181="","",TRIM(SUBSTITUTE(SUBSTITUTE(SUBSTITUTE(SUBSTITUTE(SUBSTITUTE(SUBSTITUTE(UPPER(IFERROR(INDEX('Base de Personas'!$D7:D21,MATCH($A181,'Base de Personas'!$B7:B21,0)),IFERROR(INDEX($C$5:C180,MATCH($A181,$A$5:A180,0)),""))),"Á","A"),"É","E"),"Í","I"),"Ó","O"),"Ú","U"),"Ü","U")))</f>
        <v/>
      </c>
      <c r="D181" s="36" t="str">
        <f aca="false">IF($A181="","",TRIM(SUBSTITUTE(SUBSTITUTE(SUBSTITUTE(SUBSTITUTE(SUBSTITUTE(SUBSTITUTE(UPPER(IFERROR(INDEX('Base de Personas'!$E7:E21,MATCH($A181,'Base de Personas'!$B7:B21,0)),IFERROR(INDEX($D$5:D180,MATCH($A181,$A$5:A180,0)),""))),"Á","A"),"É","E"),"Í","I"),"Ó","O"),"Ú","U"),"Ü","U")))</f>
        <v/>
      </c>
      <c r="E181" s="36" t="str">
        <f aca="false">IF($A181="","",TRIM(SUBSTITUTE(SUBSTITUTE(SUBSTITUTE(SUBSTITUTE(SUBSTITUTE(SUBSTITUTE(UPPER(IFERROR(INDEX('Base de Personas'!$F7:F21,MATCH($A181,'Base de Personas'!$B7:B21,0)),IFERROR(INDEX($E$5:E180,MATCH($A181,$A$5:A180,0)),""))),"Á","A"),"É","E"),"Í","I"),"Ó","O"),"Ú","U"),"Ü","U")))</f>
        <v/>
      </c>
      <c r="F181" s="36" t="str">
        <f aca="false">IF($A181="","",TRIM(SUBSTITUTE(SUBSTITUTE(SUBSTITUTE(SUBSTITUTE(SUBSTITUTE(SUBSTITUTE(UPPER(IFERROR(INDEX('Base de Personas'!$G7:G21,MATCH($A181,'Base de Personas'!$B7:B21,0)),IFERROR(INDEX($F$5:F180,MATCH($A181,$A$5:A180,0)),""))),"Á","A"),"É","E"),"Í","I"),"Ó","O"),"Ú","U"),"Ü","U")))</f>
        <v/>
      </c>
      <c r="G181" s="37" t="str">
        <f aca="false">IF($A181="","",TRIM(SUBSTITUTE(SUBSTITUTE(SUBSTITUTE(SUBSTITUTE(SUBSTITUTE(SUBSTITUTE(UPPER(IFERROR(INDEX('Base de Personas'!$H7:H21,MATCH($A181,'Base de Personas'!$B7:B21,0)),IFERROR(INDEX($G$5:G180,MATCH($A181,$A$5:A180,0)),""))),"Á","A"),"É","E"),"Í","I"),"Ó","O"),"Ú","U"),"Ü","U")))</f>
        <v/>
      </c>
      <c r="H181" s="38" t="str">
        <f aca="false">IF($A181="","",IFERROR(INDEX('Base de Personas'!$I$7:$I$21,MATCH($A181,'Base de Personas'!$B$7:$B$21,0)),IFERROR(INDEX($H$5:H180,MATCH($A181,$A$5:A180,0)),"")))</f>
        <v/>
      </c>
      <c r="I181" s="39"/>
      <c r="J181" s="40"/>
      <c r="K181" s="40"/>
      <c r="L181" s="39"/>
      <c r="M181" s="41" t="str">
        <f aca="false">IF($A181="","",IF(K181=_xlfn.MAXIFS($K$5:$K$304,$A$5:$A$304,$A181),1,0))</f>
        <v/>
      </c>
      <c r="N181" s="41" t="str">
        <f aca="false">IF($A181="","",IF(M181=1,$A181&amp;"-ACT",""))</f>
        <v/>
      </c>
      <c r="O181" s="41" t="str">
        <f aca="false">IF($A181="","",IF(AND(COUNTIF('Base de Personas'!$B$7:$B$21,$A181)=0,COUNTIF($A$5:A181,$A181)=1),1,0))</f>
        <v/>
      </c>
      <c r="P181" s="41" t="str">
        <f aca="false">IF(O181=1,SUM($O$5:O181),"")</f>
        <v/>
      </c>
    </row>
    <row r="182" customFormat="false" ht="15" hidden="false" customHeight="false" outlineLevel="0" collapsed="false">
      <c r="A182" s="35"/>
      <c r="B182" s="36" t="str">
        <f aca="false">IF($A182="","",TRIM(SUBSTITUTE(SUBSTITUTE(SUBSTITUTE(SUBSTITUTE(SUBSTITUTE(SUBSTITUTE(UPPER(IFERROR(INDEX('Base de Personas'!$C7:C21,MATCH($A182,'Base de Personas'!$B7:B21,0)),IFERROR(INDEX($B$5:B181,MATCH($A182,$A$5:A181,0)),""))),"Á","A"),"É","E"),"Í","I"),"Ó","O"),"Ú","U"),"Ü","U")))</f>
        <v/>
      </c>
      <c r="C182" s="37" t="str">
        <f aca="false">IF($A182="","",TRIM(SUBSTITUTE(SUBSTITUTE(SUBSTITUTE(SUBSTITUTE(SUBSTITUTE(SUBSTITUTE(UPPER(IFERROR(INDEX('Base de Personas'!$D7:D21,MATCH($A182,'Base de Personas'!$B7:B21,0)),IFERROR(INDEX($C$5:C181,MATCH($A182,$A$5:A181,0)),""))),"Á","A"),"É","E"),"Í","I"),"Ó","O"),"Ú","U"),"Ü","U")))</f>
        <v/>
      </c>
      <c r="D182" s="36" t="str">
        <f aca="false">IF($A182="","",TRIM(SUBSTITUTE(SUBSTITUTE(SUBSTITUTE(SUBSTITUTE(SUBSTITUTE(SUBSTITUTE(UPPER(IFERROR(INDEX('Base de Personas'!$E7:E21,MATCH($A182,'Base de Personas'!$B7:B21,0)),IFERROR(INDEX($D$5:D181,MATCH($A182,$A$5:A181,0)),""))),"Á","A"),"É","E"),"Í","I"),"Ó","O"),"Ú","U"),"Ü","U")))</f>
        <v/>
      </c>
      <c r="E182" s="36" t="str">
        <f aca="false">IF($A182="","",TRIM(SUBSTITUTE(SUBSTITUTE(SUBSTITUTE(SUBSTITUTE(SUBSTITUTE(SUBSTITUTE(UPPER(IFERROR(INDEX('Base de Personas'!$F7:F21,MATCH($A182,'Base de Personas'!$B7:B21,0)),IFERROR(INDEX($E$5:E181,MATCH($A182,$A$5:A181,0)),""))),"Á","A"),"É","E"),"Í","I"),"Ó","O"),"Ú","U"),"Ü","U")))</f>
        <v/>
      </c>
      <c r="F182" s="36" t="str">
        <f aca="false">IF($A182="","",TRIM(SUBSTITUTE(SUBSTITUTE(SUBSTITUTE(SUBSTITUTE(SUBSTITUTE(SUBSTITUTE(UPPER(IFERROR(INDEX('Base de Personas'!$G7:G21,MATCH($A182,'Base de Personas'!$B7:B21,0)),IFERROR(INDEX($F$5:F181,MATCH($A182,$A$5:A181,0)),""))),"Á","A"),"É","E"),"Í","I"),"Ó","O"),"Ú","U"),"Ü","U")))</f>
        <v/>
      </c>
      <c r="G182" s="37" t="str">
        <f aca="false">IF($A182="","",TRIM(SUBSTITUTE(SUBSTITUTE(SUBSTITUTE(SUBSTITUTE(SUBSTITUTE(SUBSTITUTE(UPPER(IFERROR(INDEX('Base de Personas'!$H7:H21,MATCH($A182,'Base de Personas'!$B7:B21,0)),IFERROR(INDEX($G$5:G181,MATCH($A182,$A$5:A181,0)),""))),"Á","A"),"É","E"),"Í","I"),"Ó","O"),"Ú","U"),"Ü","U")))</f>
        <v/>
      </c>
      <c r="H182" s="38" t="str">
        <f aca="false">IF($A182="","",IFERROR(INDEX('Base de Personas'!$I$7:$I$21,MATCH($A182,'Base de Personas'!$B$7:$B$21,0)),IFERROR(INDEX($H$5:H181,MATCH($A182,$A$5:A181,0)),"")))</f>
        <v/>
      </c>
      <c r="I182" s="39"/>
      <c r="J182" s="40"/>
      <c r="K182" s="40"/>
      <c r="L182" s="39"/>
      <c r="M182" s="41" t="str">
        <f aca="false">IF($A182="","",IF(K182=_xlfn.MAXIFS($K$5:$K$304,$A$5:$A$304,$A182),1,0))</f>
        <v/>
      </c>
      <c r="N182" s="41" t="str">
        <f aca="false">IF($A182="","",IF(M182=1,$A182&amp;"-ACT",""))</f>
        <v/>
      </c>
      <c r="O182" s="41" t="str">
        <f aca="false">IF($A182="","",IF(AND(COUNTIF('Base de Personas'!$B$7:$B$21,$A182)=0,COUNTIF($A$5:A182,$A182)=1),1,0))</f>
        <v/>
      </c>
      <c r="P182" s="41" t="str">
        <f aca="false">IF(O182=1,SUM($O$5:O182),"")</f>
        <v/>
      </c>
    </row>
    <row r="183" customFormat="false" ht="15" hidden="false" customHeight="false" outlineLevel="0" collapsed="false">
      <c r="A183" s="35"/>
      <c r="B183" s="36" t="str">
        <f aca="false">IF($A183="","",TRIM(SUBSTITUTE(SUBSTITUTE(SUBSTITUTE(SUBSTITUTE(SUBSTITUTE(SUBSTITUTE(UPPER(IFERROR(INDEX('Base de Personas'!$C7:C21,MATCH($A183,'Base de Personas'!$B7:B21,0)),IFERROR(INDEX($B$5:B182,MATCH($A183,$A$5:A182,0)),""))),"Á","A"),"É","E"),"Í","I"),"Ó","O"),"Ú","U"),"Ü","U")))</f>
        <v/>
      </c>
      <c r="C183" s="37" t="str">
        <f aca="false">IF($A183="","",TRIM(SUBSTITUTE(SUBSTITUTE(SUBSTITUTE(SUBSTITUTE(SUBSTITUTE(SUBSTITUTE(UPPER(IFERROR(INDEX('Base de Personas'!$D7:D21,MATCH($A183,'Base de Personas'!$B7:B21,0)),IFERROR(INDEX($C$5:C182,MATCH($A183,$A$5:A182,0)),""))),"Á","A"),"É","E"),"Í","I"),"Ó","O"),"Ú","U"),"Ü","U")))</f>
        <v/>
      </c>
      <c r="D183" s="36" t="str">
        <f aca="false">IF($A183="","",TRIM(SUBSTITUTE(SUBSTITUTE(SUBSTITUTE(SUBSTITUTE(SUBSTITUTE(SUBSTITUTE(UPPER(IFERROR(INDEX('Base de Personas'!$E7:E21,MATCH($A183,'Base de Personas'!$B7:B21,0)),IFERROR(INDEX($D$5:D182,MATCH($A183,$A$5:A182,0)),""))),"Á","A"),"É","E"),"Í","I"),"Ó","O"),"Ú","U"),"Ü","U")))</f>
        <v/>
      </c>
      <c r="E183" s="36" t="str">
        <f aca="false">IF($A183="","",TRIM(SUBSTITUTE(SUBSTITUTE(SUBSTITUTE(SUBSTITUTE(SUBSTITUTE(SUBSTITUTE(UPPER(IFERROR(INDEX('Base de Personas'!$F7:F21,MATCH($A183,'Base de Personas'!$B7:B21,0)),IFERROR(INDEX($E$5:E182,MATCH($A183,$A$5:A182,0)),""))),"Á","A"),"É","E"),"Í","I"),"Ó","O"),"Ú","U"),"Ü","U")))</f>
        <v/>
      </c>
      <c r="F183" s="36" t="str">
        <f aca="false">IF($A183="","",TRIM(SUBSTITUTE(SUBSTITUTE(SUBSTITUTE(SUBSTITUTE(SUBSTITUTE(SUBSTITUTE(UPPER(IFERROR(INDEX('Base de Personas'!$G7:G21,MATCH($A183,'Base de Personas'!$B7:B21,0)),IFERROR(INDEX($F$5:F182,MATCH($A183,$A$5:A182,0)),""))),"Á","A"),"É","E"),"Í","I"),"Ó","O"),"Ú","U"),"Ü","U")))</f>
        <v/>
      </c>
      <c r="G183" s="37" t="str">
        <f aca="false">IF($A183="","",TRIM(SUBSTITUTE(SUBSTITUTE(SUBSTITUTE(SUBSTITUTE(SUBSTITUTE(SUBSTITUTE(UPPER(IFERROR(INDEX('Base de Personas'!$H7:H21,MATCH($A183,'Base de Personas'!$B7:B21,0)),IFERROR(INDEX($G$5:G182,MATCH($A183,$A$5:A182,0)),""))),"Á","A"),"É","E"),"Í","I"),"Ó","O"),"Ú","U"),"Ü","U")))</f>
        <v/>
      </c>
      <c r="H183" s="38" t="str">
        <f aca="false">IF($A183="","",IFERROR(INDEX('Base de Personas'!$I$7:$I$21,MATCH($A183,'Base de Personas'!$B$7:$B$21,0)),IFERROR(INDEX($H$5:H182,MATCH($A183,$A$5:A182,0)),"")))</f>
        <v/>
      </c>
      <c r="I183" s="39"/>
      <c r="J183" s="40"/>
      <c r="K183" s="40"/>
      <c r="L183" s="39"/>
      <c r="M183" s="41" t="str">
        <f aca="false">IF($A183="","",IF(K183=_xlfn.MAXIFS($K$5:$K$304,$A$5:$A$304,$A183),1,0))</f>
        <v/>
      </c>
      <c r="N183" s="41" t="str">
        <f aca="false">IF($A183="","",IF(M183=1,$A183&amp;"-ACT",""))</f>
        <v/>
      </c>
      <c r="O183" s="41" t="str">
        <f aca="false">IF($A183="","",IF(AND(COUNTIF('Base de Personas'!$B$7:$B$21,$A183)=0,COUNTIF($A$5:A183,$A183)=1),1,0))</f>
        <v/>
      </c>
      <c r="P183" s="41" t="str">
        <f aca="false">IF(O183=1,SUM($O$5:O183),"")</f>
        <v/>
      </c>
    </row>
    <row r="184" customFormat="false" ht="15" hidden="false" customHeight="false" outlineLevel="0" collapsed="false">
      <c r="A184" s="35"/>
      <c r="B184" s="36" t="str">
        <f aca="false">IF($A184="","",TRIM(SUBSTITUTE(SUBSTITUTE(SUBSTITUTE(SUBSTITUTE(SUBSTITUTE(SUBSTITUTE(UPPER(IFERROR(INDEX('Base de Personas'!$C7:C21,MATCH($A184,'Base de Personas'!$B7:B21,0)),IFERROR(INDEX($B$5:B183,MATCH($A184,$A$5:A183,0)),""))),"Á","A"),"É","E"),"Í","I"),"Ó","O"),"Ú","U"),"Ü","U")))</f>
        <v/>
      </c>
      <c r="C184" s="37" t="str">
        <f aca="false">IF($A184="","",TRIM(SUBSTITUTE(SUBSTITUTE(SUBSTITUTE(SUBSTITUTE(SUBSTITUTE(SUBSTITUTE(UPPER(IFERROR(INDEX('Base de Personas'!$D7:D21,MATCH($A184,'Base de Personas'!$B7:B21,0)),IFERROR(INDEX($C$5:C183,MATCH($A184,$A$5:A183,0)),""))),"Á","A"),"É","E"),"Í","I"),"Ó","O"),"Ú","U"),"Ü","U")))</f>
        <v/>
      </c>
      <c r="D184" s="36" t="str">
        <f aca="false">IF($A184="","",TRIM(SUBSTITUTE(SUBSTITUTE(SUBSTITUTE(SUBSTITUTE(SUBSTITUTE(SUBSTITUTE(UPPER(IFERROR(INDEX('Base de Personas'!$E7:E21,MATCH($A184,'Base de Personas'!$B7:B21,0)),IFERROR(INDEX($D$5:D183,MATCH($A184,$A$5:A183,0)),""))),"Á","A"),"É","E"),"Í","I"),"Ó","O"),"Ú","U"),"Ü","U")))</f>
        <v/>
      </c>
      <c r="E184" s="36" t="str">
        <f aca="false">IF($A184="","",TRIM(SUBSTITUTE(SUBSTITUTE(SUBSTITUTE(SUBSTITUTE(SUBSTITUTE(SUBSTITUTE(UPPER(IFERROR(INDEX('Base de Personas'!$F7:F21,MATCH($A184,'Base de Personas'!$B7:B21,0)),IFERROR(INDEX($E$5:E183,MATCH($A184,$A$5:A183,0)),""))),"Á","A"),"É","E"),"Í","I"),"Ó","O"),"Ú","U"),"Ü","U")))</f>
        <v/>
      </c>
      <c r="F184" s="36" t="str">
        <f aca="false">IF($A184="","",TRIM(SUBSTITUTE(SUBSTITUTE(SUBSTITUTE(SUBSTITUTE(SUBSTITUTE(SUBSTITUTE(UPPER(IFERROR(INDEX('Base de Personas'!$G7:G21,MATCH($A184,'Base de Personas'!$B7:B21,0)),IFERROR(INDEX($F$5:F183,MATCH($A184,$A$5:A183,0)),""))),"Á","A"),"É","E"),"Í","I"),"Ó","O"),"Ú","U"),"Ü","U")))</f>
        <v/>
      </c>
      <c r="G184" s="37" t="str">
        <f aca="false">IF($A184="","",TRIM(SUBSTITUTE(SUBSTITUTE(SUBSTITUTE(SUBSTITUTE(SUBSTITUTE(SUBSTITUTE(UPPER(IFERROR(INDEX('Base de Personas'!$H7:H21,MATCH($A184,'Base de Personas'!$B7:B21,0)),IFERROR(INDEX($G$5:G183,MATCH($A184,$A$5:A183,0)),""))),"Á","A"),"É","E"),"Í","I"),"Ó","O"),"Ú","U"),"Ü","U")))</f>
        <v/>
      </c>
      <c r="H184" s="38" t="str">
        <f aca="false">IF($A184="","",IFERROR(INDEX('Base de Personas'!$I$7:$I$21,MATCH($A184,'Base de Personas'!$B$7:$B$21,0)),IFERROR(INDEX($H$5:H183,MATCH($A184,$A$5:A183,0)),"")))</f>
        <v/>
      </c>
      <c r="I184" s="39"/>
      <c r="J184" s="40"/>
      <c r="K184" s="40"/>
      <c r="L184" s="39"/>
      <c r="M184" s="41" t="str">
        <f aca="false">IF($A184="","",IF(K184=_xlfn.MAXIFS($K$5:$K$304,$A$5:$A$304,$A184),1,0))</f>
        <v/>
      </c>
      <c r="N184" s="41" t="str">
        <f aca="false">IF($A184="","",IF(M184=1,$A184&amp;"-ACT",""))</f>
        <v/>
      </c>
      <c r="O184" s="41" t="str">
        <f aca="false">IF($A184="","",IF(AND(COUNTIF('Base de Personas'!$B$7:$B$21,$A184)=0,COUNTIF($A$5:A184,$A184)=1),1,0))</f>
        <v/>
      </c>
      <c r="P184" s="41" t="str">
        <f aca="false">IF(O184=1,SUM($O$5:O184),"")</f>
        <v/>
      </c>
    </row>
    <row r="185" customFormat="false" ht="15" hidden="false" customHeight="false" outlineLevel="0" collapsed="false">
      <c r="A185" s="35"/>
      <c r="B185" s="36" t="str">
        <f aca="false">IF($A185="","",TRIM(SUBSTITUTE(SUBSTITUTE(SUBSTITUTE(SUBSTITUTE(SUBSTITUTE(SUBSTITUTE(UPPER(IFERROR(INDEX('Base de Personas'!$C7:C21,MATCH($A185,'Base de Personas'!$B7:B21,0)),IFERROR(INDEX($B$5:B184,MATCH($A185,$A$5:A184,0)),""))),"Á","A"),"É","E"),"Í","I"),"Ó","O"),"Ú","U"),"Ü","U")))</f>
        <v/>
      </c>
      <c r="C185" s="37" t="str">
        <f aca="false">IF($A185="","",TRIM(SUBSTITUTE(SUBSTITUTE(SUBSTITUTE(SUBSTITUTE(SUBSTITUTE(SUBSTITUTE(UPPER(IFERROR(INDEX('Base de Personas'!$D7:D21,MATCH($A185,'Base de Personas'!$B7:B21,0)),IFERROR(INDEX($C$5:C184,MATCH($A185,$A$5:A184,0)),""))),"Á","A"),"É","E"),"Í","I"),"Ó","O"),"Ú","U"),"Ü","U")))</f>
        <v/>
      </c>
      <c r="D185" s="36" t="str">
        <f aca="false">IF($A185="","",TRIM(SUBSTITUTE(SUBSTITUTE(SUBSTITUTE(SUBSTITUTE(SUBSTITUTE(SUBSTITUTE(UPPER(IFERROR(INDEX('Base de Personas'!$E7:E21,MATCH($A185,'Base de Personas'!$B7:B21,0)),IFERROR(INDEX($D$5:D184,MATCH($A185,$A$5:A184,0)),""))),"Á","A"),"É","E"),"Í","I"),"Ó","O"),"Ú","U"),"Ü","U")))</f>
        <v/>
      </c>
      <c r="E185" s="36" t="str">
        <f aca="false">IF($A185="","",TRIM(SUBSTITUTE(SUBSTITUTE(SUBSTITUTE(SUBSTITUTE(SUBSTITUTE(SUBSTITUTE(UPPER(IFERROR(INDEX('Base de Personas'!$F7:F21,MATCH($A185,'Base de Personas'!$B7:B21,0)),IFERROR(INDEX($E$5:E184,MATCH($A185,$A$5:A184,0)),""))),"Á","A"),"É","E"),"Í","I"),"Ó","O"),"Ú","U"),"Ü","U")))</f>
        <v/>
      </c>
      <c r="F185" s="36" t="str">
        <f aca="false">IF($A185="","",TRIM(SUBSTITUTE(SUBSTITUTE(SUBSTITUTE(SUBSTITUTE(SUBSTITUTE(SUBSTITUTE(UPPER(IFERROR(INDEX('Base de Personas'!$G7:G21,MATCH($A185,'Base de Personas'!$B7:B21,0)),IFERROR(INDEX($F$5:F184,MATCH($A185,$A$5:A184,0)),""))),"Á","A"),"É","E"),"Í","I"),"Ó","O"),"Ú","U"),"Ü","U")))</f>
        <v/>
      </c>
      <c r="G185" s="37" t="str">
        <f aca="false">IF($A185="","",TRIM(SUBSTITUTE(SUBSTITUTE(SUBSTITUTE(SUBSTITUTE(SUBSTITUTE(SUBSTITUTE(UPPER(IFERROR(INDEX('Base de Personas'!$H7:H21,MATCH($A185,'Base de Personas'!$B7:B21,0)),IFERROR(INDEX($G$5:G184,MATCH($A185,$A$5:A184,0)),""))),"Á","A"),"É","E"),"Í","I"),"Ó","O"),"Ú","U"),"Ü","U")))</f>
        <v/>
      </c>
      <c r="H185" s="38" t="str">
        <f aca="false">IF($A185="","",IFERROR(INDEX('Base de Personas'!$I$7:$I$21,MATCH($A185,'Base de Personas'!$B$7:$B$21,0)),IFERROR(INDEX($H$5:H184,MATCH($A185,$A$5:A184,0)),"")))</f>
        <v/>
      </c>
      <c r="I185" s="39"/>
      <c r="J185" s="40"/>
      <c r="K185" s="40"/>
      <c r="L185" s="39"/>
      <c r="M185" s="41" t="str">
        <f aca="false">IF($A185="","",IF(K185=_xlfn.MAXIFS($K$5:$K$304,$A$5:$A$304,$A185),1,0))</f>
        <v/>
      </c>
      <c r="N185" s="41" t="str">
        <f aca="false">IF($A185="","",IF(M185=1,$A185&amp;"-ACT",""))</f>
        <v/>
      </c>
      <c r="O185" s="41" t="str">
        <f aca="false">IF($A185="","",IF(AND(COUNTIF('Base de Personas'!$B$7:$B$21,$A185)=0,COUNTIF($A$5:A185,$A185)=1),1,0))</f>
        <v/>
      </c>
      <c r="P185" s="41" t="str">
        <f aca="false">IF(O185=1,SUM($O$5:O185),"")</f>
        <v/>
      </c>
    </row>
    <row r="186" customFormat="false" ht="15" hidden="false" customHeight="false" outlineLevel="0" collapsed="false">
      <c r="A186" s="35"/>
      <c r="B186" s="36" t="str">
        <f aca="false">IF($A186="","",TRIM(SUBSTITUTE(SUBSTITUTE(SUBSTITUTE(SUBSTITUTE(SUBSTITUTE(SUBSTITUTE(UPPER(IFERROR(INDEX('Base de Personas'!$C7:C21,MATCH($A186,'Base de Personas'!$B7:B21,0)),IFERROR(INDEX($B$5:B185,MATCH($A186,$A$5:A185,0)),""))),"Á","A"),"É","E"),"Í","I"),"Ó","O"),"Ú","U"),"Ü","U")))</f>
        <v/>
      </c>
      <c r="C186" s="37" t="str">
        <f aca="false">IF($A186="","",TRIM(SUBSTITUTE(SUBSTITUTE(SUBSTITUTE(SUBSTITUTE(SUBSTITUTE(SUBSTITUTE(UPPER(IFERROR(INDEX('Base de Personas'!$D7:D21,MATCH($A186,'Base de Personas'!$B7:B21,0)),IFERROR(INDEX($C$5:C185,MATCH($A186,$A$5:A185,0)),""))),"Á","A"),"É","E"),"Í","I"),"Ó","O"),"Ú","U"),"Ü","U")))</f>
        <v/>
      </c>
      <c r="D186" s="36" t="str">
        <f aca="false">IF($A186="","",TRIM(SUBSTITUTE(SUBSTITUTE(SUBSTITUTE(SUBSTITUTE(SUBSTITUTE(SUBSTITUTE(UPPER(IFERROR(INDEX('Base de Personas'!$E7:E21,MATCH($A186,'Base de Personas'!$B7:B21,0)),IFERROR(INDEX($D$5:D185,MATCH($A186,$A$5:A185,0)),""))),"Á","A"),"É","E"),"Í","I"),"Ó","O"),"Ú","U"),"Ü","U")))</f>
        <v/>
      </c>
      <c r="E186" s="36" t="str">
        <f aca="false">IF($A186="","",TRIM(SUBSTITUTE(SUBSTITUTE(SUBSTITUTE(SUBSTITUTE(SUBSTITUTE(SUBSTITUTE(UPPER(IFERROR(INDEX('Base de Personas'!$F7:F21,MATCH($A186,'Base de Personas'!$B7:B21,0)),IFERROR(INDEX($E$5:E185,MATCH($A186,$A$5:A185,0)),""))),"Á","A"),"É","E"),"Í","I"),"Ó","O"),"Ú","U"),"Ü","U")))</f>
        <v/>
      </c>
      <c r="F186" s="36" t="str">
        <f aca="false">IF($A186="","",TRIM(SUBSTITUTE(SUBSTITUTE(SUBSTITUTE(SUBSTITUTE(SUBSTITUTE(SUBSTITUTE(UPPER(IFERROR(INDEX('Base de Personas'!$G7:G21,MATCH($A186,'Base de Personas'!$B7:B21,0)),IFERROR(INDEX($F$5:F185,MATCH($A186,$A$5:A185,0)),""))),"Á","A"),"É","E"),"Í","I"),"Ó","O"),"Ú","U"),"Ü","U")))</f>
        <v/>
      </c>
      <c r="G186" s="37" t="str">
        <f aca="false">IF($A186="","",TRIM(SUBSTITUTE(SUBSTITUTE(SUBSTITUTE(SUBSTITUTE(SUBSTITUTE(SUBSTITUTE(UPPER(IFERROR(INDEX('Base de Personas'!$H7:H21,MATCH($A186,'Base de Personas'!$B7:B21,0)),IFERROR(INDEX($G$5:G185,MATCH($A186,$A$5:A185,0)),""))),"Á","A"),"É","E"),"Í","I"),"Ó","O"),"Ú","U"),"Ü","U")))</f>
        <v/>
      </c>
      <c r="H186" s="38" t="str">
        <f aca="false">IF($A186="","",IFERROR(INDEX('Base de Personas'!$I$7:$I$21,MATCH($A186,'Base de Personas'!$B$7:$B$21,0)),IFERROR(INDEX($H$5:H185,MATCH($A186,$A$5:A185,0)),"")))</f>
        <v/>
      </c>
      <c r="I186" s="39"/>
      <c r="J186" s="40"/>
      <c r="K186" s="40"/>
      <c r="L186" s="39"/>
      <c r="M186" s="41" t="str">
        <f aca="false">IF($A186="","",IF(K186=_xlfn.MAXIFS($K$5:$K$304,$A$5:$A$304,$A186),1,0))</f>
        <v/>
      </c>
      <c r="N186" s="41" t="str">
        <f aca="false">IF($A186="","",IF(M186=1,$A186&amp;"-ACT",""))</f>
        <v/>
      </c>
      <c r="O186" s="41" t="str">
        <f aca="false">IF($A186="","",IF(AND(COUNTIF('Base de Personas'!$B$7:$B$21,$A186)=0,COUNTIF($A$5:A186,$A186)=1),1,0))</f>
        <v/>
      </c>
      <c r="P186" s="41" t="str">
        <f aca="false">IF(O186=1,SUM($O$5:O186),"")</f>
        <v/>
      </c>
    </row>
    <row r="187" customFormat="false" ht="15" hidden="false" customHeight="false" outlineLevel="0" collapsed="false">
      <c r="A187" s="35"/>
      <c r="B187" s="36" t="str">
        <f aca="false">IF($A187="","",TRIM(SUBSTITUTE(SUBSTITUTE(SUBSTITUTE(SUBSTITUTE(SUBSTITUTE(SUBSTITUTE(UPPER(IFERROR(INDEX('Base de Personas'!$C7:C21,MATCH($A187,'Base de Personas'!$B7:B21,0)),IFERROR(INDEX($B$5:B186,MATCH($A187,$A$5:A186,0)),""))),"Á","A"),"É","E"),"Í","I"),"Ó","O"),"Ú","U"),"Ü","U")))</f>
        <v/>
      </c>
      <c r="C187" s="37" t="str">
        <f aca="false">IF($A187="","",TRIM(SUBSTITUTE(SUBSTITUTE(SUBSTITUTE(SUBSTITUTE(SUBSTITUTE(SUBSTITUTE(UPPER(IFERROR(INDEX('Base de Personas'!$D7:D21,MATCH($A187,'Base de Personas'!$B7:B21,0)),IFERROR(INDEX($C$5:C186,MATCH($A187,$A$5:A186,0)),""))),"Á","A"),"É","E"),"Í","I"),"Ó","O"),"Ú","U"),"Ü","U")))</f>
        <v/>
      </c>
      <c r="D187" s="36" t="str">
        <f aca="false">IF($A187="","",TRIM(SUBSTITUTE(SUBSTITUTE(SUBSTITUTE(SUBSTITUTE(SUBSTITUTE(SUBSTITUTE(UPPER(IFERROR(INDEX('Base de Personas'!$E7:E21,MATCH($A187,'Base de Personas'!$B7:B21,0)),IFERROR(INDEX($D$5:D186,MATCH($A187,$A$5:A186,0)),""))),"Á","A"),"É","E"),"Í","I"),"Ó","O"),"Ú","U"),"Ü","U")))</f>
        <v/>
      </c>
      <c r="E187" s="36" t="str">
        <f aca="false">IF($A187="","",TRIM(SUBSTITUTE(SUBSTITUTE(SUBSTITUTE(SUBSTITUTE(SUBSTITUTE(SUBSTITUTE(UPPER(IFERROR(INDEX('Base de Personas'!$F7:F21,MATCH($A187,'Base de Personas'!$B7:B21,0)),IFERROR(INDEX($E$5:E186,MATCH($A187,$A$5:A186,0)),""))),"Á","A"),"É","E"),"Í","I"),"Ó","O"),"Ú","U"),"Ü","U")))</f>
        <v/>
      </c>
      <c r="F187" s="36" t="str">
        <f aca="false">IF($A187="","",TRIM(SUBSTITUTE(SUBSTITUTE(SUBSTITUTE(SUBSTITUTE(SUBSTITUTE(SUBSTITUTE(UPPER(IFERROR(INDEX('Base de Personas'!$G7:G21,MATCH($A187,'Base de Personas'!$B7:B21,0)),IFERROR(INDEX($F$5:F186,MATCH($A187,$A$5:A186,0)),""))),"Á","A"),"É","E"),"Í","I"),"Ó","O"),"Ú","U"),"Ü","U")))</f>
        <v/>
      </c>
      <c r="G187" s="37" t="str">
        <f aca="false">IF($A187="","",TRIM(SUBSTITUTE(SUBSTITUTE(SUBSTITUTE(SUBSTITUTE(SUBSTITUTE(SUBSTITUTE(UPPER(IFERROR(INDEX('Base de Personas'!$H7:H21,MATCH($A187,'Base de Personas'!$B7:B21,0)),IFERROR(INDEX($G$5:G186,MATCH($A187,$A$5:A186,0)),""))),"Á","A"),"É","E"),"Í","I"),"Ó","O"),"Ú","U"),"Ü","U")))</f>
        <v/>
      </c>
      <c r="H187" s="38" t="str">
        <f aca="false">IF($A187="","",IFERROR(INDEX('Base de Personas'!$I$7:$I$21,MATCH($A187,'Base de Personas'!$B$7:$B$21,0)),IFERROR(INDEX($H$5:H186,MATCH($A187,$A$5:A186,0)),"")))</f>
        <v/>
      </c>
      <c r="I187" s="39"/>
      <c r="J187" s="40"/>
      <c r="K187" s="40"/>
      <c r="L187" s="39"/>
      <c r="M187" s="41" t="str">
        <f aca="false">IF($A187="","",IF(K187=_xlfn.MAXIFS($K$5:$K$304,$A$5:$A$304,$A187),1,0))</f>
        <v/>
      </c>
      <c r="N187" s="41" t="str">
        <f aca="false">IF($A187="","",IF(M187=1,$A187&amp;"-ACT",""))</f>
        <v/>
      </c>
      <c r="O187" s="41" t="str">
        <f aca="false">IF($A187="","",IF(AND(COUNTIF('Base de Personas'!$B$7:$B$21,$A187)=0,COUNTIF($A$5:A187,$A187)=1),1,0))</f>
        <v/>
      </c>
      <c r="P187" s="41" t="str">
        <f aca="false">IF(O187=1,SUM($O$5:O187),"")</f>
        <v/>
      </c>
    </row>
    <row r="188" customFormat="false" ht="15" hidden="false" customHeight="false" outlineLevel="0" collapsed="false">
      <c r="A188" s="35"/>
      <c r="B188" s="36" t="str">
        <f aca="false">IF($A188="","",TRIM(SUBSTITUTE(SUBSTITUTE(SUBSTITUTE(SUBSTITUTE(SUBSTITUTE(SUBSTITUTE(UPPER(IFERROR(INDEX('Base de Personas'!$C7:C21,MATCH($A188,'Base de Personas'!$B7:B21,0)),IFERROR(INDEX($B$5:B187,MATCH($A188,$A$5:A187,0)),""))),"Á","A"),"É","E"),"Í","I"),"Ó","O"),"Ú","U"),"Ü","U")))</f>
        <v/>
      </c>
      <c r="C188" s="37" t="str">
        <f aca="false">IF($A188="","",TRIM(SUBSTITUTE(SUBSTITUTE(SUBSTITUTE(SUBSTITUTE(SUBSTITUTE(SUBSTITUTE(UPPER(IFERROR(INDEX('Base de Personas'!$D7:D21,MATCH($A188,'Base de Personas'!$B7:B21,0)),IFERROR(INDEX($C$5:C187,MATCH($A188,$A$5:A187,0)),""))),"Á","A"),"É","E"),"Í","I"),"Ó","O"),"Ú","U"),"Ü","U")))</f>
        <v/>
      </c>
      <c r="D188" s="36" t="str">
        <f aca="false">IF($A188="","",TRIM(SUBSTITUTE(SUBSTITUTE(SUBSTITUTE(SUBSTITUTE(SUBSTITUTE(SUBSTITUTE(UPPER(IFERROR(INDEX('Base de Personas'!$E7:E21,MATCH($A188,'Base de Personas'!$B7:B21,0)),IFERROR(INDEX($D$5:D187,MATCH($A188,$A$5:A187,0)),""))),"Á","A"),"É","E"),"Í","I"),"Ó","O"),"Ú","U"),"Ü","U")))</f>
        <v/>
      </c>
      <c r="E188" s="36" t="str">
        <f aca="false">IF($A188="","",TRIM(SUBSTITUTE(SUBSTITUTE(SUBSTITUTE(SUBSTITUTE(SUBSTITUTE(SUBSTITUTE(UPPER(IFERROR(INDEX('Base de Personas'!$F7:F21,MATCH($A188,'Base de Personas'!$B7:B21,0)),IFERROR(INDEX($E$5:E187,MATCH($A188,$A$5:A187,0)),""))),"Á","A"),"É","E"),"Í","I"),"Ó","O"),"Ú","U"),"Ü","U")))</f>
        <v/>
      </c>
      <c r="F188" s="36" t="str">
        <f aca="false">IF($A188="","",TRIM(SUBSTITUTE(SUBSTITUTE(SUBSTITUTE(SUBSTITUTE(SUBSTITUTE(SUBSTITUTE(UPPER(IFERROR(INDEX('Base de Personas'!$G7:G21,MATCH($A188,'Base de Personas'!$B7:B21,0)),IFERROR(INDEX($F$5:F187,MATCH($A188,$A$5:A187,0)),""))),"Á","A"),"É","E"),"Í","I"),"Ó","O"),"Ú","U"),"Ü","U")))</f>
        <v/>
      </c>
      <c r="G188" s="37" t="str">
        <f aca="false">IF($A188="","",TRIM(SUBSTITUTE(SUBSTITUTE(SUBSTITUTE(SUBSTITUTE(SUBSTITUTE(SUBSTITUTE(UPPER(IFERROR(INDEX('Base de Personas'!$H7:H21,MATCH($A188,'Base de Personas'!$B7:B21,0)),IFERROR(INDEX($G$5:G187,MATCH($A188,$A$5:A187,0)),""))),"Á","A"),"É","E"),"Í","I"),"Ó","O"),"Ú","U"),"Ü","U")))</f>
        <v/>
      </c>
      <c r="H188" s="38" t="str">
        <f aca="false">IF($A188="","",IFERROR(INDEX('Base de Personas'!$I$7:$I$21,MATCH($A188,'Base de Personas'!$B$7:$B$21,0)),IFERROR(INDEX($H$5:H187,MATCH($A188,$A$5:A187,0)),"")))</f>
        <v/>
      </c>
      <c r="I188" s="39"/>
      <c r="J188" s="40"/>
      <c r="K188" s="40"/>
      <c r="L188" s="39"/>
      <c r="M188" s="41" t="str">
        <f aca="false">IF($A188="","",IF(K188=_xlfn.MAXIFS($K$5:$K$304,$A$5:$A$304,$A188),1,0))</f>
        <v/>
      </c>
      <c r="N188" s="41" t="str">
        <f aca="false">IF($A188="","",IF(M188=1,$A188&amp;"-ACT",""))</f>
        <v/>
      </c>
      <c r="O188" s="41" t="str">
        <f aca="false">IF($A188="","",IF(AND(COUNTIF('Base de Personas'!$B$7:$B$21,$A188)=0,COUNTIF($A$5:A188,$A188)=1),1,0))</f>
        <v/>
      </c>
      <c r="P188" s="41" t="str">
        <f aca="false">IF(O188=1,SUM($O$5:O188),"")</f>
        <v/>
      </c>
    </row>
    <row r="189" customFormat="false" ht="15" hidden="false" customHeight="false" outlineLevel="0" collapsed="false">
      <c r="A189" s="35"/>
      <c r="B189" s="36" t="str">
        <f aca="false">IF($A189="","",TRIM(SUBSTITUTE(SUBSTITUTE(SUBSTITUTE(SUBSTITUTE(SUBSTITUTE(SUBSTITUTE(UPPER(IFERROR(INDEX('Base de Personas'!$C7:C21,MATCH($A189,'Base de Personas'!$B7:B21,0)),IFERROR(INDEX($B$5:B188,MATCH($A189,$A$5:A188,0)),""))),"Á","A"),"É","E"),"Í","I"),"Ó","O"),"Ú","U"),"Ü","U")))</f>
        <v/>
      </c>
      <c r="C189" s="37" t="str">
        <f aca="false">IF($A189="","",TRIM(SUBSTITUTE(SUBSTITUTE(SUBSTITUTE(SUBSTITUTE(SUBSTITUTE(SUBSTITUTE(UPPER(IFERROR(INDEX('Base de Personas'!$D7:D21,MATCH($A189,'Base de Personas'!$B7:B21,0)),IFERROR(INDEX($C$5:C188,MATCH($A189,$A$5:A188,0)),""))),"Á","A"),"É","E"),"Í","I"),"Ó","O"),"Ú","U"),"Ü","U")))</f>
        <v/>
      </c>
      <c r="D189" s="36" t="str">
        <f aca="false">IF($A189="","",TRIM(SUBSTITUTE(SUBSTITUTE(SUBSTITUTE(SUBSTITUTE(SUBSTITUTE(SUBSTITUTE(UPPER(IFERROR(INDEX('Base de Personas'!$E7:E21,MATCH($A189,'Base de Personas'!$B7:B21,0)),IFERROR(INDEX($D$5:D188,MATCH($A189,$A$5:A188,0)),""))),"Á","A"),"É","E"),"Í","I"),"Ó","O"),"Ú","U"),"Ü","U")))</f>
        <v/>
      </c>
      <c r="E189" s="36" t="str">
        <f aca="false">IF($A189="","",TRIM(SUBSTITUTE(SUBSTITUTE(SUBSTITUTE(SUBSTITUTE(SUBSTITUTE(SUBSTITUTE(UPPER(IFERROR(INDEX('Base de Personas'!$F7:F21,MATCH($A189,'Base de Personas'!$B7:B21,0)),IFERROR(INDEX($E$5:E188,MATCH($A189,$A$5:A188,0)),""))),"Á","A"),"É","E"),"Í","I"),"Ó","O"),"Ú","U"),"Ü","U")))</f>
        <v/>
      </c>
      <c r="F189" s="36" t="str">
        <f aca="false">IF($A189="","",TRIM(SUBSTITUTE(SUBSTITUTE(SUBSTITUTE(SUBSTITUTE(SUBSTITUTE(SUBSTITUTE(UPPER(IFERROR(INDEX('Base de Personas'!$G7:G21,MATCH($A189,'Base de Personas'!$B7:B21,0)),IFERROR(INDEX($F$5:F188,MATCH($A189,$A$5:A188,0)),""))),"Á","A"),"É","E"),"Í","I"),"Ó","O"),"Ú","U"),"Ü","U")))</f>
        <v/>
      </c>
      <c r="G189" s="37" t="str">
        <f aca="false">IF($A189="","",TRIM(SUBSTITUTE(SUBSTITUTE(SUBSTITUTE(SUBSTITUTE(SUBSTITUTE(SUBSTITUTE(UPPER(IFERROR(INDEX('Base de Personas'!$H7:H21,MATCH($A189,'Base de Personas'!$B7:B21,0)),IFERROR(INDEX($G$5:G188,MATCH($A189,$A$5:A188,0)),""))),"Á","A"),"É","E"),"Í","I"),"Ó","O"),"Ú","U"),"Ü","U")))</f>
        <v/>
      </c>
      <c r="H189" s="38" t="str">
        <f aca="false">IF($A189="","",IFERROR(INDEX('Base de Personas'!$I$7:$I$21,MATCH($A189,'Base de Personas'!$B$7:$B$21,0)),IFERROR(INDEX($H$5:H188,MATCH($A189,$A$5:A188,0)),"")))</f>
        <v/>
      </c>
      <c r="I189" s="39"/>
      <c r="J189" s="40"/>
      <c r="K189" s="40"/>
      <c r="L189" s="39"/>
      <c r="M189" s="41" t="str">
        <f aca="false">IF($A189="","",IF(K189=_xlfn.MAXIFS($K$5:$K$304,$A$5:$A$304,$A189),1,0))</f>
        <v/>
      </c>
      <c r="N189" s="41" t="str">
        <f aca="false">IF($A189="","",IF(M189=1,$A189&amp;"-ACT",""))</f>
        <v/>
      </c>
      <c r="O189" s="41" t="str">
        <f aca="false">IF($A189="","",IF(AND(COUNTIF('Base de Personas'!$B$7:$B$21,$A189)=0,COUNTIF($A$5:A189,$A189)=1),1,0))</f>
        <v/>
      </c>
      <c r="P189" s="41" t="str">
        <f aca="false">IF(O189=1,SUM($O$5:O189),"")</f>
        <v/>
      </c>
    </row>
    <row r="190" customFormat="false" ht="15" hidden="false" customHeight="false" outlineLevel="0" collapsed="false">
      <c r="A190" s="35"/>
      <c r="B190" s="36" t="str">
        <f aca="false">IF($A190="","",TRIM(SUBSTITUTE(SUBSTITUTE(SUBSTITUTE(SUBSTITUTE(SUBSTITUTE(SUBSTITUTE(UPPER(IFERROR(INDEX('Base de Personas'!$C7:C21,MATCH($A190,'Base de Personas'!$B7:B21,0)),IFERROR(INDEX($B$5:B189,MATCH($A190,$A$5:A189,0)),""))),"Á","A"),"É","E"),"Í","I"),"Ó","O"),"Ú","U"),"Ü","U")))</f>
        <v/>
      </c>
      <c r="C190" s="37" t="str">
        <f aca="false">IF($A190="","",TRIM(SUBSTITUTE(SUBSTITUTE(SUBSTITUTE(SUBSTITUTE(SUBSTITUTE(SUBSTITUTE(UPPER(IFERROR(INDEX('Base de Personas'!$D7:D21,MATCH($A190,'Base de Personas'!$B7:B21,0)),IFERROR(INDEX($C$5:C189,MATCH($A190,$A$5:A189,0)),""))),"Á","A"),"É","E"),"Í","I"),"Ó","O"),"Ú","U"),"Ü","U")))</f>
        <v/>
      </c>
      <c r="D190" s="36" t="str">
        <f aca="false">IF($A190="","",TRIM(SUBSTITUTE(SUBSTITUTE(SUBSTITUTE(SUBSTITUTE(SUBSTITUTE(SUBSTITUTE(UPPER(IFERROR(INDEX('Base de Personas'!$E7:E21,MATCH($A190,'Base de Personas'!$B7:B21,0)),IFERROR(INDEX($D$5:D189,MATCH($A190,$A$5:A189,0)),""))),"Á","A"),"É","E"),"Í","I"),"Ó","O"),"Ú","U"),"Ü","U")))</f>
        <v/>
      </c>
      <c r="E190" s="36" t="str">
        <f aca="false">IF($A190="","",TRIM(SUBSTITUTE(SUBSTITUTE(SUBSTITUTE(SUBSTITUTE(SUBSTITUTE(SUBSTITUTE(UPPER(IFERROR(INDEX('Base de Personas'!$F7:F21,MATCH($A190,'Base de Personas'!$B7:B21,0)),IFERROR(INDEX($E$5:E189,MATCH($A190,$A$5:A189,0)),""))),"Á","A"),"É","E"),"Í","I"),"Ó","O"),"Ú","U"),"Ü","U")))</f>
        <v/>
      </c>
      <c r="F190" s="36" t="str">
        <f aca="false">IF($A190="","",TRIM(SUBSTITUTE(SUBSTITUTE(SUBSTITUTE(SUBSTITUTE(SUBSTITUTE(SUBSTITUTE(UPPER(IFERROR(INDEX('Base de Personas'!$G7:G21,MATCH($A190,'Base de Personas'!$B7:B21,0)),IFERROR(INDEX($F$5:F189,MATCH($A190,$A$5:A189,0)),""))),"Á","A"),"É","E"),"Í","I"),"Ó","O"),"Ú","U"),"Ü","U")))</f>
        <v/>
      </c>
      <c r="G190" s="37" t="str">
        <f aca="false">IF($A190="","",TRIM(SUBSTITUTE(SUBSTITUTE(SUBSTITUTE(SUBSTITUTE(SUBSTITUTE(SUBSTITUTE(UPPER(IFERROR(INDEX('Base de Personas'!$H7:H21,MATCH($A190,'Base de Personas'!$B7:B21,0)),IFERROR(INDEX($G$5:G189,MATCH($A190,$A$5:A189,0)),""))),"Á","A"),"É","E"),"Í","I"),"Ó","O"),"Ú","U"),"Ü","U")))</f>
        <v/>
      </c>
      <c r="H190" s="38" t="str">
        <f aca="false">IF($A190="","",IFERROR(INDEX('Base de Personas'!$I$7:$I$21,MATCH($A190,'Base de Personas'!$B$7:$B$21,0)),IFERROR(INDEX($H$5:H189,MATCH($A190,$A$5:A189,0)),"")))</f>
        <v/>
      </c>
      <c r="I190" s="39"/>
      <c r="J190" s="40"/>
      <c r="K190" s="40"/>
      <c r="L190" s="39"/>
      <c r="M190" s="41" t="str">
        <f aca="false">IF($A190="","",IF(K190=_xlfn.MAXIFS($K$5:$K$304,$A$5:$A$304,$A190),1,0))</f>
        <v/>
      </c>
      <c r="N190" s="41" t="str">
        <f aca="false">IF($A190="","",IF(M190=1,$A190&amp;"-ACT",""))</f>
        <v/>
      </c>
      <c r="O190" s="41" t="str">
        <f aca="false">IF($A190="","",IF(AND(COUNTIF('Base de Personas'!$B$7:$B$21,$A190)=0,COUNTIF($A$5:A190,$A190)=1),1,0))</f>
        <v/>
      </c>
      <c r="P190" s="41" t="str">
        <f aca="false">IF(O190=1,SUM($O$5:O190),"")</f>
        <v/>
      </c>
    </row>
    <row r="191" customFormat="false" ht="15" hidden="false" customHeight="false" outlineLevel="0" collapsed="false">
      <c r="A191" s="35"/>
      <c r="B191" s="36" t="str">
        <f aca="false">IF($A191="","",TRIM(SUBSTITUTE(SUBSTITUTE(SUBSTITUTE(SUBSTITUTE(SUBSTITUTE(SUBSTITUTE(UPPER(IFERROR(INDEX('Base de Personas'!$C7:C21,MATCH($A191,'Base de Personas'!$B7:B21,0)),IFERROR(INDEX($B$5:B190,MATCH($A191,$A$5:A190,0)),""))),"Á","A"),"É","E"),"Í","I"),"Ó","O"),"Ú","U"),"Ü","U")))</f>
        <v/>
      </c>
      <c r="C191" s="37" t="str">
        <f aca="false">IF($A191="","",TRIM(SUBSTITUTE(SUBSTITUTE(SUBSTITUTE(SUBSTITUTE(SUBSTITUTE(SUBSTITUTE(UPPER(IFERROR(INDEX('Base de Personas'!$D7:D21,MATCH($A191,'Base de Personas'!$B7:B21,0)),IFERROR(INDEX($C$5:C190,MATCH($A191,$A$5:A190,0)),""))),"Á","A"),"É","E"),"Í","I"),"Ó","O"),"Ú","U"),"Ü","U")))</f>
        <v/>
      </c>
      <c r="D191" s="36" t="str">
        <f aca="false">IF($A191="","",TRIM(SUBSTITUTE(SUBSTITUTE(SUBSTITUTE(SUBSTITUTE(SUBSTITUTE(SUBSTITUTE(UPPER(IFERROR(INDEX('Base de Personas'!$E7:E21,MATCH($A191,'Base de Personas'!$B7:B21,0)),IFERROR(INDEX($D$5:D190,MATCH($A191,$A$5:A190,0)),""))),"Á","A"),"É","E"),"Í","I"),"Ó","O"),"Ú","U"),"Ü","U")))</f>
        <v/>
      </c>
      <c r="E191" s="36" t="str">
        <f aca="false">IF($A191="","",TRIM(SUBSTITUTE(SUBSTITUTE(SUBSTITUTE(SUBSTITUTE(SUBSTITUTE(SUBSTITUTE(UPPER(IFERROR(INDEX('Base de Personas'!$F7:F21,MATCH($A191,'Base de Personas'!$B7:B21,0)),IFERROR(INDEX($E$5:E190,MATCH($A191,$A$5:A190,0)),""))),"Á","A"),"É","E"),"Í","I"),"Ó","O"),"Ú","U"),"Ü","U")))</f>
        <v/>
      </c>
      <c r="F191" s="36" t="str">
        <f aca="false">IF($A191="","",TRIM(SUBSTITUTE(SUBSTITUTE(SUBSTITUTE(SUBSTITUTE(SUBSTITUTE(SUBSTITUTE(UPPER(IFERROR(INDEX('Base de Personas'!$G7:G21,MATCH($A191,'Base de Personas'!$B7:B21,0)),IFERROR(INDEX($F$5:F190,MATCH($A191,$A$5:A190,0)),""))),"Á","A"),"É","E"),"Í","I"),"Ó","O"),"Ú","U"),"Ü","U")))</f>
        <v/>
      </c>
      <c r="G191" s="37" t="str">
        <f aca="false">IF($A191="","",TRIM(SUBSTITUTE(SUBSTITUTE(SUBSTITUTE(SUBSTITUTE(SUBSTITUTE(SUBSTITUTE(UPPER(IFERROR(INDEX('Base de Personas'!$H7:H21,MATCH($A191,'Base de Personas'!$B7:B21,0)),IFERROR(INDEX($G$5:G190,MATCH($A191,$A$5:A190,0)),""))),"Á","A"),"É","E"),"Í","I"),"Ó","O"),"Ú","U"),"Ü","U")))</f>
        <v/>
      </c>
      <c r="H191" s="38" t="str">
        <f aca="false">IF($A191="","",IFERROR(INDEX('Base de Personas'!$I$7:$I$21,MATCH($A191,'Base de Personas'!$B$7:$B$21,0)),IFERROR(INDEX($H$5:H190,MATCH($A191,$A$5:A190,0)),"")))</f>
        <v/>
      </c>
      <c r="I191" s="39"/>
      <c r="J191" s="40"/>
      <c r="K191" s="40"/>
      <c r="L191" s="39"/>
      <c r="M191" s="41" t="str">
        <f aca="false">IF($A191="","",IF(K191=_xlfn.MAXIFS($K$5:$K$304,$A$5:$A$304,$A191),1,0))</f>
        <v/>
      </c>
      <c r="N191" s="41" t="str">
        <f aca="false">IF($A191="","",IF(M191=1,$A191&amp;"-ACT",""))</f>
        <v/>
      </c>
      <c r="O191" s="41" t="str">
        <f aca="false">IF($A191="","",IF(AND(COUNTIF('Base de Personas'!$B$7:$B$21,$A191)=0,COUNTIF($A$5:A191,$A191)=1),1,0))</f>
        <v/>
      </c>
      <c r="P191" s="41" t="str">
        <f aca="false">IF(O191=1,SUM($O$5:O191),"")</f>
        <v/>
      </c>
    </row>
    <row r="192" customFormat="false" ht="15" hidden="false" customHeight="false" outlineLevel="0" collapsed="false">
      <c r="A192" s="35"/>
      <c r="B192" s="36" t="str">
        <f aca="false">IF($A192="","",TRIM(SUBSTITUTE(SUBSTITUTE(SUBSTITUTE(SUBSTITUTE(SUBSTITUTE(SUBSTITUTE(UPPER(IFERROR(INDEX('Base de Personas'!$C7:C21,MATCH($A192,'Base de Personas'!$B7:B21,0)),IFERROR(INDEX($B$5:B191,MATCH($A192,$A$5:A191,0)),""))),"Á","A"),"É","E"),"Í","I"),"Ó","O"),"Ú","U"),"Ü","U")))</f>
        <v/>
      </c>
      <c r="C192" s="37" t="str">
        <f aca="false">IF($A192="","",TRIM(SUBSTITUTE(SUBSTITUTE(SUBSTITUTE(SUBSTITUTE(SUBSTITUTE(SUBSTITUTE(UPPER(IFERROR(INDEX('Base de Personas'!$D7:D21,MATCH($A192,'Base de Personas'!$B7:B21,0)),IFERROR(INDEX($C$5:C191,MATCH($A192,$A$5:A191,0)),""))),"Á","A"),"É","E"),"Í","I"),"Ó","O"),"Ú","U"),"Ü","U")))</f>
        <v/>
      </c>
      <c r="D192" s="36" t="str">
        <f aca="false">IF($A192="","",TRIM(SUBSTITUTE(SUBSTITUTE(SUBSTITUTE(SUBSTITUTE(SUBSTITUTE(SUBSTITUTE(UPPER(IFERROR(INDEX('Base de Personas'!$E7:E21,MATCH($A192,'Base de Personas'!$B7:B21,0)),IFERROR(INDEX($D$5:D191,MATCH($A192,$A$5:A191,0)),""))),"Á","A"),"É","E"),"Í","I"),"Ó","O"),"Ú","U"),"Ü","U")))</f>
        <v/>
      </c>
      <c r="E192" s="36" t="str">
        <f aca="false">IF($A192="","",TRIM(SUBSTITUTE(SUBSTITUTE(SUBSTITUTE(SUBSTITUTE(SUBSTITUTE(SUBSTITUTE(UPPER(IFERROR(INDEX('Base de Personas'!$F7:F21,MATCH($A192,'Base de Personas'!$B7:B21,0)),IFERROR(INDEX($E$5:E191,MATCH($A192,$A$5:A191,0)),""))),"Á","A"),"É","E"),"Í","I"),"Ó","O"),"Ú","U"),"Ü","U")))</f>
        <v/>
      </c>
      <c r="F192" s="36" t="str">
        <f aca="false">IF($A192="","",TRIM(SUBSTITUTE(SUBSTITUTE(SUBSTITUTE(SUBSTITUTE(SUBSTITUTE(SUBSTITUTE(UPPER(IFERROR(INDEX('Base de Personas'!$G7:G21,MATCH($A192,'Base de Personas'!$B7:B21,0)),IFERROR(INDEX($F$5:F191,MATCH($A192,$A$5:A191,0)),""))),"Á","A"),"É","E"),"Í","I"),"Ó","O"),"Ú","U"),"Ü","U")))</f>
        <v/>
      </c>
      <c r="G192" s="37" t="str">
        <f aca="false">IF($A192="","",TRIM(SUBSTITUTE(SUBSTITUTE(SUBSTITUTE(SUBSTITUTE(SUBSTITUTE(SUBSTITUTE(UPPER(IFERROR(INDEX('Base de Personas'!$H7:H21,MATCH($A192,'Base de Personas'!$B7:B21,0)),IFERROR(INDEX($G$5:G191,MATCH($A192,$A$5:A191,0)),""))),"Á","A"),"É","E"),"Í","I"),"Ó","O"),"Ú","U"),"Ü","U")))</f>
        <v/>
      </c>
      <c r="H192" s="38" t="str">
        <f aca="false">IF($A192="","",IFERROR(INDEX('Base de Personas'!$I$7:$I$21,MATCH($A192,'Base de Personas'!$B$7:$B$21,0)),IFERROR(INDEX($H$5:H191,MATCH($A192,$A$5:A191,0)),"")))</f>
        <v/>
      </c>
      <c r="I192" s="39"/>
      <c r="J192" s="40"/>
      <c r="K192" s="40"/>
      <c r="L192" s="39"/>
      <c r="M192" s="41" t="str">
        <f aca="false">IF($A192="","",IF(K192=_xlfn.MAXIFS($K$5:$K$304,$A$5:$A$304,$A192),1,0))</f>
        <v/>
      </c>
      <c r="N192" s="41" t="str">
        <f aca="false">IF($A192="","",IF(M192=1,$A192&amp;"-ACT",""))</f>
        <v/>
      </c>
      <c r="O192" s="41" t="str">
        <f aca="false">IF($A192="","",IF(AND(COUNTIF('Base de Personas'!$B$7:$B$21,$A192)=0,COUNTIF($A$5:A192,$A192)=1),1,0))</f>
        <v/>
      </c>
      <c r="P192" s="41" t="str">
        <f aca="false">IF(O192=1,SUM($O$5:O192),"")</f>
        <v/>
      </c>
    </row>
    <row r="193" customFormat="false" ht="15" hidden="false" customHeight="false" outlineLevel="0" collapsed="false">
      <c r="A193" s="35"/>
      <c r="B193" s="36" t="str">
        <f aca="false">IF($A193="","",TRIM(SUBSTITUTE(SUBSTITUTE(SUBSTITUTE(SUBSTITUTE(SUBSTITUTE(SUBSTITUTE(UPPER(IFERROR(INDEX('Base de Personas'!$C7:C21,MATCH($A193,'Base de Personas'!$B7:B21,0)),IFERROR(INDEX($B$5:B192,MATCH($A193,$A$5:A192,0)),""))),"Á","A"),"É","E"),"Í","I"),"Ó","O"),"Ú","U"),"Ü","U")))</f>
        <v/>
      </c>
      <c r="C193" s="37" t="str">
        <f aca="false">IF($A193="","",TRIM(SUBSTITUTE(SUBSTITUTE(SUBSTITUTE(SUBSTITUTE(SUBSTITUTE(SUBSTITUTE(UPPER(IFERROR(INDEX('Base de Personas'!$D7:D21,MATCH($A193,'Base de Personas'!$B7:B21,0)),IFERROR(INDEX($C$5:C192,MATCH($A193,$A$5:A192,0)),""))),"Á","A"),"É","E"),"Í","I"),"Ó","O"),"Ú","U"),"Ü","U")))</f>
        <v/>
      </c>
      <c r="D193" s="36" t="str">
        <f aca="false">IF($A193="","",TRIM(SUBSTITUTE(SUBSTITUTE(SUBSTITUTE(SUBSTITUTE(SUBSTITUTE(SUBSTITUTE(UPPER(IFERROR(INDEX('Base de Personas'!$E7:E21,MATCH($A193,'Base de Personas'!$B7:B21,0)),IFERROR(INDEX($D$5:D192,MATCH($A193,$A$5:A192,0)),""))),"Á","A"),"É","E"),"Í","I"),"Ó","O"),"Ú","U"),"Ü","U")))</f>
        <v/>
      </c>
      <c r="E193" s="36" t="str">
        <f aca="false">IF($A193="","",TRIM(SUBSTITUTE(SUBSTITUTE(SUBSTITUTE(SUBSTITUTE(SUBSTITUTE(SUBSTITUTE(UPPER(IFERROR(INDEX('Base de Personas'!$F7:F21,MATCH($A193,'Base de Personas'!$B7:B21,0)),IFERROR(INDEX($E$5:E192,MATCH($A193,$A$5:A192,0)),""))),"Á","A"),"É","E"),"Í","I"),"Ó","O"),"Ú","U"),"Ü","U")))</f>
        <v/>
      </c>
      <c r="F193" s="36" t="str">
        <f aca="false">IF($A193="","",TRIM(SUBSTITUTE(SUBSTITUTE(SUBSTITUTE(SUBSTITUTE(SUBSTITUTE(SUBSTITUTE(UPPER(IFERROR(INDEX('Base de Personas'!$G7:G21,MATCH($A193,'Base de Personas'!$B7:B21,0)),IFERROR(INDEX($F$5:F192,MATCH($A193,$A$5:A192,0)),""))),"Á","A"),"É","E"),"Í","I"),"Ó","O"),"Ú","U"),"Ü","U")))</f>
        <v/>
      </c>
      <c r="G193" s="37" t="str">
        <f aca="false">IF($A193="","",TRIM(SUBSTITUTE(SUBSTITUTE(SUBSTITUTE(SUBSTITUTE(SUBSTITUTE(SUBSTITUTE(UPPER(IFERROR(INDEX('Base de Personas'!$H7:H21,MATCH($A193,'Base de Personas'!$B7:B21,0)),IFERROR(INDEX($G$5:G192,MATCH($A193,$A$5:A192,0)),""))),"Á","A"),"É","E"),"Í","I"),"Ó","O"),"Ú","U"),"Ü","U")))</f>
        <v/>
      </c>
      <c r="H193" s="38" t="str">
        <f aca="false">IF($A193="","",IFERROR(INDEX('Base de Personas'!$I$7:$I$21,MATCH($A193,'Base de Personas'!$B$7:$B$21,0)),IFERROR(INDEX($H$5:H192,MATCH($A193,$A$5:A192,0)),"")))</f>
        <v/>
      </c>
      <c r="I193" s="39"/>
      <c r="J193" s="40"/>
      <c r="K193" s="40"/>
      <c r="L193" s="39"/>
      <c r="M193" s="41" t="str">
        <f aca="false">IF($A193="","",IF(K193=_xlfn.MAXIFS($K$5:$K$304,$A$5:$A$304,$A193),1,0))</f>
        <v/>
      </c>
      <c r="N193" s="41" t="str">
        <f aca="false">IF($A193="","",IF(M193=1,$A193&amp;"-ACT",""))</f>
        <v/>
      </c>
      <c r="O193" s="41" t="str">
        <f aca="false">IF($A193="","",IF(AND(COUNTIF('Base de Personas'!$B$7:$B$21,$A193)=0,COUNTIF($A$5:A193,$A193)=1),1,0))</f>
        <v/>
      </c>
      <c r="P193" s="41" t="str">
        <f aca="false">IF(O193=1,SUM($O$5:O193),"")</f>
        <v/>
      </c>
    </row>
    <row r="194" customFormat="false" ht="15" hidden="false" customHeight="false" outlineLevel="0" collapsed="false">
      <c r="A194" s="35"/>
      <c r="B194" s="36" t="str">
        <f aca="false">IF($A194="","",TRIM(SUBSTITUTE(SUBSTITUTE(SUBSTITUTE(SUBSTITUTE(SUBSTITUTE(SUBSTITUTE(UPPER(IFERROR(INDEX('Base de Personas'!$C7:C21,MATCH($A194,'Base de Personas'!$B7:B21,0)),IFERROR(INDEX($B$5:B193,MATCH($A194,$A$5:A193,0)),""))),"Á","A"),"É","E"),"Í","I"),"Ó","O"),"Ú","U"),"Ü","U")))</f>
        <v/>
      </c>
      <c r="C194" s="37" t="str">
        <f aca="false">IF($A194="","",TRIM(SUBSTITUTE(SUBSTITUTE(SUBSTITUTE(SUBSTITUTE(SUBSTITUTE(SUBSTITUTE(UPPER(IFERROR(INDEX('Base de Personas'!$D7:D21,MATCH($A194,'Base de Personas'!$B7:B21,0)),IFERROR(INDEX($C$5:C193,MATCH($A194,$A$5:A193,0)),""))),"Á","A"),"É","E"),"Í","I"),"Ó","O"),"Ú","U"),"Ü","U")))</f>
        <v/>
      </c>
      <c r="D194" s="36" t="str">
        <f aca="false">IF($A194="","",TRIM(SUBSTITUTE(SUBSTITUTE(SUBSTITUTE(SUBSTITUTE(SUBSTITUTE(SUBSTITUTE(UPPER(IFERROR(INDEX('Base de Personas'!$E7:E21,MATCH($A194,'Base de Personas'!$B7:B21,0)),IFERROR(INDEX($D$5:D193,MATCH($A194,$A$5:A193,0)),""))),"Á","A"),"É","E"),"Í","I"),"Ó","O"),"Ú","U"),"Ü","U")))</f>
        <v/>
      </c>
      <c r="E194" s="36" t="str">
        <f aca="false">IF($A194="","",TRIM(SUBSTITUTE(SUBSTITUTE(SUBSTITUTE(SUBSTITUTE(SUBSTITUTE(SUBSTITUTE(UPPER(IFERROR(INDEX('Base de Personas'!$F7:F21,MATCH($A194,'Base de Personas'!$B7:B21,0)),IFERROR(INDEX($E$5:E193,MATCH($A194,$A$5:A193,0)),""))),"Á","A"),"É","E"),"Í","I"),"Ó","O"),"Ú","U"),"Ü","U")))</f>
        <v/>
      </c>
      <c r="F194" s="36" t="str">
        <f aca="false">IF($A194="","",TRIM(SUBSTITUTE(SUBSTITUTE(SUBSTITUTE(SUBSTITUTE(SUBSTITUTE(SUBSTITUTE(UPPER(IFERROR(INDEX('Base de Personas'!$G7:G21,MATCH($A194,'Base de Personas'!$B7:B21,0)),IFERROR(INDEX($F$5:F193,MATCH($A194,$A$5:A193,0)),""))),"Á","A"),"É","E"),"Í","I"),"Ó","O"),"Ú","U"),"Ü","U")))</f>
        <v/>
      </c>
      <c r="G194" s="37" t="str">
        <f aca="false">IF($A194="","",TRIM(SUBSTITUTE(SUBSTITUTE(SUBSTITUTE(SUBSTITUTE(SUBSTITUTE(SUBSTITUTE(UPPER(IFERROR(INDEX('Base de Personas'!$H7:H21,MATCH($A194,'Base de Personas'!$B7:B21,0)),IFERROR(INDEX($G$5:G193,MATCH($A194,$A$5:A193,0)),""))),"Á","A"),"É","E"),"Í","I"),"Ó","O"),"Ú","U"),"Ü","U")))</f>
        <v/>
      </c>
      <c r="H194" s="38" t="str">
        <f aca="false">IF($A194="","",IFERROR(INDEX('Base de Personas'!$I$7:$I$21,MATCH($A194,'Base de Personas'!$B$7:$B$21,0)),IFERROR(INDEX($H$5:H193,MATCH($A194,$A$5:A193,0)),"")))</f>
        <v/>
      </c>
      <c r="I194" s="39"/>
      <c r="J194" s="40"/>
      <c r="K194" s="40"/>
      <c r="L194" s="39"/>
      <c r="M194" s="41" t="str">
        <f aca="false">IF($A194="","",IF(K194=_xlfn.MAXIFS($K$5:$K$304,$A$5:$A$304,$A194),1,0))</f>
        <v/>
      </c>
      <c r="N194" s="41" t="str">
        <f aca="false">IF($A194="","",IF(M194=1,$A194&amp;"-ACT",""))</f>
        <v/>
      </c>
      <c r="O194" s="41" t="str">
        <f aca="false">IF($A194="","",IF(AND(COUNTIF('Base de Personas'!$B$7:$B$21,$A194)=0,COUNTIF($A$5:A194,$A194)=1),1,0))</f>
        <v/>
      </c>
      <c r="P194" s="41" t="str">
        <f aca="false">IF(O194=1,SUM($O$5:O194),"")</f>
        <v/>
      </c>
    </row>
    <row r="195" customFormat="false" ht="15" hidden="false" customHeight="false" outlineLevel="0" collapsed="false">
      <c r="A195" s="35"/>
      <c r="B195" s="36" t="str">
        <f aca="false">IF($A195="","",TRIM(SUBSTITUTE(SUBSTITUTE(SUBSTITUTE(SUBSTITUTE(SUBSTITUTE(SUBSTITUTE(UPPER(IFERROR(INDEX('Base de Personas'!$C7:C21,MATCH($A195,'Base de Personas'!$B7:B21,0)),IFERROR(INDEX($B$5:B194,MATCH($A195,$A$5:A194,0)),""))),"Á","A"),"É","E"),"Í","I"),"Ó","O"),"Ú","U"),"Ü","U")))</f>
        <v/>
      </c>
      <c r="C195" s="37" t="str">
        <f aca="false">IF($A195="","",TRIM(SUBSTITUTE(SUBSTITUTE(SUBSTITUTE(SUBSTITUTE(SUBSTITUTE(SUBSTITUTE(UPPER(IFERROR(INDEX('Base de Personas'!$D7:D21,MATCH($A195,'Base de Personas'!$B7:B21,0)),IFERROR(INDEX($C$5:C194,MATCH($A195,$A$5:A194,0)),""))),"Á","A"),"É","E"),"Í","I"),"Ó","O"),"Ú","U"),"Ü","U")))</f>
        <v/>
      </c>
      <c r="D195" s="36" t="str">
        <f aca="false">IF($A195="","",TRIM(SUBSTITUTE(SUBSTITUTE(SUBSTITUTE(SUBSTITUTE(SUBSTITUTE(SUBSTITUTE(UPPER(IFERROR(INDEX('Base de Personas'!$E7:E21,MATCH($A195,'Base de Personas'!$B7:B21,0)),IFERROR(INDEX($D$5:D194,MATCH($A195,$A$5:A194,0)),""))),"Á","A"),"É","E"),"Í","I"),"Ó","O"),"Ú","U"),"Ü","U")))</f>
        <v/>
      </c>
      <c r="E195" s="36" t="str">
        <f aca="false">IF($A195="","",TRIM(SUBSTITUTE(SUBSTITUTE(SUBSTITUTE(SUBSTITUTE(SUBSTITUTE(SUBSTITUTE(UPPER(IFERROR(INDEX('Base de Personas'!$F7:F21,MATCH($A195,'Base de Personas'!$B7:B21,0)),IFERROR(INDEX($E$5:E194,MATCH($A195,$A$5:A194,0)),""))),"Á","A"),"É","E"),"Í","I"),"Ó","O"),"Ú","U"),"Ü","U")))</f>
        <v/>
      </c>
      <c r="F195" s="36" t="str">
        <f aca="false">IF($A195="","",TRIM(SUBSTITUTE(SUBSTITUTE(SUBSTITUTE(SUBSTITUTE(SUBSTITUTE(SUBSTITUTE(UPPER(IFERROR(INDEX('Base de Personas'!$G7:G21,MATCH($A195,'Base de Personas'!$B7:B21,0)),IFERROR(INDEX($F$5:F194,MATCH($A195,$A$5:A194,0)),""))),"Á","A"),"É","E"),"Í","I"),"Ó","O"),"Ú","U"),"Ü","U")))</f>
        <v/>
      </c>
      <c r="G195" s="37" t="str">
        <f aca="false">IF($A195="","",TRIM(SUBSTITUTE(SUBSTITUTE(SUBSTITUTE(SUBSTITUTE(SUBSTITUTE(SUBSTITUTE(UPPER(IFERROR(INDEX('Base de Personas'!$H7:H21,MATCH($A195,'Base de Personas'!$B7:B21,0)),IFERROR(INDEX($G$5:G194,MATCH($A195,$A$5:A194,0)),""))),"Á","A"),"É","E"),"Í","I"),"Ó","O"),"Ú","U"),"Ü","U")))</f>
        <v/>
      </c>
      <c r="H195" s="38" t="str">
        <f aca="false">IF($A195="","",IFERROR(INDEX('Base de Personas'!$I$7:$I$21,MATCH($A195,'Base de Personas'!$B$7:$B$21,0)),IFERROR(INDEX($H$5:H194,MATCH($A195,$A$5:A194,0)),"")))</f>
        <v/>
      </c>
      <c r="I195" s="39"/>
      <c r="J195" s="40"/>
      <c r="K195" s="40"/>
      <c r="L195" s="39"/>
      <c r="M195" s="41" t="str">
        <f aca="false">IF($A195="","",IF(K195=_xlfn.MAXIFS($K$5:$K$304,$A$5:$A$304,$A195),1,0))</f>
        <v/>
      </c>
      <c r="N195" s="41" t="str">
        <f aca="false">IF($A195="","",IF(M195=1,$A195&amp;"-ACT",""))</f>
        <v/>
      </c>
      <c r="O195" s="41" t="str">
        <f aca="false">IF($A195="","",IF(AND(COUNTIF('Base de Personas'!$B$7:$B$21,$A195)=0,COUNTIF($A$5:A195,$A195)=1),1,0))</f>
        <v/>
      </c>
      <c r="P195" s="41" t="str">
        <f aca="false">IF(O195=1,SUM($O$5:O195),"")</f>
        <v/>
      </c>
    </row>
    <row r="196" customFormat="false" ht="15" hidden="false" customHeight="false" outlineLevel="0" collapsed="false">
      <c r="A196" s="35"/>
      <c r="B196" s="36" t="str">
        <f aca="false">IF($A196="","",TRIM(SUBSTITUTE(SUBSTITUTE(SUBSTITUTE(SUBSTITUTE(SUBSTITUTE(SUBSTITUTE(UPPER(IFERROR(INDEX('Base de Personas'!$C7:C21,MATCH($A196,'Base de Personas'!$B7:B21,0)),IFERROR(INDEX($B$5:B195,MATCH($A196,$A$5:A195,0)),""))),"Á","A"),"É","E"),"Í","I"),"Ó","O"),"Ú","U"),"Ü","U")))</f>
        <v/>
      </c>
      <c r="C196" s="37" t="str">
        <f aca="false">IF($A196="","",TRIM(SUBSTITUTE(SUBSTITUTE(SUBSTITUTE(SUBSTITUTE(SUBSTITUTE(SUBSTITUTE(UPPER(IFERROR(INDEX('Base de Personas'!$D7:D21,MATCH($A196,'Base de Personas'!$B7:B21,0)),IFERROR(INDEX($C$5:C195,MATCH($A196,$A$5:A195,0)),""))),"Á","A"),"É","E"),"Í","I"),"Ó","O"),"Ú","U"),"Ü","U")))</f>
        <v/>
      </c>
      <c r="D196" s="36" t="str">
        <f aca="false">IF($A196="","",TRIM(SUBSTITUTE(SUBSTITUTE(SUBSTITUTE(SUBSTITUTE(SUBSTITUTE(SUBSTITUTE(UPPER(IFERROR(INDEX('Base de Personas'!$E7:E21,MATCH($A196,'Base de Personas'!$B7:B21,0)),IFERROR(INDEX($D$5:D195,MATCH($A196,$A$5:A195,0)),""))),"Á","A"),"É","E"),"Í","I"),"Ó","O"),"Ú","U"),"Ü","U")))</f>
        <v/>
      </c>
      <c r="E196" s="36" t="str">
        <f aca="false">IF($A196="","",TRIM(SUBSTITUTE(SUBSTITUTE(SUBSTITUTE(SUBSTITUTE(SUBSTITUTE(SUBSTITUTE(UPPER(IFERROR(INDEX('Base de Personas'!$F7:F21,MATCH($A196,'Base de Personas'!$B7:B21,0)),IFERROR(INDEX($E$5:E195,MATCH($A196,$A$5:A195,0)),""))),"Á","A"),"É","E"),"Í","I"),"Ó","O"),"Ú","U"),"Ü","U")))</f>
        <v/>
      </c>
      <c r="F196" s="36" t="str">
        <f aca="false">IF($A196="","",TRIM(SUBSTITUTE(SUBSTITUTE(SUBSTITUTE(SUBSTITUTE(SUBSTITUTE(SUBSTITUTE(UPPER(IFERROR(INDEX('Base de Personas'!$G7:G21,MATCH($A196,'Base de Personas'!$B7:B21,0)),IFERROR(INDEX($F$5:F195,MATCH($A196,$A$5:A195,0)),""))),"Á","A"),"É","E"),"Í","I"),"Ó","O"),"Ú","U"),"Ü","U")))</f>
        <v/>
      </c>
      <c r="G196" s="37" t="str">
        <f aca="false">IF($A196="","",TRIM(SUBSTITUTE(SUBSTITUTE(SUBSTITUTE(SUBSTITUTE(SUBSTITUTE(SUBSTITUTE(UPPER(IFERROR(INDEX('Base de Personas'!$H7:H21,MATCH($A196,'Base de Personas'!$B7:B21,0)),IFERROR(INDEX($G$5:G195,MATCH($A196,$A$5:A195,0)),""))),"Á","A"),"É","E"),"Í","I"),"Ó","O"),"Ú","U"),"Ü","U")))</f>
        <v/>
      </c>
      <c r="H196" s="38" t="str">
        <f aca="false">IF($A196="","",IFERROR(INDEX('Base de Personas'!$I$7:$I$21,MATCH($A196,'Base de Personas'!$B$7:$B$21,0)),IFERROR(INDEX($H$5:H195,MATCH($A196,$A$5:A195,0)),"")))</f>
        <v/>
      </c>
      <c r="I196" s="39"/>
      <c r="J196" s="40"/>
      <c r="K196" s="40"/>
      <c r="L196" s="39"/>
      <c r="M196" s="41" t="str">
        <f aca="false">IF($A196="","",IF(K196=_xlfn.MAXIFS($K$5:$K$304,$A$5:$A$304,$A196),1,0))</f>
        <v/>
      </c>
      <c r="N196" s="41" t="str">
        <f aca="false">IF($A196="","",IF(M196=1,$A196&amp;"-ACT",""))</f>
        <v/>
      </c>
      <c r="O196" s="41" t="str">
        <f aca="false">IF($A196="","",IF(AND(COUNTIF('Base de Personas'!$B$7:$B$21,$A196)=0,COUNTIF($A$5:A196,$A196)=1),1,0))</f>
        <v/>
      </c>
      <c r="P196" s="41" t="str">
        <f aca="false">IF(O196=1,SUM($O$5:O196),"")</f>
        <v/>
      </c>
    </row>
    <row r="197" customFormat="false" ht="15" hidden="false" customHeight="false" outlineLevel="0" collapsed="false">
      <c r="A197" s="35"/>
      <c r="B197" s="36" t="str">
        <f aca="false">IF($A197="","",TRIM(SUBSTITUTE(SUBSTITUTE(SUBSTITUTE(SUBSTITUTE(SUBSTITUTE(SUBSTITUTE(UPPER(IFERROR(INDEX('Base de Personas'!$C7:C21,MATCH($A197,'Base de Personas'!$B7:B21,0)),IFERROR(INDEX($B$5:B196,MATCH($A197,$A$5:A196,0)),""))),"Á","A"),"É","E"),"Í","I"),"Ó","O"),"Ú","U"),"Ü","U")))</f>
        <v/>
      </c>
      <c r="C197" s="37" t="str">
        <f aca="false">IF($A197="","",TRIM(SUBSTITUTE(SUBSTITUTE(SUBSTITUTE(SUBSTITUTE(SUBSTITUTE(SUBSTITUTE(UPPER(IFERROR(INDEX('Base de Personas'!$D7:D21,MATCH($A197,'Base de Personas'!$B7:B21,0)),IFERROR(INDEX($C$5:C196,MATCH($A197,$A$5:A196,0)),""))),"Á","A"),"É","E"),"Í","I"),"Ó","O"),"Ú","U"),"Ü","U")))</f>
        <v/>
      </c>
      <c r="D197" s="36" t="str">
        <f aca="false">IF($A197="","",TRIM(SUBSTITUTE(SUBSTITUTE(SUBSTITUTE(SUBSTITUTE(SUBSTITUTE(SUBSTITUTE(UPPER(IFERROR(INDEX('Base de Personas'!$E7:E21,MATCH($A197,'Base de Personas'!$B7:B21,0)),IFERROR(INDEX($D$5:D196,MATCH($A197,$A$5:A196,0)),""))),"Á","A"),"É","E"),"Í","I"),"Ó","O"),"Ú","U"),"Ü","U")))</f>
        <v/>
      </c>
      <c r="E197" s="36" t="str">
        <f aca="false">IF($A197="","",TRIM(SUBSTITUTE(SUBSTITUTE(SUBSTITUTE(SUBSTITUTE(SUBSTITUTE(SUBSTITUTE(UPPER(IFERROR(INDEX('Base de Personas'!$F7:F21,MATCH($A197,'Base de Personas'!$B7:B21,0)),IFERROR(INDEX($E$5:E196,MATCH($A197,$A$5:A196,0)),""))),"Á","A"),"É","E"),"Í","I"),"Ó","O"),"Ú","U"),"Ü","U")))</f>
        <v/>
      </c>
      <c r="F197" s="36" t="str">
        <f aca="false">IF($A197="","",TRIM(SUBSTITUTE(SUBSTITUTE(SUBSTITUTE(SUBSTITUTE(SUBSTITUTE(SUBSTITUTE(UPPER(IFERROR(INDEX('Base de Personas'!$G7:G21,MATCH($A197,'Base de Personas'!$B7:B21,0)),IFERROR(INDEX($F$5:F196,MATCH($A197,$A$5:A196,0)),""))),"Á","A"),"É","E"),"Í","I"),"Ó","O"),"Ú","U"),"Ü","U")))</f>
        <v/>
      </c>
      <c r="G197" s="37" t="str">
        <f aca="false">IF($A197="","",TRIM(SUBSTITUTE(SUBSTITUTE(SUBSTITUTE(SUBSTITUTE(SUBSTITUTE(SUBSTITUTE(UPPER(IFERROR(INDEX('Base de Personas'!$H7:H21,MATCH($A197,'Base de Personas'!$B7:B21,0)),IFERROR(INDEX($G$5:G196,MATCH($A197,$A$5:A196,0)),""))),"Á","A"),"É","E"),"Í","I"),"Ó","O"),"Ú","U"),"Ü","U")))</f>
        <v/>
      </c>
      <c r="H197" s="38" t="str">
        <f aca="false">IF($A197="","",IFERROR(INDEX('Base de Personas'!$I$7:$I$21,MATCH($A197,'Base de Personas'!$B$7:$B$21,0)),IFERROR(INDEX($H$5:H196,MATCH($A197,$A$5:A196,0)),"")))</f>
        <v/>
      </c>
      <c r="I197" s="39"/>
      <c r="J197" s="40"/>
      <c r="K197" s="40"/>
      <c r="L197" s="39"/>
      <c r="M197" s="41" t="str">
        <f aca="false">IF($A197="","",IF(K197=_xlfn.MAXIFS($K$5:$K$304,$A$5:$A$304,$A197),1,0))</f>
        <v/>
      </c>
      <c r="N197" s="41" t="str">
        <f aca="false">IF($A197="","",IF(M197=1,$A197&amp;"-ACT",""))</f>
        <v/>
      </c>
      <c r="O197" s="41" t="str">
        <f aca="false">IF($A197="","",IF(AND(COUNTIF('Base de Personas'!$B$7:$B$21,$A197)=0,COUNTIF($A$5:A197,$A197)=1),1,0))</f>
        <v/>
      </c>
      <c r="P197" s="41" t="str">
        <f aca="false">IF(O197=1,SUM($O$5:O197),"")</f>
        <v/>
      </c>
    </row>
    <row r="198" customFormat="false" ht="15" hidden="false" customHeight="false" outlineLevel="0" collapsed="false">
      <c r="A198" s="35"/>
      <c r="B198" s="36" t="str">
        <f aca="false">IF($A198="","",TRIM(SUBSTITUTE(SUBSTITUTE(SUBSTITUTE(SUBSTITUTE(SUBSTITUTE(SUBSTITUTE(UPPER(IFERROR(INDEX('Base de Personas'!$C7:C21,MATCH($A198,'Base de Personas'!$B7:B21,0)),IFERROR(INDEX($B$5:B197,MATCH($A198,$A$5:A197,0)),""))),"Á","A"),"É","E"),"Í","I"),"Ó","O"),"Ú","U"),"Ü","U")))</f>
        <v/>
      </c>
      <c r="C198" s="37" t="str">
        <f aca="false">IF($A198="","",TRIM(SUBSTITUTE(SUBSTITUTE(SUBSTITUTE(SUBSTITUTE(SUBSTITUTE(SUBSTITUTE(UPPER(IFERROR(INDEX('Base de Personas'!$D7:D21,MATCH($A198,'Base de Personas'!$B7:B21,0)),IFERROR(INDEX($C$5:C197,MATCH($A198,$A$5:A197,0)),""))),"Á","A"),"É","E"),"Í","I"),"Ó","O"),"Ú","U"),"Ü","U")))</f>
        <v/>
      </c>
      <c r="D198" s="36" t="str">
        <f aca="false">IF($A198="","",TRIM(SUBSTITUTE(SUBSTITUTE(SUBSTITUTE(SUBSTITUTE(SUBSTITUTE(SUBSTITUTE(UPPER(IFERROR(INDEX('Base de Personas'!$E7:E21,MATCH($A198,'Base de Personas'!$B7:B21,0)),IFERROR(INDEX($D$5:D197,MATCH($A198,$A$5:A197,0)),""))),"Á","A"),"É","E"),"Í","I"),"Ó","O"),"Ú","U"),"Ü","U")))</f>
        <v/>
      </c>
      <c r="E198" s="36" t="str">
        <f aca="false">IF($A198="","",TRIM(SUBSTITUTE(SUBSTITUTE(SUBSTITUTE(SUBSTITUTE(SUBSTITUTE(SUBSTITUTE(UPPER(IFERROR(INDEX('Base de Personas'!$F7:F21,MATCH($A198,'Base de Personas'!$B7:B21,0)),IFERROR(INDEX($E$5:E197,MATCH($A198,$A$5:A197,0)),""))),"Á","A"),"É","E"),"Í","I"),"Ó","O"),"Ú","U"),"Ü","U")))</f>
        <v/>
      </c>
      <c r="F198" s="36" t="str">
        <f aca="false">IF($A198="","",TRIM(SUBSTITUTE(SUBSTITUTE(SUBSTITUTE(SUBSTITUTE(SUBSTITUTE(SUBSTITUTE(UPPER(IFERROR(INDEX('Base de Personas'!$G7:G21,MATCH($A198,'Base de Personas'!$B7:B21,0)),IFERROR(INDEX($F$5:F197,MATCH($A198,$A$5:A197,0)),""))),"Á","A"),"É","E"),"Í","I"),"Ó","O"),"Ú","U"),"Ü","U")))</f>
        <v/>
      </c>
      <c r="G198" s="37" t="str">
        <f aca="false">IF($A198="","",TRIM(SUBSTITUTE(SUBSTITUTE(SUBSTITUTE(SUBSTITUTE(SUBSTITUTE(SUBSTITUTE(UPPER(IFERROR(INDEX('Base de Personas'!$H7:H21,MATCH($A198,'Base de Personas'!$B7:B21,0)),IFERROR(INDEX($G$5:G197,MATCH($A198,$A$5:A197,0)),""))),"Á","A"),"É","E"),"Í","I"),"Ó","O"),"Ú","U"),"Ü","U")))</f>
        <v/>
      </c>
      <c r="H198" s="38" t="str">
        <f aca="false">IF($A198="","",IFERROR(INDEX('Base de Personas'!$I$7:$I$21,MATCH($A198,'Base de Personas'!$B$7:$B$21,0)),IFERROR(INDEX($H$5:H197,MATCH($A198,$A$5:A197,0)),"")))</f>
        <v/>
      </c>
      <c r="I198" s="39"/>
      <c r="J198" s="40"/>
      <c r="K198" s="40"/>
      <c r="L198" s="39"/>
      <c r="M198" s="41" t="str">
        <f aca="false">IF($A198="","",IF(K198=_xlfn.MAXIFS($K$5:$K$304,$A$5:$A$304,$A198),1,0))</f>
        <v/>
      </c>
      <c r="N198" s="41" t="str">
        <f aca="false">IF($A198="","",IF(M198=1,$A198&amp;"-ACT",""))</f>
        <v/>
      </c>
      <c r="O198" s="41" t="str">
        <f aca="false">IF($A198="","",IF(AND(COUNTIF('Base de Personas'!$B$7:$B$21,$A198)=0,COUNTIF($A$5:A198,$A198)=1),1,0))</f>
        <v/>
      </c>
      <c r="P198" s="41" t="str">
        <f aca="false">IF(O198=1,SUM($O$5:O198),"")</f>
        <v/>
      </c>
    </row>
    <row r="199" customFormat="false" ht="15" hidden="false" customHeight="false" outlineLevel="0" collapsed="false">
      <c r="A199" s="35"/>
      <c r="B199" s="36" t="str">
        <f aca="false">IF($A199="","",TRIM(SUBSTITUTE(SUBSTITUTE(SUBSTITUTE(SUBSTITUTE(SUBSTITUTE(SUBSTITUTE(UPPER(IFERROR(INDEX('Base de Personas'!$C7:C21,MATCH($A199,'Base de Personas'!$B7:B21,0)),IFERROR(INDEX($B$5:B198,MATCH($A199,$A$5:A198,0)),""))),"Á","A"),"É","E"),"Í","I"),"Ó","O"),"Ú","U"),"Ü","U")))</f>
        <v/>
      </c>
      <c r="C199" s="37" t="str">
        <f aca="false">IF($A199="","",TRIM(SUBSTITUTE(SUBSTITUTE(SUBSTITUTE(SUBSTITUTE(SUBSTITUTE(SUBSTITUTE(UPPER(IFERROR(INDEX('Base de Personas'!$D7:D21,MATCH($A199,'Base de Personas'!$B7:B21,0)),IFERROR(INDEX($C$5:C198,MATCH($A199,$A$5:A198,0)),""))),"Á","A"),"É","E"),"Í","I"),"Ó","O"),"Ú","U"),"Ü","U")))</f>
        <v/>
      </c>
      <c r="D199" s="36" t="str">
        <f aca="false">IF($A199="","",TRIM(SUBSTITUTE(SUBSTITUTE(SUBSTITUTE(SUBSTITUTE(SUBSTITUTE(SUBSTITUTE(UPPER(IFERROR(INDEX('Base de Personas'!$E7:E21,MATCH($A199,'Base de Personas'!$B7:B21,0)),IFERROR(INDEX($D$5:D198,MATCH($A199,$A$5:A198,0)),""))),"Á","A"),"É","E"),"Í","I"),"Ó","O"),"Ú","U"),"Ü","U")))</f>
        <v/>
      </c>
      <c r="E199" s="36" t="str">
        <f aca="false">IF($A199="","",TRIM(SUBSTITUTE(SUBSTITUTE(SUBSTITUTE(SUBSTITUTE(SUBSTITUTE(SUBSTITUTE(UPPER(IFERROR(INDEX('Base de Personas'!$F7:F21,MATCH($A199,'Base de Personas'!$B7:B21,0)),IFERROR(INDEX($E$5:E198,MATCH($A199,$A$5:A198,0)),""))),"Á","A"),"É","E"),"Í","I"),"Ó","O"),"Ú","U"),"Ü","U")))</f>
        <v/>
      </c>
      <c r="F199" s="36" t="str">
        <f aca="false">IF($A199="","",TRIM(SUBSTITUTE(SUBSTITUTE(SUBSTITUTE(SUBSTITUTE(SUBSTITUTE(SUBSTITUTE(UPPER(IFERROR(INDEX('Base de Personas'!$G7:G21,MATCH($A199,'Base de Personas'!$B7:B21,0)),IFERROR(INDEX($F$5:F198,MATCH($A199,$A$5:A198,0)),""))),"Á","A"),"É","E"),"Í","I"),"Ó","O"),"Ú","U"),"Ü","U")))</f>
        <v/>
      </c>
      <c r="G199" s="37" t="str">
        <f aca="false">IF($A199="","",TRIM(SUBSTITUTE(SUBSTITUTE(SUBSTITUTE(SUBSTITUTE(SUBSTITUTE(SUBSTITUTE(UPPER(IFERROR(INDEX('Base de Personas'!$H7:H21,MATCH($A199,'Base de Personas'!$B7:B21,0)),IFERROR(INDEX($G$5:G198,MATCH($A199,$A$5:A198,0)),""))),"Á","A"),"É","E"),"Í","I"),"Ó","O"),"Ú","U"),"Ü","U")))</f>
        <v/>
      </c>
      <c r="H199" s="38" t="str">
        <f aca="false">IF($A199="","",IFERROR(INDEX('Base de Personas'!$I$7:$I$21,MATCH($A199,'Base de Personas'!$B$7:$B$21,0)),IFERROR(INDEX($H$5:H198,MATCH($A199,$A$5:A198,0)),"")))</f>
        <v/>
      </c>
      <c r="I199" s="39"/>
      <c r="J199" s="40"/>
      <c r="K199" s="40"/>
      <c r="L199" s="39"/>
      <c r="M199" s="41" t="str">
        <f aca="false">IF($A199="","",IF(K199=_xlfn.MAXIFS($K$5:$K$304,$A$5:$A$304,$A199),1,0))</f>
        <v/>
      </c>
      <c r="N199" s="41" t="str">
        <f aca="false">IF($A199="","",IF(M199=1,$A199&amp;"-ACT",""))</f>
        <v/>
      </c>
      <c r="O199" s="41" t="str">
        <f aca="false">IF($A199="","",IF(AND(COUNTIF('Base de Personas'!$B$7:$B$21,$A199)=0,COUNTIF($A$5:A199,$A199)=1),1,0))</f>
        <v/>
      </c>
      <c r="P199" s="41" t="str">
        <f aca="false">IF(O199=1,SUM($O$5:O199),"")</f>
        <v/>
      </c>
    </row>
    <row r="200" customFormat="false" ht="15" hidden="false" customHeight="false" outlineLevel="0" collapsed="false">
      <c r="A200" s="35"/>
      <c r="B200" s="36" t="str">
        <f aca="false">IF($A200="","",TRIM(SUBSTITUTE(SUBSTITUTE(SUBSTITUTE(SUBSTITUTE(SUBSTITUTE(SUBSTITUTE(UPPER(IFERROR(INDEX('Base de Personas'!$C7:C21,MATCH($A200,'Base de Personas'!$B7:B21,0)),IFERROR(INDEX($B$5:B199,MATCH($A200,$A$5:A199,0)),""))),"Á","A"),"É","E"),"Í","I"),"Ó","O"),"Ú","U"),"Ü","U")))</f>
        <v/>
      </c>
      <c r="C200" s="37" t="str">
        <f aca="false">IF($A200="","",TRIM(SUBSTITUTE(SUBSTITUTE(SUBSTITUTE(SUBSTITUTE(SUBSTITUTE(SUBSTITUTE(UPPER(IFERROR(INDEX('Base de Personas'!$D7:D21,MATCH($A200,'Base de Personas'!$B7:B21,0)),IFERROR(INDEX($C$5:C199,MATCH($A200,$A$5:A199,0)),""))),"Á","A"),"É","E"),"Í","I"),"Ó","O"),"Ú","U"),"Ü","U")))</f>
        <v/>
      </c>
      <c r="D200" s="36" t="str">
        <f aca="false">IF($A200="","",TRIM(SUBSTITUTE(SUBSTITUTE(SUBSTITUTE(SUBSTITUTE(SUBSTITUTE(SUBSTITUTE(UPPER(IFERROR(INDEX('Base de Personas'!$E7:E21,MATCH($A200,'Base de Personas'!$B7:B21,0)),IFERROR(INDEX($D$5:D199,MATCH($A200,$A$5:A199,0)),""))),"Á","A"),"É","E"),"Í","I"),"Ó","O"),"Ú","U"),"Ü","U")))</f>
        <v/>
      </c>
      <c r="E200" s="36" t="str">
        <f aca="false">IF($A200="","",TRIM(SUBSTITUTE(SUBSTITUTE(SUBSTITUTE(SUBSTITUTE(SUBSTITUTE(SUBSTITUTE(UPPER(IFERROR(INDEX('Base de Personas'!$F7:F21,MATCH($A200,'Base de Personas'!$B7:B21,0)),IFERROR(INDEX($E$5:E199,MATCH($A200,$A$5:A199,0)),""))),"Á","A"),"É","E"),"Í","I"),"Ó","O"),"Ú","U"),"Ü","U")))</f>
        <v/>
      </c>
      <c r="F200" s="36" t="str">
        <f aca="false">IF($A200="","",TRIM(SUBSTITUTE(SUBSTITUTE(SUBSTITUTE(SUBSTITUTE(SUBSTITUTE(SUBSTITUTE(UPPER(IFERROR(INDEX('Base de Personas'!$G7:G21,MATCH($A200,'Base de Personas'!$B7:B21,0)),IFERROR(INDEX($F$5:F199,MATCH($A200,$A$5:A199,0)),""))),"Á","A"),"É","E"),"Í","I"),"Ó","O"),"Ú","U"),"Ü","U")))</f>
        <v/>
      </c>
      <c r="G200" s="37" t="str">
        <f aca="false">IF($A200="","",TRIM(SUBSTITUTE(SUBSTITUTE(SUBSTITUTE(SUBSTITUTE(SUBSTITUTE(SUBSTITUTE(UPPER(IFERROR(INDEX('Base de Personas'!$H7:H21,MATCH($A200,'Base de Personas'!$B7:B21,0)),IFERROR(INDEX($G$5:G199,MATCH($A200,$A$5:A199,0)),""))),"Á","A"),"É","E"),"Í","I"),"Ó","O"),"Ú","U"),"Ü","U")))</f>
        <v/>
      </c>
      <c r="H200" s="38" t="str">
        <f aca="false">IF($A200="","",IFERROR(INDEX('Base de Personas'!$I$7:$I$21,MATCH($A200,'Base de Personas'!$B$7:$B$21,0)),IFERROR(INDEX($H$5:H199,MATCH($A200,$A$5:A199,0)),"")))</f>
        <v/>
      </c>
      <c r="I200" s="39"/>
      <c r="J200" s="40"/>
      <c r="K200" s="40"/>
      <c r="L200" s="39"/>
      <c r="M200" s="41" t="str">
        <f aca="false">IF($A200="","",IF(K200=_xlfn.MAXIFS($K$5:$K$304,$A$5:$A$304,$A200),1,0))</f>
        <v/>
      </c>
      <c r="N200" s="41" t="str">
        <f aca="false">IF($A200="","",IF(M200=1,$A200&amp;"-ACT",""))</f>
        <v/>
      </c>
      <c r="O200" s="41" t="str">
        <f aca="false">IF($A200="","",IF(AND(COUNTIF('Base de Personas'!$B$7:$B$21,$A200)=0,COUNTIF($A$5:A200,$A200)=1),1,0))</f>
        <v/>
      </c>
      <c r="P200" s="41" t="str">
        <f aca="false">IF(O200=1,SUM($O$5:O200),"")</f>
        <v/>
      </c>
    </row>
    <row r="201" customFormat="false" ht="15" hidden="false" customHeight="false" outlineLevel="0" collapsed="false">
      <c r="A201" s="35"/>
      <c r="B201" s="36" t="str">
        <f aca="false">IF($A201="","",TRIM(SUBSTITUTE(SUBSTITUTE(SUBSTITUTE(SUBSTITUTE(SUBSTITUTE(SUBSTITUTE(UPPER(IFERROR(INDEX('Base de Personas'!$C7:C21,MATCH($A201,'Base de Personas'!$B7:B21,0)),IFERROR(INDEX($B$5:B200,MATCH($A201,$A$5:A200,0)),""))),"Á","A"),"É","E"),"Í","I"),"Ó","O"),"Ú","U"),"Ü","U")))</f>
        <v/>
      </c>
      <c r="C201" s="37" t="str">
        <f aca="false">IF($A201="","",TRIM(SUBSTITUTE(SUBSTITUTE(SUBSTITUTE(SUBSTITUTE(SUBSTITUTE(SUBSTITUTE(UPPER(IFERROR(INDEX('Base de Personas'!$D7:D21,MATCH($A201,'Base de Personas'!$B7:B21,0)),IFERROR(INDEX($C$5:C200,MATCH($A201,$A$5:A200,0)),""))),"Á","A"),"É","E"),"Í","I"),"Ó","O"),"Ú","U"),"Ü","U")))</f>
        <v/>
      </c>
      <c r="D201" s="36" t="str">
        <f aca="false">IF($A201="","",TRIM(SUBSTITUTE(SUBSTITUTE(SUBSTITUTE(SUBSTITUTE(SUBSTITUTE(SUBSTITUTE(UPPER(IFERROR(INDEX('Base de Personas'!$E7:E21,MATCH($A201,'Base de Personas'!$B7:B21,0)),IFERROR(INDEX($D$5:D200,MATCH($A201,$A$5:A200,0)),""))),"Á","A"),"É","E"),"Í","I"),"Ó","O"),"Ú","U"),"Ü","U")))</f>
        <v/>
      </c>
      <c r="E201" s="36" t="str">
        <f aca="false">IF($A201="","",TRIM(SUBSTITUTE(SUBSTITUTE(SUBSTITUTE(SUBSTITUTE(SUBSTITUTE(SUBSTITUTE(UPPER(IFERROR(INDEX('Base de Personas'!$F7:F21,MATCH($A201,'Base de Personas'!$B7:B21,0)),IFERROR(INDEX($E$5:E200,MATCH($A201,$A$5:A200,0)),""))),"Á","A"),"É","E"),"Í","I"),"Ó","O"),"Ú","U"),"Ü","U")))</f>
        <v/>
      </c>
      <c r="F201" s="36" t="str">
        <f aca="false">IF($A201="","",TRIM(SUBSTITUTE(SUBSTITUTE(SUBSTITUTE(SUBSTITUTE(SUBSTITUTE(SUBSTITUTE(UPPER(IFERROR(INDEX('Base de Personas'!$G7:G21,MATCH($A201,'Base de Personas'!$B7:B21,0)),IFERROR(INDEX($F$5:F200,MATCH($A201,$A$5:A200,0)),""))),"Á","A"),"É","E"),"Í","I"),"Ó","O"),"Ú","U"),"Ü","U")))</f>
        <v/>
      </c>
      <c r="G201" s="37" t="str">
        <f aca="false">IF($A201="","",TRIM(SUBSTITUTE(SUBSTITUTE(SUBSTITUTE(SUBSTITUTE(SUBSTITUTE(SUBSTITUTE(UPPER(IFERROR(INDEX('Base de Personas'!$H7:H21,MATCH($A201,'Base de Personas'!$B7:B21,0)),IFERROR(INDEX($G$5:G200,MATCH($A201,$A$5:A200,0)),""))),"Á","A"),"É","E"),"Í","I"),"Ó","O"),"Ú","U"),"Ü","U")))</f>
        <v/>
      </c>
      <c r="H201" s="38" t="str">
        <f aca="false">IF($A201="","",IFERROR(INDEX('Base de Personas'!$I$7:$I$21,MATCH($A201,'Base de Personas'!$B$7:$B$21,0)),IFERROR(INDEX($H$5:H200,MATCH($A201,$A$5:A200,0)),"")))</f>
        <v/>
      </c>
      <c r="I201" s="39"/>
      <c r="J201" s="40"/>
      <c r="K201" s="40"/>
      <c r="L201" s="39"/>
      <c r="M201" s="41" t="str">
        <f aca="false">IF($A201="","",IF(K201=_xlfn.MAXIFS($K$5:$K$304,$A$5:$A$304,$A201),1,0))</f>
        <v/>
      </c>
      <c r="N201" s="41" t="str">
        <f aca="false">IF($A201="","",IF(M201=1,$A201&amp;"-ACT",""))</f>
        <v/>
      </c>
      <c r="O201" s="41" t="str">
        <f aca="false">IF($A201="","",IF(AND(COUNTIF('Base de Personas'!$B$7:$B$21,$A201)=0,COUNTIF($A$5:A201,$A201)=1),1,0))</f>
        <v/>
      </c>
      <c r="P201" s="41" t="str">
        <f aca="false">IF(O201=1,SUM($O$5:O201),"")</f>
        <v/>
      </c>
    </row>
    <row r="202" customFormat="false" ht="15" hidden="false" customHeight="false" outlineLevel="0" collapsed="false">
      <c r="A202" s="35"/>
      <c r="B202" s="36" t="str">
        <f aca="false">IF($A202="","",TRIM(SUBSTITUTE(SUBSTITUTE(SUBSTITUTE(SUBSTITUTE(SUBSTITUTE(SUBSTITUTE(UPPER(IFERROR(INDEX('Base de Personas'!$C7:C21,MATCH($A202,'Base de Personas'!$B7:B21,0)),IFERROR(INDEX($B$5:B201,MATCH($A202,$A$5:A201,0)),""))),"Á","A"),"É","E"),"Í","I"),"Ó","O"),"Ú","U"),"Ü","U")))</f>
        <v/>
      </c>
      <c r="C202" s="37" t="str">
        <f aca="false">IF($A202="","",TRIM(SUBSTITUTE(SUBSTITUTE(SUBSTITUTE(SUBSTITUTE(SUBSTITUTE(SUBSTITUTE(UPPER(IFERROR(INDEX('Base de Personas'!$D7:D21,MATCH($A202,'Base de Personas'!$B7:B21,0)),IFERROR(INDEX($C$5:C201,MATCH($A202,$A$5:A201,0)),""))),"Á","A"),"É","E"),"Í","I"),"Ó","O"),"Ú","U"),"Ü","U")))</f>
        <v/>
      </c>
      <c r="D202" s="36" t="str">
        <f aca="false">IF($A202="","",TRIM(SUBSTITUTE(SUBSTITUTE(SUBSTITUTE(SUBSTITUTE(SUBSTITUTE(SUBSTITUTE(UPPER(IFERROR(INDEX('Base de Personas'!$E7:E21,MATCH($A202,'Base de Personas'!$B7:B21,0)),IFERROR(INDEX($D$5:D201,MATCH($A202,$A$5:A201,0)),""))),"Á","A"),"É","E"),"Í","I"),"Ó","O"),"Ú","U"),"Ü","U")))</f>
        <v/>
      </c>
      <c r="E202" s="36" t="str">
        <f aca="false">IF($A202="","",TRIM(SUBSTITUTE(SUBSTITUTE(SUBSTITUTE(SUBSTITUTE(SUBSTITUTE(SUBSTITUTE(UPPER(IFERROR(INDEX('Base de Personas'!$F7:F21,MATCH($A202,'Base de Personas'!$B7:B21,0)),IFERROR(INDEX($E$5:E201,MATCH($A202,$A$5:A201,0)),""))),"Á","A"),"É","E"),"Í","I"),"Ó","O"),"Ú","U"),"Ü","U")))</f>
        <v/>
      </c>
      <c r="F202" s="36" t="str">
        <f aca="false">IF($A202="","",TRIM(SUBSTITUTE(SUBSTITUTE(SUBSTITUTE(SUBSTITUTE(SUBSTITUTE(SUBSTITUTE(UPPER(IFERROR(INDEX('Base de Personas'!$G7:G21,MATCH($A202,'Base de Personas'!$B7:B21,0)),IFERROR(INDEX($F$5:F201,MATCH($A202,$A$5:A201,0)),""))),"Á","A"),"É","E"),"Í","I"),"Ó","O"),"Ú","U"),"Ü","U")))</f>
        <v/>
      </c>
      <c r="G202" s="37" t="str">
        <f aca="false">IF($A202="","",TRIM(SUBSTITUTE(SUBSTITUTE(SUBSTITUTE(SUBSTITUTE(SUBSTITUTE(SUBSTITUTE(UPPER(IFERROR(INDEX('Base de Personas'!$H7:H21,MATCH($A202,'Base de Personas'!$B7:B21,0)),IFERROR(INDEX($G$5:G201,MATCH($A202,$A$5:A201,0)),""))),"Á","A"),"É","E"),"Í","I"),"Ó","O"),"Ú","U"),"Ü","U")))</f>
        <v/>
      </c>
      <c r="H202" s="38" t="str">
        <f aca="false">IF($A202="","",IFERROR(INDEX('Base de Personas'!$I$7:$I$21,MATCH($A202,'Base de Personas'!$B$7:$B$21,0)),IFERROR(INDEX($H$5:H201,MATCH($A202,$A$5:A201,0)),"")))</f>
        <v/>
      </c>
      <c r="I202" s="39"/>
      <c r="J202" s="40"/>
      <c r="K202" s="40"/>
      <c r="L202" s="39"/>
      <c r="M202" s="41" t="str">
        <f aca="false">IF($A202="","",IF(K202=_xlfn.MAXIFS($K$5:$K$304,$A$5:$A$304,$A202),1,0))</f>
        <v/>
      </c>
      <c r="N202" s="41" t="str">
        <f aca="false">IF($A202="","",IF(M202=1,$A202&amp;"-ACT",""))</f>
        <v/>
      </c>
      <c r="O202" s="41" t="str">
        <f aca="false">IF($A202="","",IF(AND(COUNTIF('Base de Personas'!$B$7:$B$21,$A202)=0,COUNTIF($A$5:A202,$A202)=1),1,0))</f>
        <v/>
      </c>
      <c r="P202" s="41" t="str">
        <f aca="false">IF(O202=1,SUM($O$5:O202),"")</f>
        <v/>
      </c>
    </row>
    <row r="203" customFormat="false" ht="15" hidden="false" customHeight="false" outlineLevel="0" collapsed="false">
      <c r="A203" s="35"/>
      <c r="B203" s="36" t="str">
        <f aca="false">IF($A203="","",TRIM(SUBSTITUTE(SUBSTITUTE(SUBSTITUTE(SUBSTITUTE(SUBSTITUTE(SUBSTITUTE(UPPER(IFERROR(INDEX('Base de Personas'!$C7:C21,MATCH($A203,'Base de Personas'!$B7:B21,0)),IFERROR(INDEX($B$5:B202,MATCH($A203,$A$5:A202,0)),""))),"Á","A"),"É","E"),"Í","I"),"Ó","O"),"Ú","U"),"Ü","U")))</f>
        <v/>
      </c>
      <c r="C203" s="37" t="str">
        <f aca="false">IF($A203="","",TRIM(SUBSTITUTE(SUBSTITUTE(SUBSTITUTE(SUBSTITUTE(SUBSTITUTE(SUBSTITUTE(UPPER(IFERROR(INDEX('Base de Personas'!$D7:D21,MATCH($A203,'Base de Personas'!$B7:B21,0)),IFERROR(INDEX($C$5:C202,MATCH($A203,$A$5:A202,0)),""))),"Á","A"),"É","E"),"Í","I"),"Ó","O"),"Ú","U"),"Ü","U")))</f>
        <v/>
      </c>
      <c r="D203" s="36" t="str">
        <f aca="false">IF($A203="","",TRIM(SUBSTITUTE(SUBSTITUTE(SUBSTITUTE(SUBSTITUTE(SUBSTITUTE(SUBSTITUTE(UPPER(IFERROR(INDEX('Base de Personas'!$E7:E21,MATCH($A203,'Base de Personas'!$B7:B21,0)),IFERROR(INDEX($D$5:D202,MATCH($A203,$A$5:A202,0)),""))),"Á","A"),"É","E"),"Í","I"),"Ó","O"),"Ú","U"),"Ü","U")))</f>
        <v/>
      </c>
      <c r="E203" s="36" t="str">
        <f aca="false">IF($A203="","",TRIM(SUBSTITUTE(SUBSTITUTE(SUBSTITUTE(SUBSTITUTE(SUBSTITUTE(SUBSTITUTE(UPPER(IFERROR(INDEX('Base de Personas'!$F7:F21,MATCH($A203,'Base de Personas'!$B7:B21,0)),IFERROR(INDEX($E$5:E202,MATCH($A203,$A$5:A202,0)),""))),"Á","A"),"É","E"),"Í","I"),"Ó","O"),"Ú","U"),"Ü","U")))</f>
        <v/>
      </c>
      <c r="F203" s="36" t="str">
        <f aca="false">IF($A203="","",TRIM(SUBSTITUTE(SUBSTITUTE(SUBSTITUTE(SUBSTITUTE(SUBSTITUTE(SUBSTITUTE(UPPER(IFERROR(INDEX('Base de Personas'!$G7:G21,MATCH($A203,'Base de Personas'!$B7:B21,0)),IFERROR(INDEX($F$5:F202,MATCH($A203,$A$5:A202,0)),""))),"Á","A"),"É","E"),"Í","I"),"Ó","O"),"Ú","U"),"Ü","U")))</f>
        <v/>
      </c>
      <c r="G203" s="37" t="str">
        <f aca="false">IF($A203="","",TRIM(SUBSTITUTE(SUBSTITUTE(SUBSTITUTE(SUBSTITUTE(SUBSTITUTE(SUBSTITUTE(UPPER(IFERROR(INDEX('Base de Personas'!$H7:H21,MATCH($A203,'Base de Personas'!$B7:B21,0)),IFERROR(INDEX($G$5:G202,MATCH($A203,$A$5:A202,0)),""))),"Á","A"),"É","E"),"Í","I"),"Ó","O"),"Ú","U"),"Ü","U")))</f>
        <v/>
      </c>
      <c r="H203" s="38" t="str">
        <f aca="false">IF($A203="","",IFERROR(INDEX('Base de Personas'!$I$7:$I$21,MATCH($A203,'Base de Personas'!$B$7:$B$21,0)),IFERROR(INDEX($H$5:H202,MATCH($A203,$A$5:A202,0)),"")))</f>
        <v/>
      </c>
      <c r="I203" s="39"/>
      <c r="J203" s="40"/>
      <c r="K203" s="40"/>
      <c r="L203" s="39"/>
      <c r="M203" s="41" t="str">
        <f aca="false">IF($A203="","",IF(K203=_xlfn.MAXIFS($K$5:$K$304,$A$5:$A$304,$A203),1,0))</f>
        <v/>
      </c>
      <c r="N203" s="41" t="str">
        <f aca="false">IF($A203="","",IF(M203=1,$A203&amp;"-ACT",""))</f>
        <v/>
      </c>
      <c r="O203" s="41" t="str">
        <f aca="false">IF($A203="","",IF(AND(COUNTIF('Base de Personas'!$B$7:$B$21,$A203)=0,COUNTIF($A$5:A203,$A203)=1),1,0))</f>
        <v/>
      </c>
      <c r="P203" s="41" t="str">
        <f aca="false">IF(O203=1,SUM($O$5:O203),"")</f>
        <v/>
      </c>
    </row>
    <row r="204" customFormat="false" ht="15" hidden="false" customHeight="false" outlineLevel="0" collapsed="false">
      <c r="A204" s="35"/>
      <c r="B204" s="36" t="str">
        <f aca="false">IF($A204="","",TRIM(SUBSTITUTE(SUBSTITUTE(SUBSTITUTE(SUBSTITUTE(SUBSTITUTE(SUBSTITUTE(UPPER(IFERROR(INDEX('Base de Personas'!$C7:C21,MATCH($A204,'Base de Personas'!$B7:B21,0)),IFERROR(INDEX($B$5:B203,MATCH($A204,$A$5:A203,0)),""))),"Á","A"),"É","E"),"Í","I"),"Ó","O"),"Ú","U"),"Ü","U")))</f>
        <v/>
      </c>
      <c r="C204" s="37" t="str">
        <f aca="false">IF($A204="","",TRIM(SUBSTITUTE(SUBSTITUTE(SUBSTITUTE(SUBSTITUTE(SUBSTITUTE(SUBSTITUTE(UPPER(IFERROR(INDEX('Base de Personas'!$D7:D21,MATCH($A204,'Base de Personas'!$B7:B21,0)),IFERROR(INDEX($C$5:C203,MATCH($A204,$A$5:A203,0)),""))),"Á","A"),"É","E"),"Í","I"),"Ó","O"),"Ú","U"),"Ü","U")))</f>
        <v/>
      </c>
      <c r="D204" s="36" t="str">
        <f aca="false">IF($A204="","",TRIM(SUBSTITUTE(SUBSTITUTE(SUBSTITUTE(SUBSTITUTE(SUBSTITUTE(SUBSTITUTE(UPPER(IFERROR(INDEX('Base de Personas'!$E7:E21,MATCH($A204,'Base de Personas'!$B7:B21,0)),IFERROR(INDEX($D$5:D203,MATCH($A204,$A$5:A203,0)),""))),"Á","A"),"É","E"),"Í","I"),"Ó","O"),"Ú","U"),"Ü","U")))</f>
        <v/>
      </c>
      <c r="E204" s="36" t="str">
        <f aca="false">IF($A204="","",TRIM(SUBSTITUTE(SUBSTITUTE(SUBSTITUTE(SUBSTITUTE(SUBSTITUTE(SUBSTITUTE(UPPER(IFERROR(INDEX('Base de Personas'!$F7:F21,MATCH($A204,'Base de Personas'!$B7:B21,0)),IFERROR(INDEX($E$5:E203,MATCH($A204,$A$5:A203,0)),""))),"Á","A"),"É","E"),"Í","I"),"Ó","O"),"Ú","U"),"Ü","U")))</f>
        <v/>
      </c>
      <c r="F204" s="36" t="str">
        <f aca="false">IF($A204="","",TRIM(SUBSTITUTE(SUBSTITUTE(SUBSTITUTE(SUBSTITUTE(SUBSTITUTE(SUBSTITUTE(UPPER(IFERROR(INDEX('Base de Personas'!$G7:G21,MATCH($A204,'Base de Personas'!$B7:B21,0)),IFERROR(INDEX($F$5:F203,MATCH($A204,$A$5:A203,0)),""))),"Á","A"),"É","E"),"Í","I"),"Ó","O"),"Ú","U"),"Ü","U")))</f>
        <v/>
      </c>
      <c r="G204" s="37" t="str">
        <f aca="false">IF($A204="","",TRIM(SUBSTITUTE(SUBSTITUTE(SUBSTITUTE(SUBSTITUTE(SUBSTITUTE(SUBSTITUTE(UPPER(IFERROR(INDEX('Base de Personas'!$H7:H21,MATCH($A204,'Base de Personas'!$B7:B21,0)),IFERROR(INDEX($G$5:G203,MATCH($A204,$A$5:A203,0)),""))),"Á","A"),"É","E"),"Í","I"),"Ó","O"),"Ú","U"),"Ü","U")))</f>
        <v/>
      </c>
      <c r="H204" s="38" t="str">
        <f aca="false">IF($A204="","",IFERROR(INDEX('Base de Personas'!$I$7:$I$21,MATCH($A204,'Base de Personas'!$B$7:$B$21,0)),IFERROR(INDEX($H$5:H203,MATCH($A204,$A$5:A203,0)),"")))</f>
        <v/>
      </c>
      <c r="I204" s="39"/>
      <c r="J204" s="40"/>
      <c r="K204" s="40"/>
      <c r="L204" s="39"/>
      <c r="M204" s="41" t="str">
        <f aca="false">IF($A204="","",IF(K204=_xlfn.MAXIFS($K$5:$K$304,$A$5:$A$304,$A204),1,0))</f>
        <v/>
      </c>
      <c r="N204" s="41" t="str">
        <f aca="false">IF($A204="","",IF(M204=1,$A204&amp;"-ACT",""))</f>
        <v/>
      </c>
      <c r="O204" s="41" t="str">
        <f aca="false">IF($A204="","",IF(AND(COUNTIF('Base de Personas'!$B$7:$B$21,$A204)=0,COUNTIF($A$5:A204,$A204)=1),1,0))</f>
        <v/>
      </c>
      <c r="P204" s="41" t="str">
        <f aca="false">IF(O204=1,SUM($O$5:O204),"")</f>
        <v/>
      </c>
    </row>
    <row r="205" customFormat="false" ht="15" hidden="false" customHeight="false" outlineLevel="0" collapsed="false">
      <c r="A205" s="35"/>
      <c r="B205" s="36" t="str">
        <f aca="false">IF($A205="","",TRIM(SUBSTITUTE(SUBSTITUTE(SUBSTITUTE(SUBSTITUTE(SUBSTITUTE(SUBSTITUTE(UPPER(IFERROR(INDEX('Base de Personas'!$C7:C21,MATCH($A205,'Base de Personas'!$B7:B21,0)),IFERROR(INDEX($B$5:B204,MATCH($A205,$A$5:A204,0)),""))),"Á","A"),"É","E"),"Í","I"),"Ó","O"),"Ú","U"),"Ü","U")))</f>
        <v/>
      </c>
      <c r="C205" s="37" t="str">
        <f aca="false">IF($A205="","",TRIM(SUBSTITUTE(SUBSTITUTE(SUBSTITUTE(SUBSTITUTE(SUBSTITUTE(SUBSTITUTE(UPPER(IFERROR(INDEX('Base de Personas'!$D7:D21,MATCH($A205,'Base de Personas'!$B7:B21,0)),IFERROR(INDEX($C$5:C204,MATCH($A205,$A$5:A204,0)),""))),"Á","A"),"É","E"),"Í","I"),"Ó","O"),"Ú","U"),"Ü","U")))</f>
        <v/>
      </c>
      <c r="D205" s="36" t="str">
        <f aca="false">IF($A205="","",TRIM(SUBSTITUTE(SUBSTITUTE(SUBSTITUTE(SUBSTITUTE(SUBSTITUTE(SUBSTITUTE(UPPER(IFERROR(INDEX('Base de Personas'!$E7:E21,MATCH($A205,'Base de Personas'!$B7:B21,0)),IFERROR(INDEX($D$5:D204,MATCH($A205,$A$5:A204,0)),""))),"Á","A"),"É","E"),"Í","I"),"Ó","O"),"Ú","U"),"Ü","U")))</f>
        <v/>
      </c>
      <c r="E205" s="36" t="str">
        <f aca="false">IF($A205="","",TRIM(SUBSTITUTE(SUBSTITUTE(SUBSTITUTE(SUBSTITUTE(SUBSTITUTE(SUBSTITUTE(UPPER(IFERROR(INDEX('Base de Personas'!$F7:F21,MATCH($A205,'Base de Personas'!$B7:B21,0)),IFERROR(INDEX($E$5:E204,MATCH($A205,$A$5:A204,0)),""))),"Á","A"),"É","E"),"Í","I"),"Ó","O"),"Ú","U"),"Ü","U")))</f>
        <v/>
      </c>
      <c r="F205" s="36" t="str">
        <f aca="false">IF($A205="","",TRIM(SUBSTITUTE(SUBSTITUTE(SUBSTITUTE(SUBSTITUTE(SUBSTITUTE(SUBSTITUTE(UPPER(IFERROR(INDEX('Base de Personas'!$G7:G21,MATCH($A205,'Base de Personas'!$B7:B21,0)),IFERROR(INDEX($F$5:F204,MATCH($A205,$A$5:A204,0)),""))),"Á","A"),"É","E"),"Í","I"),"Ó","O"),"Ú","U"),"Ü","U")))</f>
        <v/>
      </c>
      <c r="G205" s="37" t="str">
        <f aca="false">IF($A205="","",TRIM(SUBSTITUTE(SUBSTITUTE(SUBSTITUTE(SUBSTITUTE(SUBSTITUTE(SUBSTITUTE(UPPER(IFERROR(INDEX('Base de Personas'!$H7:H21,MATCH($A205,'Base de Personas'!$B7:B21,0)),IFERROR(INDEX($G$5:G204,MATCH($A205,$A$5:A204,0)),""))),"Á","A"),"É","E"),"Í","I"),"Ó","O"),"Ú","U"),"Ü","U")))</f>
        <v/>
      </c>
      <c r="H205" s="38" t="str">
        <f aca="false">IF($A205="","",IFERROR(INDEX('Base de Personas'!$I$7:$I$21,MATCH($A205,'Base de Personas'!$B$7:$B$21,0)),IFERROR(INDEX($H$5:H204,MATCH($A205,$A$5:A204,0)),"")))</f>
        <v/>
      </c>
      <c r="I205" s="39"/>
      <c r="J205" s="40"/>
      <c r="K205" s="40"/>
      <c r="L205" s="39"/>
      <c r="M205" s="41" t="str">
        <f aca="false">IF($A205="","",IF(K205=_xlfn.MAXIFS($K$5:$K$304,$A$5:$A$304,$A205),1,0))</f>
        <v/>
      </c>
      <c r="N205" s="41" t="str">
        <f aca="false">IF($A205="","",IF(M205=1,$A205&amp;"-ACT",""))</f>
        <v/>
      </c>
      <c r="O205" s="41" t="str">
        <f aca="false">IF($A205="","",IF(AND(COUNTIF('Base de Personas'!$B$7:$B$21,$A205)=0,COUNTIF($A$5:A205,$A205)=1),1,0))</f>
        <v/>
      </c>
      <c r="P205" s="41" t="str">
        <f aca="false">IF(O205=1,SUM($O$5:O205),"")</f>
        <v/>
      </c>
    </row>
    <row r="206" customFormat="false" ht="15" hidden="false" customHeight="false" outlineLevel="0" collapsed="false">
      <c r="A206" s="35"/>
      <c r="B206" s="36" t="str">
        <f aca="false">IF($A206="","",TRIM(SUBSTITUTE(SUBSTITUTE(SUBSTITUTE(SUBSTITUTE(SUBSTITUTE(SUBSTITUTE(UPPER(IFERROR(INDEX('Base de Personas'!$C7:C21,MATCH($A206,'Base de Personas'!$B7:B21,0)),IFERROR(INDEX($B$5:B205,MATCH($A206,$A$5:A205,0)),""))),"Á","A"),"É","E"),"Í","I"),"Ó","O"),"Ú","U"),"Ü","U")))</f>
        <v/>
      </c>
      <c r="C206" s="37" t="str">
        <f aca="false">IF($A206="","",TRIM(SUBSTITUTE(SUBSTITUTE(SUBSTITUTE(SUBSTITUTE(SUBSTITUTE(SUBSTITUTE(UPPER(IFERROR(INDEX('Base de Personas'!$D7:D21,MATCH($A206,'Base de Personas'!$B7:B21,0)),IFERROR(INDEX($C$5:C205,MATCH($A206,$A$5:A205,0)),""))),"Á","A"),"É","E"),"Í","I"),"Ó","O"),"Ú","U"),"Ü","U")))</f>
        <v/>
      </c>
      <c r="D206" s="36" t="str">
        <f aca="false">IF($A206="","",TRIM(SUBSTITUTE(SUBSTITUTE(SUBSTITUTE(SUBSTITUTE(SUBSTITUTE(SUBSTITUTE(UPPER(IFERROR(INDEX('Base de Personas'!$E7:E21,MATCH($A206,'Base de Personas'!$B7:B21,0)),IFERROR(INDEX($D$5:D205,MATCH($A206,$A$5:A205,0)),""))),"Á","A"),"É","E"),"Í","I"),"Ó","O"),"Ú","U"),"Ü","U")))</f>
        <v/>
      </c>
      <c r="E206" s="36" t="str">
        <f aca="false">IF($A206="","",TRIM(SUBSTITUTE(SUBSTITUTE(SUBSTITUTE(SUBSTITUTE(SUBSTITUTE(SUBSTITUTE(UPPER(IFERROR(INDEX('Base de Personas'!$F7:F21,MATCH($A206,'Base de Personas'!$B7:B21,0)),IFERROR(INDEX($E$5:E205,MATCH($A206,$A$5:A205,0)),""))),"Á","A"),"É","E"),"Í","I"),"Ó","O"),"Ú","U"),"Ü","U")))</f>
        <v/>
      </c>
      <c r="F206" s="36" t="str">
        <f aca="false">IF($A206="","",TRIM(SUBSTITUTE(SUBSTITUTE(SUBSTITUTE(SUBSTITUTE(SUBSTITUTE(SUBSTITUTE(UPPER(IFERROR(INDEX('Base de Personas'!$G7:G21,MATCH($A206,'Base de Personas'!$B7:B21,0)),IFERROR(INDEX($F$5:F205,MATCH($A206,$A$5:A205,0)),""))),"Á","A"),"É","E"),"Í","I"),"Ó","O"),"Ú","U"),"Ü","U")))</f>
        <v/>
      </c>
      <c r="G206" s="37" t="str">
        <f aca="false">IF($A206="","",TRIM(SUBSTITUTE(SUBSTITUTE(SUBSTITUTE(SUBSTITUTE(SUBSTITUTE(SUBSTITUTE(UPPER(IFERROR(INDEX('Base de Personas'!$H7:H21,MATCH($A206,'Base de Personas'!$B7:B21,0)),IFERROR(INDEX($G$5:G205,MATCH($A206,$A$5:A205,0)),""))),"Á","A"),"É","E"),"Í","I"),"Ó","O"),"Ú","U"),"Ü","U")))</f>
        <v/>
      </c>
      <c r="H206" s="38" t="str">
        <f aca="false">IF($A206="","",IFERROR(INDEX('Base de Personas'!$I$7:$I$21,MATCH($A206,'Base de Personas'!$B$7:$B$21,0)),IFERROR(INDEX($H$5:H205,MATCH($A206,$A$5:A205,0)),"")))</f>
        <v/>
      </c>
      <c r="I206" s="39"/>
      <c r="J206" s="40"/>
      <c r="K206" s="40"/>
      <c r="L206" s="39"/>
      <c r="M206" s="41" t="str">
        <f aca="false">IF($A206="","",IF(K206=_xlfn.MAXIFS($K$5:$K$304,$A$5:$A$304,$A206),1,0))</f>
        <v/>
      </c>
      <c r="N206" s="41" t="str">
        <f aca="false">IF($A206="","",IF(M206=1,$A206&amp;"-ACT",""))</f>
        <v/>
      </c>
      <c r="O206" s="41" t="str">
        <f aca="false">IF($A206="","",IF(AND(COUNTIF('Base de Personas'!$B$7:$B$21,$A206)=0,COUNTIF($A$5:A206,$A206)=1),1,0))</f>
        <v/>
      </c>
      <c r="P206" s="41" t="str">
        <f aca="false">IF(O206=1,SUM($O$5:O206),"")</f>
        <v/>
      </c>
    </row>
    <row r="207" customFormat="false" ht="15" hidden="false" customHeight="false" outlineLevel="0" collapsed="false">
      <c r="A207" s="35"/>
      <c r="B207" s="36" t="str">
        <f aca="false">IF($A207="","",TRIM(SUBSTITUTE(SUBSTITUTE(SUBSTITUTE(SUBSTITUTE(SUBSTITUTE(SUBSTITUTE(UPPER(IFERROR(INDEX('Base de Personas'!$C7:C21,MATCH($A207,'Base de Personas'!$B7:B21,0)),IFERROR(INDEX($B$5:B206,MATCH($A207,$A$5:A206,0)),""))),"Á","A"),"É","E"),"Í","I"),"Ó","O"),"Ú","U"),"Ü","U")))</f>
        <v/>
      </c>
      <c r="C207" s="37" t="str">
        <f aca="false">IF($A207="","",TRIM(SUBSTITUTE(SUBSTITUTE(SUBSTITUTE(SUBSTITUTE(SUBSTITUTE(SUBSTITUTE(UPPER(IFERROR(INDEX('Base de Personas'!$D7:D21,MATCH($A207,'Base de Personas'!$B7:B21,0)),IFERROR(INDEX($C$5:C206,MATCH($A207,$A$5:A206,0)),""))),"Á","A"),"É","E"),"Í","I"),"Ó","O"),"Ú","U"),"Ü","U")))</f>
        <v/>
      </c>
      <c r="D207" s="36" t="str">
        <f aca="false">IF($A207="","",TRIM(SUBSTITUTE(SUBSTITUTE(SUBSTITUTE(SUBSTITUTE(SUBSTITUTE(SUBSTITUTE(UPPER(IFERROR(INDEX('Base de Personas'!$E7:E21,MATCH($A207,'Base de Personas'!$B7:B21,0)),IFERROR(INDEX($D$5:D206,MATCH($A207,$A$5:A206,0)),""))),"Á","A"),"É","E"),"Í","I"),"Ó","O"),"Ú","U"),"Ü","U")))</f>
        <v/>
      </c>
      <c r="E207" s="36" t="str">
        <f aca="false">IF($A207="","",TRIM(SUBSTITUTE(SUBSTITUTE(SUBSTITUTE(SUBSTITUTE(SUBSTITUTE(SUBSTITUTE(UPPER(IFERROR(INDEX('Base de Personas'!$F7:F21,MATCH($A207,'Base de Personas'!$B7:B21,0)),IFERROR(INDEX($E$5:E206,MATCH($A207,$A$5:A206,0)),""))),"Á","A"),"É","E"),"Í","I"),"Ó","O"),"Ú","U"),"Ü","U")))</f>
        <v/>
      </c>
      <c r="F207" s="36" t="str">
        <f aca="false">IF($A207="","",TRIM(SUBSTITUTE(SUBSTITUTE(SUBSTITUTE(SUBSTITUTE(SUBSTITUTE(SUBSTITUTE(UPPER(IFERROR(INDEX('Base de Personas'!$G7:G21,MATCH($A207,'Base de Personas'!$B7:B21,0)),IFERROR(INDEX($F$5:F206,MATCH($A207,$A$5:A206,0)),""))),"Á","A"),"É","E"),"Í","I"),"Ó","O"),"Ú","U"),"Ü","U")))</f>
        <v/>
      </c>
      <c r="G207" s="37" t="str">
        <f aca="false">IF($A207="","",TRIM(SUBSTITUTE(SUBSTITUTE(SUBSTITUTE(SUBSTITUTE(SUBSTITUTE(SUBSTITUTE(UPPER(IFERROR(INDEX('Base de Personas'!$H7:H21,MATCH($A207,'Base de Personas'!$B7:B21,0)),IFERROR(INDEX($G$5:G206,MATCH($A207,$A$5:A206,0)),""))),"Á","A"),"É","E"),"Í","I"),"Ó","O"),"Ú","U"),"Ü","U")))</f>
        <v/>
      </c>
      <c r="H207" s="38" t="str">
        <f aca="false">IF($A207="","",IFERROR(INDEX('Base de Personas'!$I$7:$I$21,MATCH($A207,'Base de Personas'!$B$7:$B$21,0)),IFERROR(INDEX($H$5:H206,MATCH($A207,$A$5:A206,0)),"")))</f>
        <v/>
      </c>
      <c r="I207" s="39"/>
      <c r="J207" s="40"/>
      <c r="K207" s="40"/>
      <c r="L207" s="39"/>
      <c r="M207" s="41" t="str">
        <f aca="false">IF($A207="","",IF(K207=_xlfn.MAXIFS($K$5:$K$304,$A$5:$A$304,$A207),1,0))</f>
        <v/>
      </c>
      <c r="N207" s="41" t="str">
        <f aca="false">IF($A207="","",IF(M207=1,$A207&amp;"-ACT",""))</f>
        <v/>
      </c>
      <c r="O207" s="41" t="str">
        <f aca="false">IF($A207="","",IF(AND(COUNTIF('Base de Personas'!$B$7:$B$21,$A207)=0,COUNTIF($A$5:A207,$A207)=1),1,0))</f>
        <v/>
      </c>
      <c r="P207" s="41" t="str">
        <f aca="false">IF(O207=1,SUM($O$5:O207),"")</f>
        <v/>
      </c>
    </row>
    <row r="208" customFormat="false" ht="15" hidden="false" customHeight="false" outlineLevel="0" collapsed="false">
      <c r="A208" s="35"/>
      <c r="B208" s="36" t="str">
        <f aca="false">IF($A208="","",TRIM(SUBSTITUTE(SUBSTITUTE(SUBSTITUTE(SUBSTITUTE(SUBSTITUTE(SUBSTITUTE(UPPER(IFERROR(INDEX('Base de Personas'!$C7:C21,MATCH($A208,'Base de Personas'!$B7:B21,0)),IFERROR(INDEX($B$5:B207,MATCH($A208,$A$5:A207,0)),""))),"Á","A"),"É","E"),"Í","I"),"Ó","O"),"Ú","U"),"Ü","U")))</f>
        <v/>
      </c>
      <c r="C208" s="37" t="str">
        <f aca="false">IF($A208="","",TRIM(SUBSTITUTE(SUBSTITUTE(SUBSTITUTE(SUBSTITUTE(SUBSTITUTE(SUBSTITUTE(UPPER(IFERROR(INDEX('Base de Personas'!$D7:D21,MATCH($A208,'Base de Personas'!$B7:B21,0)),IFERROR(INDEX($C$5:C207,MATCH($A208,$A$5:A207,0)),""))),"Á","A"),"É","E"),"Í","I"),"Ó","O"),"Ú","U"),"Ü","U")))</f>
        <v/>
      </c>
      <c r="D208" s="36" t="str">
        <f aca="false">IF($A208="","",TRIM(SUBSTITUTE(SUBSTITUTE(SUBSTITUTE(SUBSTITUTE(SUBSTITUTE(SUBSTITUTE(UPPER(IFERROR(INDEX('Base de Personas'!$E7:E21,MATCH($A208,'Base de Personas'!$B7:B21,0)),IFERROR(INDEX($D$5:D207,MATCH($A208,$A$5:A207,0)),""))),"Á","A"),"É","E"),"Í","I"),"Ó","O"),"Ú","U"),"Ü","U")))</f>
        <v/>
      </c>
      <c r="E208" s="36" t="str">
        <f aca="false">IF($A208="","",TRIM(SUBSTITUTE(SUBSTITUTE(SUBSTITUTE(SUBSTITUTE(SUBSTITUTE(SUBSTITUTE(UPPER(IFERROR(INDEX('Base de Personas'!$F7:F21,MATCH($A208,'Base de Personas'!$B7:B21,0)),IFERROR(INDEX($E$5:E207,MATCH($A208,$A$5:A207,0)),""))),"Á","A"),"É","E"),"Í","I"),"Ó","O"),"Ú","U"),"Ü","U")))</f>
        <v/>
      </c>
      <c r="F208" s="36" t="str">
        <f aca="false">IF($A208="","",TRIM(SUBSTITUTE(SUBSTITUTE(SUBSTITUTE(SUBSTITUTE(SUBSTITUTE(SUBSTITUTE(UPPER(IFERROR(INDEX('Base de Personas'!$G7:G21,MATCH($A208,'Base de Personas'!$B7:B21,0)),IFERROR(INDEX($F$5:F207,MATCH($A208,$A$5:A207,0)),""))),"Á","A"),"É","E"),"Í","I"),"Ó","O"),"Ú","U"),"Ü","U")))</f>
        <v/>
      </c>
      <c r="G208" s="37" t="str">
        <f aca="false">IF($A208="","",TRIM(SUBSTITUTE(SUBSTITUTE(SUBSTITUTE(SUBSTITUTE(SUBSTITUTE(SUBSTITUTE(UPPER(IFERROR(INDEX('Base de Personas'!$H7:H21,MATCH($A208,'Base de Personas'!$B7:B21,0)),IFERROR(INDEX($G$5:G207,MATCH($A208,$A$5:A207,0)),""))),"Á","A"),"É","E"),"Í","I"),"Ó","O"),"Ú","U"),"Ü","U")))</f>
        <v/>
      </c>
      <c r="H208" s="38" t="str">
        <f aca="false">IF($A208="","",IFERROR(INDEX('Base de Personas'!$I$7:$I$21,MATCH($A208,'Base de Personas'!$B$7:$B$21,0)),IFERROR(INDEX($H$5:H207,MATCH($A208,$A$5:A207,0)),"")))</f>
        <v/>
      </c>
      <c r="I208" s="39"/>
      <c r="J208" s="40"/>
      <c r="K208" s="40"/>
      <c r="L208" s="39"/>
      <c r="M208" s="41" t="str">
        <f aca="false">IF($A208="","",IF(K208=_xlfn.MAXIFS($K$5:$K$304,$A$5:$A$304,$A208),1,0))</f>
        <v/>
      </c>
      <c r="N208" s="41" t="str">
        <f aca="false">IF($A208="","",IF(M208=1,$A208&amp;"-ACT",""))</f>
        <v/>
      </c>
      <c r="O208" s="41" t="str">
        <f aca="false">IF($A208="","",IF(AND(COUNTIF('Base de Personas'!$B$7:$B$21,$A208)=0,COUNTIF($A$5:A208,$A208)=1),1,0))</f>
        <v/>
      </c>
      <c r="P208" s="41" t="str">
        <f aca="false">IF(O208=1,SUM($O$5:O208),"")</f>
        <v/>
      </c>
    </row>
    <row r="209" customFormat="false" ht="15" hidden="false" customHeight="false" outlineLevel="0" collapsed="false">
      <c r="A209" s="35"/>
      <c r="B209" s="36" t="str">
        <f aca="false">IF($A209="","",TRIM(SUBSTITUTE(SUBSTITUTE(SUBSTITUTE(SUBSTITUTE(SUBSTITUTE(SUBSTITUTE(UPPER(IFERROR(INDEX('Base de Personas'!$C7:C21,MATCH($A209,'Base de Personas'!$B7:B21,0)),IFERROR(INDEX($B$5:B208,MATCH($A209,$A$5:A208,0)),""))),"Á","A"),"É","E"),"Í","I"),"Ó","O"),"Ú","U"),"Ü","U")))</f>
        <v/>
      </c>
      <c r="C209" s="37" t="str">
        <f aca="false">IF($A209="","",TRIM(SUBSTITUTE(SUBSTITUTE(SUBSTITUTE(SUBSTITUTE(SUBSTITUTE(SUBSTITUTE(UPPER(IFERROR(INDEX('Base de Personas'!$D7:D21,MATCH($A209,'Base de Personas'!$B7:B21,0)),IFERROR(INDEX($C$5:C208,MATCH($A209,$A$5:A208,0)),""))),"Á","A"),"É","E"),"Í","I"),"Ó","O"),"Ú","U"),"Ü","U")))</f>
        <v/>
      </c>
      <c r="D209" s="36" t="str">
        <f aca="false">IF($A209="","",TRIM(SUBSTITUTE(SUBSTITUTE(SUBSTITUTE(SUBSTITUTE(SUBSTITUTE(SUBSTITUTE(UPPER(IFERROR(INDEX('Base de Personas'!$E7:E21,MATCH($A209,'Base de Personas'!$B7:B21,0)),IFERROR(INDEX($D$5:D208,MATCH($A209,$A$5:A208,0)),""))),"Á","A"),"É","E"),"Í","I"),"Ó","O"),"Ú","U"),"Ü","U")))</f>
        <v/>
      </c>
      <c r="E209" s="36" t="str">
        <f aca="false">IF($A209="","",TRIM(SUBSTITUTE(SUBSTITUTE(SUBSTITUTE(SUBSTITUTE(SUBSTITUTE(SUBSTITUTE(UPPER(IFERROR(INDEX('Base de Personas'!$F7:F21,MATCH($A209,'Base de Personas'!$B7:B21,0)),IFERROR(INDEX($E$5:E208,MATCH($A209,$A$5:A208,0)),""))),"Á","A"),"É","E"),"Í","I"),"Ó","O"),"Ú","U"),"Ü","U")))</f>
        <v/>
      </c>
      <c r="F209" s="36" t="str">
        <f aca="false">IF($A209="","",TRIM(SUBSTITUTE(SUBSTITUTE(SUBSTITUTE(SUBSTITUTE(SUBSTITUTE(SUBSTITUTE(UPPER(IFERROR(INDEX('Base de Personas'!$G7:G21,MATCH($A209,'Base de Personas'!$B7:B21,0)),IFERROR(INDEX($F$5:F208,MATCH($A209,$A$5:A208,0)),""))),"Á","A"),"É","E"),"Í","I"),"Ó","O"),"Ú","U"),"Ü","U")))</f>
        <v/>
      </c>
      <c r="G209" s="37" t="str">
        <f aca="false">IF($A209="","",TRIM(SUBSTITUTE(SUBSTITUTE(SUBSTITUTE(SUBSTITUTE(SUBSTITUTE(SUBSTITUTE(UPPER(IFERROR(INDEX('Base de Personas'!$H7:H21,MATCH($A209,'Base de Personas'!$B7:B21,0)),IFERROR(INDEX($G$5:G208,MATCH($A209,$A$5:A208,0)),""))),"Á","A"),"É","E"),"Í","I"),"Ó","O"),"Ú","U"),"Ü","U")))</f>
        <v/>
      </c>
      <c r="H209" s="38" t="str">
        <f aca="false">IF($A209="","",IFERROR(INDEX('Base de Personas'!$I$7:$I$21,MATCH($A209,'Base de Personas'!$B$7:$B$21,0)),IFERROR(INDEX($H$5:H208,MATCH($A209,$A$5:A208,0)),"")))</f>
        <v/>
      </c>
      <c r="I209" s="39"/>
      <c r="J209" s="40"/>
      <c r="K209" s="40"/>
      <c r="L209" s="39"/>
      <c r="M209" s="41" t="str">
        <f aca="false">IF($A209="","",IF(K209=_xlfn.MAXIFS($K$5:$K$304,$A$5:$A$304,$A209),1,0))</f>
        <v/>
      </c>
      <c r="N209" s="41" t="str">
        <f aca="false">IF($A209="","",IF(M209=1,$A209&amp;"-ACT",""))</f>
        <v/>
      </c>
      <c r="O209" s="41" t="str">
        <f aca="false">IF($A209="","",IF(AND(COUNTIF('Base de Personas'!$B$7:$B$21,$A209)=0,COUNTIF($A$5:A209,$A209)=1),1,0))</f>
        <v/>
      </c>
      <c r="P209" s="41" t="str">
        <f aca="false">IF(O209=1,SUM($O$5:O209),"")</f>
        <v/>
      </c>
    </row>
    <row r="210" customFormat="false" ht="15" hidden="false" customHeight="false" outlineLevel="0" collapsed="false">
      <c r="A210" s="35"/>
      <c r="B210" s="36" t="str">
        <f aca="false">IF($A210="","",TRIM(SUBSTITUTE(SUBSTITUTE(SUBSTITUTE(SUBSTITUTE(SUBSTITUTE(SUBSTITUTE(UPPER(IFERROR(INDEX('Base de Personas'!$C7:C21,MATCH($A210,'Base de Personas'!$B7:B21,0)),IFERROR(INDEX($B$5:B209,MATCH($A210,$A$5:A209,0)),""))),"Á","A"),"É","E"),"Í","I"),"Ó","O"),"Ú","U"),"Ü","U")))</f>
        <v/>
      </c>
      <c r="C210" s="37" t="str">
        <f aca="false">IF($A210="","",TRIM(SUBSTITUTE(SUBSTITUTE(SUBSTITUTE(SUBSTITUTE(SUBSTITUTE(SUBSTITUTE(UPPER(IFERROR(INDEX('Base de Personas'!$D7:D21,MATCH($A210,'Base de Personas'!$B7:B21,0)),IFERROR(INDEX($C$5:C209,MATCH($A210,$A$5:A209,0)),""))),"Á","A"),"É","E"),"Í","I"),"Ó","O"),"Ú","U"),"Ü","U")))</f>
        <v/>
      </c>
      <c r="D210" s="36" t="str">
        <f aca="false">IF($A210="","",TRIM(SUBSTITUTE(SUBSTITUTE(SUBSTITUTE(SUBSTITUTE(SUBSTITUTE(SUBSTITUTE(UPPER(IFERROR(INDEX('Base de Personas'!$E7:E21,MATCH($A210,'Base de Personas'!$B7:B21,0)),IFERROR(INDEX($D$5:D209,MATCH($A210,$A$5:A209,0)),""))),"Á","A"),"É","E"),"Í","I"),"Ó","O"),"Ú","U"),"Ü","U")))</f>
        <v/>
      </c>
      <c r="E210" s="36" t="str">
        <f aca="false">IF($A210="","",TRIM(SUBSTITUTE(SUBSTITUTE(SUBSTITUTE(SUBSTITUTE(SUBSTITUTE(SUBSTITUTE(UPPER(IFERROR(INDEX('Base de Personas'!$F7:F21,MATCH($A210,'Base de Personas'!$B7:B21,0)),IFERROR(INDEX($E$5:E209,MATCH($A210,$A$5:A209,0)),""))),"Á","A"),"É","E"),"Í","I"),"Ó","O"),"Ú","U"),"Ü","U")))</f>
        <v/>
      </c>
      <c r="F210" s="36" t="str">
        <f aca="false">IF($A210="","",TRIM(SUBSTITUTE(SUBSTITUTE(SUBSTITUTE(SUBSTITUTE(SUBSTITUTE(SUBSTITUTE(UPPER(IFERROR(INDEX('Base de Personas'!$G7:G21,MATCH($A210,'Base de Personas'!$B7:B21,0)),IFERROR(INDEX($F$5:F209,MATCH($A210,$A$5:A209,0)),""))),"Á","A"),"É","E"),"Í","I"),"Ó","O"),"Ú","U"),"Ü","U")))</f>
        <v/>
      </c>
      <c r="G210" s="37" t="str">
        <f aca="false">IF($A210="","",TRIM(SUBSTITUTE(SUBSTITUTE(SUBSTITUTE(SUBSTITUTE(SUBSTITUTE(SUBSTITUTE(UPPER(IFERROR(INDEX('Base de Personas'!$H7:H21,MATCH($A210,'Base de Personas'!$B7:B21,0)),IFERROR(INDEX($G$5:G209,MATCH($A210,$A$5:A209,0)),""))),"Á","A"),"É","E"),"Í","I"),"Ó","O"),"Ú","U"),"Ü","U")))</f>
        <v/>
      </c>
      <c r="H210" s="38" t="str">
        <f aca="false">IF($A210="","",IFERROR(INDEX('Base de Personas'!$I$7:$I$21,MATCH($A210,'Base de Personas'!$B$7:$B$21,0)),IFERROR(INDEX($H$5:H209,MATCH($A210,$A$5:A209,0)),"")))</f>
        <v/>
      </c>
      <c r="I210" s="39"/>
      <c r="J210" s="40"/>
      <c r="K210" s="40"/>
      <c r="L210" s="39"/>
      <c r="M210" s="41" t="str">
        <f aca="false">IF($A210="","",IF(K210=_xlfn.MAXIFS($K$5:$K$304,$A$5:$A$304,$A210),1,0))</f>
        <v/>
      </c>
      <c r="N210" s="41" t="str">
        <f aca="false">IF($A210="","",IF(M210=1,$A210&amp;"-ACT",""))</f>
        <v/>
      </c>
      <c r="O210" s="41" t="str">
        <f aca="false">IF($A210="","",IF(AND(COUNTIF('Base de Personas'!$B$7:$B$21,$A210)=0,COUNTIF($A$5:A210,$A210)=1),1,0))</f>
        <v/>
      </c>
      <c r="P210" s="41" t="str">
        <f aca="false">IF(O210=1,SUM($O$5:O210),"")</f>
        <v/>
      </c>
    </row>
    <row r="211" customFormat="false" ht="15" hidden="false" customHeight="false" outlineLevel="0" collapsed="false">
      <c r="A211" s="35"/>
      <c r="B211" s="36" t="str">
        <f aca="false">IF($A211="","",TRIM(SUBSTITUTE(SUBSTITUTE(SUBSTITUTE(SUBSTITUTE(SUBSTITUTE(SUBSTITUTE(UPPER(IFERROR(INDEX('Base de Personas'!$C7:C21,MATCH($A211,'Base de Personas'!$B7:B21,0)),IFERROR(INDEX($B$5:B210,MATCH($A211,$A$5:A210,0)),""))),"Á","A"),"É","E"),"Í","I"),"Ó","O"),"Ú","U"),"Ü","U")))</f>
        <v/>
      </c>
      <c r="C211" s="37" t="str">
        <f aca="false">IF($A211="","",TRIM(SUBSTITUTE(SUBSTITUTE(SUBSTITUTE(SUBSTITUTE(SUBSTITUTE(SUBSTITUTE(UPPER(IFERROR(INDEX('Base de Personas'!$D7:D21,MATCH($A211,'Base de Personas'!$B7:B21,0)),IFERROR(INDEX($C$5:C210,MATCH($A211,$A$5:A210,0)),""))),"Á","A"),"É","E"),"Í","I"),"Ó","O"),"Ú","U"),"Ü","U")))</f>
        <v/>
      </c>
      <c r="D211" s="36" t="str">
        <f aca="false">IF($A211="","",TRIM(SUBSTITUTE(SUBSTITUTE(SUBSTITUTE(SUBSTITUTE(SUBSTITUTE(SUBSTITUTE(UPPER(IFERROR(INDEX('Base de Personas'!$E7:E21,MATCH($A211,'Base de Personas'!$B7:B21,0)),IFERROR(INDEX($D$5:D210,MATCH($A211,$A$5:A210,0)),""))),"Á","A"),"É","E"),"Í","I"),"Ó","O"),"Ú","U"),"Ü","U")))</f>
        <v/>
      </c>
      <c r="E211" s="36" t="str">
        <f aca="false">IF($A211="","",TRIM(SUBSTITUTE(SUBSTITUTE(SUBSTITUTE(SUBSTITUTE(SUBSTITUTE(SUBSTITUTE(UPPER(IFERROR(INDEX('Base de Personas'!$F7:F21,MATCH($A211,'Base de Personas'!$B7:B21,0)),IFERROR(INDEX($E$5:E210,MATCH($A211,$A$5:A210,0)),""))),"Á","A"),"É","E"),"Í","I"),"Ó","O"),"Ú","U"),"Ü","U")))</f>
        <v/>
      </c>
      <c r="F211" s="36" t="str">
        <f aca="false">IF($A211="","",TRIM(SUBSTITUTE(SUBSTITUTE(SUBSTITUTE(SUBSTITUTE(SUBSTITUTE(SUBSTITUTE(UPPER(IFERROR(INDEX('Base de Personas'!$G7:G21,MATCH($A211,'Base de Personas'!$B7:B21,0)),IFERROR(INDEX($F$5:F210,MATCH($A211,$A$5:A210,0)),""))),"Á","A"),"É","E"),"Í","I"),"Ó","O"),"Ú","U"),"Ü","U")))</f>
        <v/>
      </c>
      <c r="G211" s="37" t="str">
        <f aca="false">IF($A211="","",TRIM(SUBSTITUTE(SUBSTITUTE(SUBSTITUTE(SUBSTITUTE(SUBSTITUTE(SUBSTITUTE(UPPER(IFERROR(INDEX('Base de Personas'!$H7:H21,MATCH($A211,'Base de Personas'!$B7:B21,0)),IFERROR(INDEX($G$5:G210,MATCH($A211,$A$5:A210,0)),""))),"Á","A"),"É","E"),"Í","I"),"Ó","O"),"Ú","U"),"Ü","U")))</f>
        <v/>
      </c>
      <c r="H211" s="38" t="str">
        <f aca="false">IF($A211="","",IFERROR(INDEX('Base de Personas'!$I$7:$I$21,MATCH($A211,'Base de Personas'!$B$7:$B$21,0)),IFERROR(INDEX($H$5:H210,MATCH($A211,$A$5:A210,0)),"")))</f>
        <v/>
      </c>
      <c r="I211" s="39"/>
      <c r="J211" s="40"/>
      <c r="K211" s="40"/>
      <c r="L211" s="39"/>
      <c r="M211" s="41" t="str">
        <f aca="false">IF($A211="","",IF(K211=_xlfn.MAXIFS($K$5:$K$304,$A$5:$A$304,$A211),1,0))</f>
        <v/>
      </c>
      <c r="N211" s="41" t="str">
        <f aca="false">IF($A211="","",IF(M211=1,$A211&amp;"-ACT",""))</f>
        <v/>
      </c>
      <c r="O211" s="41" t="str">
        <f aca="false">IF($A211="","",IF(AND(COUNTIF('Base de Personas'!$B$7:$B$21,$A211)=0,COUNTIF($A$5:A211,$A211)=1),1,0))</f>
        <v/>
      </c>
      <c r="P211" s="41" t="str">
        <f aca="false">IF(O211=1,SUM($O$5:O211),"")</f>
        <v/>
      </c>
    </row>
    <row r="212" customFormat="false" ht="15" hidden="false" customHeight="false" outlineLevel="0" collapsed="false">
      <c r="A212" s="35"/>
      <c r="B212" s="36" t="str">
        <f aca="false">IF($A212="","",TRIM(SUBSTITUTE(SUBSTITUTE(SUBSTITUTE(SUBSTITUTE(SUBSTITUTE(SUBSTITUTE(UPPER(IFERROR(INDEX('Base de Personas'!$C7:C21,MATCH($A212,'Base de Personas'!$B7:B21,0)),IFERROR(INDEX($B$5:B211,MATCH($A212,$A$5:A211,0)),""))),"Á","A"),"É","E"),"Í","I"),"Ó","O"),"Ú","U"),"Ü","U")))</f>
        <v/>
      </c>
      <c r="C212" s="37" t="str">
        <f aca="false">IF($A212="","",TRIM(SUBSTITUTE(SUBSTITUTE(SUBSTITUTE(SUBSTITUTE(SUBSTITUTE(SUBSTITUTE(UPPER(IFERROR(INDEX('Base de Personas'!$D7:D21,MATCH($A212,'Base de Personas'!$B7:B21,0)),IFERROR(INDEX($C$5:C211,MATCH($A212,$A$5:A211,0)),""))),"Á","A"),"É","E"),"Í","I"),"Ó","O"),"Ú","U"),"Ü","U")))</f>
        <v/>
      </c>
      <c r="D212" s="36" t="str">
        <f aca="false">IF($A212="","",TRIM(SUBSTITUTE(SUBSTITUTE(SUBSTITUTE(SUBSTITUTE(SUBSTITUTE(SUBSTITUTE(UPPER(IFERROR(INDEX('Base de Personas'!$E7:E21,MATCH($A212,'Base de Personas'!$B7:B21,0)),IFERROR(INDEX($D$5:D211,MATCH($A212,$A$5:A211,0)),""))),"Á","A"),"É","E"),"Í","I"),"Ó","O"),"Ú","U"),"Ü","U")))</f>
        <v/>
      </c>
      <c r="E212" s="36" t="str">
        <f aca="false">IF($A212="","",TRIM(SUBSTITUTE(SUBSTITUTE(SUBSTITUTE(SUBSTITUTE(SUBSTITUTE(SUBSTITUTE(UPPER(IFERROR(INDEX('Base de Personas'!$F7:F21,MATCH($A212,'Base de Personas'!$B7:B21,0)),IFERROR(INDEX($E$5:E211,MATCH($A212,$A$5:A211,0)),""))),"Á","A"),"É","E"),"Í","I"),"Ó","O"),"Ú","U"),"Ü","U")))</f>
        <v/>
      </c>
      <c r="F212" s="36" t="str">
        <f aca="false">IF($A212="","",TRIM(SUBSTITUTE(SUBSTITUTE(SUBSTITUTE(SUBSTITUTE(SUBSTITUTE(SUBSTITUTE(UPPER(IFERROR(INDEX('Base de Personas'!$G7:G21,MATCH($A212,'Base de Personas'!$B7:B21,0)),IFERROR(INDEX($F$5:F211,MATCH($A212,$A$5:A211,0)),""))),"Á","A"),"É","E"),"Í","I"),"Ó","O"),"Ú","U"),"Ü","U")))</f>
        <v/>
      </c>
      <c r="G212" s="37" t="str">
        <f aca="false">IF($A212="","",TRIM(SUBSTITUTE(SUBSTITUTE(SUBSTITUTE(SUBSTITUTE(SUBSTITUTE(SUBSTITUTE(UPPER(IFERROR(INDEX('Base de Personas'!$H7:H21,MATCH($A212,'Base de Personas'!$B7:B21,0)),IFERROR(INDEX($G$5:G211,MATCH($A212,$A$5:A211,0)),""))),"Á","A"),"É","E"),"Í","I"),"Ó","O"),"Ú","U"),"Ü","U")))</f>
        <v/>
      </c>
      <c r="H212" s="38" t="str">
        <f aca="false">IF($A212="","",IFERROR(INDEX('Base de Personas'!$I$7:$I$21,MATCH($A212,'Base de Personas'!$B$7:$B$21,0)),IFERROR(INDEX($H$5:H211,MATCH($A212,$A$5:A211,0)),"")))</f>
        <v/>
      </c>
      <c r="I212" s="39"/>
      <c r="J212" s="40"/>
      <c r="K212" s="40"/>
      <c r="L212" s="39"/>
      <c r="M212" s="41" t="str">
        <f aca="false">IF($A212="","",IF(K212=_xlfn.MAXIFS($K$5:$K$304,$A$5:$A$304,$A212),1,0))</f>
        <v/>
      </c>
      <c r="N212" s="41" t="str">
        <f aca="false">IF($A212="","",IF(M212=1,$A212&amp;"-ACT",""))</f>
        <v/>
      </c>
      <c r="O212" s="41" t="str">
        <f aca="false">IF($A212="","",IF(AND(COUNTIF('Base de Personas'!$B$7:$B$21,$A212)=0,COUNTIF($A$5:A212,$A212)=1),1,0))</f>
        <v/>
      </c>
      <c r="P212" s="41" t="str">
        <f aca="false">IF(O212=1,SUM($O$5:O212),"")</f>
        <v/>
      </c>
    </row>
    <row r="213" customFormat="false" ht="15" hidden="false" customHeight="false" outlineLevel="0" collapsed="false">
      <c r="A213" s="35"/>
      <c r="B213" s="36" t="str">
        <f aca="false">IF($A213="","",TRIM(SUBSTITUTE(SUBSTITUTE(SUBSTITUTE(SUBSTITUTE(SUBSTITUTE(SUBSTITUTE(UPPER(IFERROR(INDEX('Base de Personas'!$C7:C21,MATCH($A213,'Base de Personas'!$B7:B21,0)),IFERROR(INDEX($B$5:B212,MATCH($A213,$A$5:A212,0)),""))),"Á","A"),"É","E"),"Í","I"),"Ó","O"),"Ú","U"),"Ü","U")))</f>
        <v/>
      </c>
      <c r="C213" s="37" t="str">
        <f aca="false">IF($A213="","",TRIM(SUBSTITUTE(SUBSTITUTE(SUBSTITUTE(SUBSTITUTE(SUBSTITUTE(SUBSTITUTE(UPPER(IFERROR(INDEX('Base de Personas'!$D7:D21,MATCH($A213,'Base de Personas'!$B7:B21,0)),IFERROR(INDEX($C$5:C212,MATCH($A213,$A$5:A212,0)),""))),"Á","A"),"É","E"),"Í","I"),"Ó","O"),"Ú","U"),"Ü","U")))</f>
        <v/>
      </c>
      <c r="D213" s="36" t="str">
        <f aca="false">IF($A213="","",TRIM(SUBSTITUTE(SUBSTITUTE(SUBSTITUTE(SUBSTITUTE(SUBSTITUTE(SUBSTITUTE(UPPER(IFERROR(INDEX('Base de Personas'!$E7:E21,MATCH($A213,'Base de Personas'!$B7:B21,0)),IFERROR(INDEX($D$5:D212,MATCH($A213,$A$5:A212,0)),""))),"Á","A"),"É","E"),"Í","I"),"Ó","O"),"Ú","U"),"Ü","U")))</f>
        <v/>
      </c>
      <c r="E213" s="36" t="str">
        <f aca="false">IF($A213="","",TRIM(SUBSTITUTE(SUBSTITUTE(SUBSTITUTE(SUBSTITUTE(SUBSTITUTE(SUBSTITUTE(UPPER(IFERROR(INDEX('Base de Personas'!$F7:F21,MATCH($A213,'Base de Personas'!$B7:B21,0)),IFERROR(INDEX($E$5:E212,MATCH($A213,$A$5:A212,0)),""))),"Á","A"),"É","E"),"Í","I"),"Ó","O"),"Ú","U"),"Ü","U")))</f>
        <v/>
      </c>
      <c r="F213" s="36" t="str">
        <f aca="false">IF($A213="","",TRIM(SUBSTITUTE(SUBSTITUTE(SUBSTITUTE(SUBSTITUTE(SUBSTITUTE(SUBSTITUTE(UPPER(IFERROR(INDEX('Base de Personas'!$G7:G21,MATCH($A213,'Base de Personas'!$B7:B21,0)),IFERROR(INDEX($F$5:F212,MATCH($A213,$A$5:A212,0)),""))),"Á","A"),"É","E"),"Í","I"),"Ó","O"),"Ú","U"),"Ü","U")))</f>
        <v/>
      </c>
      <c r="G213" s="37" t="str">
        <f aca="false">IF($A213="","",TRIM(SUBSTITUTE(SUBSTITUTE(SUBSTITUTE(SUBSTITUTE(SUBSTITUTE(SUBSTITUTE(UPPER(IFERROR(INDEX('Base de Personas'!$H7:H21,MATCH($A213,'Base de Personas'!$B7:B21,0)),IFERROR(INDEX($G$5:G212,MATCH($A213,$A$5:A212,0)),""))),"Á","A"),"É","E"),"Í","I"),"Ó","O"),"Ú","U"),"Ü","U")))</f>
        <v/>
      </c>
      <c r="H213" s="38" t="str">
        <f aca="false">IF($A213="","",IFERROR(INDEX('Base de Personas'!$I$7:$I$21,MATCH($A213,'Base de Personas'!$B$7:$B$21,0)),IFERROR(INDEX($H$5:H212,MATCH($A213,$A$5:A212,0)),"")))</f>
        <v/>
      </c>
      <c r="I213" s="39"/>
      <c r="J213" s="40"/>
      <c r="K213" s="40"/>
      <c r="L213" s="39"/>
      <c r="M213" s="41" t="str">
        <f aca="false">IF($A213="","",IF(K213=_xlfn.MAXIFS($K$5:$K$304,$A$5:$A$304,$A213),1,0))</f>
        <v/>
      </c>
      <c r="N213" s="41" t="str">
        <f aca="false">IF($A213="","",IF(M213=1,$A213&amp;"-ACT",""))</f>
        <v/>
      </c>
      <c r="O213" s="41" t="str">
        <f aca="false">IF($A213="","",IF(AND(COUNTIF('Base de Personas'!$B$7:$B$21,$A213)=0,COUNTIF($A$5:A213,$A213)=1),1,0))</f>
        <v/>
      </c>
      <c r="P213" s="41" t="str">
        <f aca="false">IF(O213=1,SUM($O$5:O213),"")</f>
        <v/>
      </c>
    </row>
    <row r="214" customFormat="false" ht="15" hidden="false" customHeight="false" outlineLevel="0" collapsed="false">
      <c r="A214" s="35"/>
      <c r="B214" s="36" t="str">
        <f aca="false">IF($A214="","",TRIM(SUBSTITUTE(SUBSTITUTE(SUBSTITUTE(SUBSTITUTE(SUBSTITUTE(SUBSTITUTE(UPPER(IFERROR(INDEX('Base de Personas'!$C7:C21,MATCH($A214,'Base de Personas'!$B7:B21,0)),IFERROR(INDEX($B$5:B213,MATCH($A214,$A$5:A213,0)),""))),"Á","A"),"É","E"),"Í","I"),"Ó","O"),"Ú","U"),"Ü","U")))</f>
        <v/>
      </c>
      <c r="C214" s="37" t="str">
        <f aca="false">IF($A214="","",TRIM(SUBSTITUTE(SUBSTITUTE(SUBSTITUTE(SUBSTITUTE(SUBSTITUTE(SUBSTITUTE(UPPER(IFERROR(INDEX('Base de Personas'!$D7:D21,MATCH($A214,'Base de Personas'!$B7:B21,0)),IFERROR(INDEX($C$5:C213,MATCH($A214,$A$5:A213,0)),""))),"Á","A"),"É","E"),"Í","I"),"Ó","O"),"Ú","U"),"Ü","U")))</f>
        <v/>
      </c>
      <c r="D214" s="36" t="str">
        <f aca="false">IF($A214="","",TRIM(SUBSTITUTE(SUBSTITUTE(SUBSTITUTE(SUBSTITUTE(SUBSTITUTE(SUBSTITUTE(UPPER(IFERROR(INDEX('Base de Personas'!$E7:E21,MATCH($A214,'Base de Personas'!$B7:B21,0)),IFERROR(INDEX($D$5:D213,MATCH($A214,$A$5:A213,0)),""))),"Á","A"),"É","E"),"Í","I"),"Ó","O"),"Ú","U"),"Ü","U")))</f>
        <v/>
      </c>
      <c r="E214" s="36" t="str">
        <f aca="false">IF($A214="","",TRIM(SUBSTITUTE(SUBSTITUTE(SUBSTITUTE(SUBSTITUTE(SUBSTITUTE(SUBSTITUTE(UPPER(IFERROR(INDEX('Base de Personas'!$F7:F21,MATCH($A214,'Base de Personas'!$B7:B21,0)),IFERROR(INDEX($E$5:E213,MATCH($A214,$A$5:A213,0)),""))),"Á","A"),"É","E"),"Í","I"),"Ó","O"),"Ú","U"),"Ü","U")))</f>
        <v/>
      </c>
      <c r="F214" s="36" t="str">
        <f aca="false">IF($A214="","",TRIM(SUBSTITUTE(SUBSTITUTE(SUBSTITUTE(SUBSTITUTE(SUBSTITUTE(SUBSTITUTE(UPPER(IFERROR(INDEX('Base de Personas'!$G7:G21,MATCH($A214,'Base de Personas'!$B7:B21,0)),IFERROR(INDEX($F$5:F213,MATCH($A214,$A$5:A213,0)),""))),"Á","A"),"É","E"),"Í","I"),"Ó","O"),"Ú","U"),"Ü","U")))</f>
        <v/>
      </c>
      <c r="G214" s="37" t="str">
        <f aca="false">IF($A214="","",TRIM(SUBSTITUTE(SUBSTITUTE(SUBSTITUTE(SUBSTITUTE(SUBSTITUTE(SUBSTITUTE(UPPER(IFERROR(INDEX('Base de Personas'!$H7:H21,MATCH($A214,'Base de Personas'!$B7:B21,0)),IFERROR(INDEX($G$5:G213,MATCH($A214,$A$5:A213,0)),""))),"Á","A"),"É","E"),"Í","I"),"Ó","O"),"Ú","U"),"Ü","U")))</f>
        <v/>
      </c>
      <c r="H214" s="38" t="str">
        <f aca="false">IF($A214="","",IFERROR(INDEX('Base de Personas'!$I$7:$I$21,MATCH($A214,'Base de Personas'!$B$7:$B$21,0)),IFERROR(INDEX($H$5:H213,MATCH($A214,$A$5:A213,0)),"")))</f>
        <v/>
      </c>
      <c r="I214" s="39"/>
      <c r="J214" s="40"/>
      <c r="K214" s="40"/>
      <c r="L214" s="39"/>
      <c r="M214" s="41" t="str">
        <f aca="false">IF($A214="","",IF(K214=_xlfn.MAXIFS($K$5:$K$304,$A$5:$A$304,$A214),1,0))</f>
        <v/>
      </c>
      <c r="N214" s="41" t="str">
        <f aca="false">IF($A214="","",IF(M214=1,$A214&amp;"-ACT",""))</f>
        <v/>
      </c>
      <c r="O214" s="41" t="str">
        <f aca="false">IF($A214="","",IF(AND(COUNTIF('Base de Personas'!$B$7:$B$21,$A214)=0,COUNTIF($A$5:A214,$A214)=1),1,0))</f>
        <v/>
      </c>
      <c r="P214" s="41" t="str">
        <f aca="false">IF(O214=1,SUM($O$5:O214),"")</f>
        <v/>
      </c>
    </row>
    <row r="215" customFormat="false" ht="15" hidden="false" customHeight="false" outlineLevel="0" collapsed="false">
      <c r="A215" s="35"/>
      <c r="B215" s="36" t="str">
        <f aca="false">IF($A215="","",TRIM(SUBSTITUTE(SUBSTITUTE(SUBSTITUTE(SUBSTITUTE(SUBSTITUTE(SUBSTITUTE(UPPER(IFERROR(INDEX('Base de Personas'!$C7:C21,MATCH($A215,'Base de Personas'!$B7:B21,0)),IFERROR(INDEX($B$5:B214,MATCH($A215,$A$5:A214,0)),""))),"Á","A"),"É","E"),"Í","I"),"Ó","O"),"Ú","U"),"Ü","U")))</f>
        <v/>
      </c>
      <c r="C215" s="37" t="str">
        <f aca="false">IF($A215="","",TRIM(SUBSTITUTE(SUBSTITUTE(SUBSTITUTE(SUBSTITUTE(SUBSTITUTE(SUBSTITUTE(UPPER(IFERROR(INDEX('Base de Personas'!$D7:D21,MATCH($A215,'Base de Personas'!$B7:B21,0)),IFERROR(INDEX($C$5:C214,MATCH($A215,$A$5:A214,0)),""))),"Á","A"),"É","E"),"Í","I"),"Ó","O"),"Ú","U"),"Ü","U")))</f>
        <v/>
      </c>
      <c r="D215" s="36" t="str">
        <f aca="false">IF($A215="","",TRIM(SUBSTITUTE(SUBSTITUTE(SUBSTITUTE(SUBSTITUTE(SUBSTITUTE(SUBSTITUTE(UPPER(IFERROR(INDEX('Base de Personas'!$E7:E21,MATCH($A215,'Base de Personas'!$B7:B21,0)),IFERROR(INDEX($D$5:D214,MATCH($A215,$A$5:A214,0)),""))),"Á","A"),"É","E"),"Í","I"),"Ó","O"),"Ú","U"),"Ü","U")))</f>
        <v/>
      </c>
      <c r="E215" s="36" t="str">
        <f aca="false">IF($A215="","",TRIM(SUBSTITUTE(SUBSTITUTE(SUBSTITUTE(SUBSTITUTE(SUBSTITUTE(SUBSTITUTE(UPPER(IFERROR(INDEX('Base de Personas'!$F7:F21,MATCH($A215,'Base de Personas'!$B7:B21,0)),IFERROR(INDEX($E$5:E214,MATCH($A215,$A$5:A214,0)),""))),"Á","A"),"É","E"),"Í","I"),"Ó","O"),"Ú","U"),"Ü","U")))</f>
        <v/>
      </c>
      <c r="F215" s="36" t="str">
        <f aca="false">IF($A215="","",TRIM(SUBSTITUTE(SUBSTITUTE(SUBSTITUTE(SUBSTITUTE(SUBSTITUTE(SUBSTITUTE(UPPER(IFERROR(INDEX('Base de Personas'!$G7:G21,MATCH($A215,'Base de Personas'!$B7:B21,0)),IFERROR(INDEX($F$5:F214,MATCH($A215,$A$5:A214,0)),""))),"Á","A"),"É","E"),"Í","I"),"Ó","O"),"Ú","U"),"Ü","U")))</f>
        <v/>
      </c>
      <c r="G215" s="37" t="str">
        <f aca="false">IF($A215="","",TRIM(SUBSTITUTE(SUBSTITUTE(SUBSTITUTE(SUBSTITUTE(SUBSTITUTE(SUBSTITUTE(UPPER(IFERROR(INDEX('Base de Personas'!$H7:H21,MATCH($A215,'Base de Personas'!$B7:B21,0)),IFERROR(INDEX($G$5:G214,MATCH($A215,$A$5:A214,0)),""))),"Á","A"),"É","E"),"Í","I"),"Ó","O"),"Ú","U"),"Ü","U")))</f>
        <v/>
      </c>
      <c r="H215" s="38" t="str">
        <f aca="false">IF($A215="","",IFERROR(INDEX('Base de Personas'!$I$7:$I$21,MATCH($A215,'Base de Personas'!$B$7:$B$21,0)),IFERROR(INDEX($H$5:H214,MATCH($A215,$A$5:A214,0)),"")))</f>
        <v/>
      </c>
      <c r="I215" s="39"/>
      <c r="J215" s="40"/>
      <c r="K215" s="40"/>
      <c r="L215" s="39"/>
      <c r="M215" s="41" t="str">
        <f aca="false">IF($A215="","",IF(K215=_xlfn.MAXIFS($K$5:$K$304,$A$5:$A$304,$A215),1,0))</f>
        <v/>
      </c>
      <c r="N215" s="41" t="str">
        <f aca="false">IF($A215="","",IF(M215=1,$A215&amp;"-ACT",""))</f>
        <v/>
      </c>
      <c r="O215" s="41" t="str">
        <f aca="false">IF($A215="","",IF(AND(COUNTIF('Base de Personas'!$B$7:$B$21,$A215)=0,COUNTIF($A$5:A215,$A215)=1),1,0))</f>
        <v/>
      </c>
      <c r="P215" s="41" t="str">
        <f aca="false">IF(O215=1,SUM($O$5:O215),"")</f>
        <v/>
      </c>
    </row>
    <row r="216" customFormat="false" ht="15" hidden="false" customHeight="false" outlineLevel="0" collapsed="false">
      <c r="A216" s="35"/>
      <c r="B216" s="36" t="str">
        <f aca="false">IF($A216="","",TRIM(SUBSTITUTE(SUBSTITUTE(SUBSTITUTE(SUBSTITUTE(SUBSTITUTE(SUBSTITUTE(UPPER(IFERROR(INDEX('Base de Personas'!$C7:C21,MATCH($A216,'Base de Personas'!$B7:B21,0)),IFERROR(INDEX($B$5:B215,MATCH($A216,$A$5:A215,0)),""))),"Á","A"),"É","E"),"Í","I"),"Ó","O"),"Ú","U"),"Ü","U")))</f>
        <v/>
      </c>
      <c r="C216" s="37" t="str">
        <f aca="false">IF($A216="","",TRIM(SUBSTITUTE(SUBSTITUTE(SUBSTITUTE(SUBSTITUTE(SUBSTITUTE(SUBSTITUTE(UPPER(IFERROR(INDEX('Base de Personas'!$D7:D21,MATCH($A216,'Base de Personas'!$B7:B21,0)),IFERROR(INDEX($C$5:C215,MATCH($A216,$A$5:A215,0)),""))),"Á","A"),"É","E"),"Í","I"),"Ó","O"),"Ú","U"),"Ü","U")))</f>
        <v/>
      </c>
      <c r="D216" s="36" t="str">
        <f aca="false">IF($A216="","",TRIM(SUBSTITUTE(SUBSTITUTE(SUBSTITUTE(SUBSTITUTE(SUBSTITUTE(SUBSTITUTE(UPPER(IFERROR(INDEX('Base de Personas'!$E7:E21,MATCH($A216,'Base de Personas'!$B7:B21,0)),IFERROR(INDEX($D$5:D215,MATCH($A216,$A$5:A215,0)),""))),"Á","A"),"É","E"),"Í","I"),"Ó","O"),"Ú","U"),"Ü","U")))</f>
        <v/>
      </c>
      <c r="E216" s="36" t="str">
        <f aca="false">IF($A216="","",TRIM(SUBSTITUTE(SUBSTITUTE(SUBSTITUTE(SUBSTITUTE(SUBSTITUTE(SUBSTITUTE(UPPER(IFERROR(INDEX('Base de Personas'!$F7:F21,MATCH($A216,'Base de Personas'!$B7:B21,0)),IFERROR(INDEX($E$5:E215,MATCH($A216,$A$5:A215,0)),""))),"Á","A"),"É","E"),"Í","I"),"Ó","O"),"Ú","U"),"Ü","U")))</f>
        <v/>
      </c>
      <c r="F216" s="36" t="str">
        <f aca="false">IF($A216="","",TRIM(SUBSTITUTE(SUBSTITUTE(SUBSTITUTE(SUBSTITUTE(SUBSTITUTE(SUBSTITUTE(UPPER(IFERROR(INDEX('Base de Personas'!$G7:G21,MATCH($A216,'Base de Personas'!$B7:B21,0)),IFERROR(INDEX($F$5:F215,MATCH($A216,$A$5:A215,0)),""))),"Á","A"),"É","E"),"Í","I"),"Ó","O"),"Ú","U"),"Ü","U")))</f>
        <v/>
      </c>
      <c r="G216" s="37" t="str">
        <f aca="false">IF($A216="","",TRIM(SUBSTITUTE(SUBSTITUTE(SUBSTITUTE(SUBSTITUTE(SUBSTITUTE(SUBSTITUTE(UPPER(IFERROR(INDEX('Base de Personas'!$H7:H21,MATCH($A216,'Base de Personas'!$B7:B21,0)),IFERROR(INDEX($G$5:G215,MATCH($A216,$A$5:A215,0)),""))),"Á","A"),"É","E"),"Í","I"),"Ó","O"),"Ú","U"),"Ü","U")))</f>
        <v/>
      </c>
      <c r="H216" s="38" t="str">
        <f aca="false">IF($A216="","",IFERROR(INDEX('Base de Personas'!$I$7:$I$21,MATCH($A216,'Base de Personas'!$B$7:$B$21,0)),IFERROR(INDEX($H$5:H215,MATCH($A216,$A$5:A215,0)),"")))</f>
        <v/>
      </c>
      <c r="I216" s="39"/>
      <c r="J216" s="40"/>
      <c r="K216" s="40"/>
      <c r="L216" s="39"/>
      <c r="M216" s="41" t="str">
        <f aca="false">IF($A216="","",IF(K216=_xlfn.MAXIFS($K$5:$K$304,$A$5:$A$304,$A216),1,0))</f>
        <v/>
      </c>
      <c r="N216" s="41" t="str">
        <f aca="false">IF($A216="","",IF(M216=1,$A216&amp;"-ACT",""))</f>
        <v/>
      </c>
      <c r="O216" s="41" t="str">
        <f aca="false">IF($A216="","",IF(AND(COUNTIF('Base de Personas'!$B$7:$B$21,$A216)=0,COUNTIF($A$5:A216,$A216)=1),1,0))</f>
        <v/>
      </c>
      <c r="P216" s="41" t="str">
        <f aca="false">IF(O216=1,SUM($O$5:O216),"")</f>
        <v/>
      </c>
    </row>
    <row r="217" customFormat="false" ht="15" hidden="false" customHeight="false" outlineLevel="0" collapsed="false">
      <c r="A217" s="35"/>
      <c r="B217" s="36" t="str">
        <f aca="false">IF($A217="","",TRIM(SUBSTITUTE(SUBSTITUTE(SUBSTITUTE(SUBSTITUTE(SUBSTITUTE(SUBSTITUTE(UPPER(IFERROR(INDEX('Base de Personas'!$C7:C21,MATCH($A217,'Base de Personas'!$B7:B21,0)),IFERROR(INDEX($B$5:B216,MATCH($A217,$A$5:A216,0)),""))),"Á","A"),"É","E"),"Í","I"),"Ó","O"),"Ú","U"),"Ü","U")))</f>
        <v/>
      </c>
      <c r="C217" s="37" t="str">
        <f aca="false">IF($A217="","",TRIM(SUBSTITUTE(SUBSTITUTE(SUBSTITUTE(SUBSTITUTE(SUBSTITUTE(SUBSTITUTE(UPPER(IFERROR(INDEX('Base de Personas'!$D7:D21,MATCH($A217,'Base de Personas'!$B7:B21,0)),IFERROR(INDEX($C$5:C216,MATCH($A217,$A$5:A216,0)),""))),"Á","A"),"É","E"),"Í","I"),"Ó","O"),"Ú","U"),"Ü","U")))</f>
        <v/>
      </c>
      <c r="D217" s="36" t="str">
        <f aca="false">IF($A217="","",TRIM(SUBSTITUTE(SUBSTITUTE(SUBSTITUTE(SUBSTITUTE(SUBSTITUTE(SUBSTITUTE(UPPER(IFERROR(INDEX('Base de Personas'!$E7:E21,MATCH($A217,'Base de Personas'!$B7:B21,0)),IFERROR(INDEX($D$5:D216,MATCH($A217,$A$5:A216,0)),""))),"Á","A"),"É","E"),"Í","I"),"Ó","O"),"Ú","U"),"Ü","U")))</f>
        <v/>
      </c>
      <c r="E217" s="36" t="str">
        <f aca="false">IF($A217="","",TRIM(SUBSTITUTE(SUBSTITUTE(SUBSTITUTE(SUBSTITUTE(SUBSTITUTE(SUBSTITUTE(UPPER(IFERROR(INDEX('Base de Personas'!$F7:F21,MATCH($A217,'Base de Personas'!$B7:B21,0)),IFERROR(INDEX($E$5:E216,MATCH($A217,$A$5:A216,0)),""))),"Á","A"),"É","E"),"Í","I"),"Ó","O"),"Ú","U"),"Ü","U")))</f>
        <v/>
      </c>
      <c r="F217" s="36" t="str">
        <f aca="false">IF($A217="","",TRIM(SUBSTITUTE(SUBSTITUTE(SUBSTITUTE(SUBSTITUTE(SUBSTITUTE(SUBSTITUTE(UPPER(IFERROR(INDEX('Base de Personas'!$G7:G21,MATCH($A217,'Base de Personas'!$B7:B21,0)),IFERROR(INDEX($F$5:F216,MATCH($A217,$A$5:A216,0)),""))),"Á","A"),"É","E"),"Í","I"),"Ó","O"),"Ú","U"),"Ü","U")))</f>
        <v/>
      </c>
      <c r="G217" s="37" t="str">
        <f aca="false">IF($A217="","",TRIM(SUBSTITUTE(SUBSTITUTE(SUBSTITUTE(SUBSTITUTE(SUBSTITUTE(SUBSTITUTE(UPPER(IFERROR(INDEX('Base de Personas'!$H7:H21,MATCH($A217,'Base de Personas'!$B7:B21,0)),IFERROR(INDEX($G$5:G216,MATCH($A217,$A$5:A216,0)),""))),"Á","A"),"É","E"),"Í","I"),"Ó","O"),"Ú","U"),"Ü","U")))</f>
        <v/>
      </c>
      <c r="H217" s="38" t="str">
        <f aca="false">IF($A217="","",IFERROR(INDEX('Base de Personas'!$I$7:$I$21,MATCH($A217,'Base de Personas'!$B$7:$B$21,0)),IFERROR(INDEX($H$5:H216,MATCH($A217,$A$5:A216,0)),"")))</f>
        <v/>
      </c>
      <c r="I217" s="39"/>
      <c r="J217" s="40"/>
      <c r="K217" s="40"/>
      <c r="L217" s="39"/>
      <c r="M217" s="41" t="str">
        <f aca="false">IF($A217="","",IF(K217=_xlfn.MAXIFS($K$5:$K$304,$A$5:$A$304,$A217),1,0))</f>
        <v/>
      </c>
      <c r="N217" s="41" t="str">
        <f aca="false">IF($A217="","",IF(M217=1,$A217&amp;"-ACT",""))</f>
        <v/>
      </c>
      <c r="O217" s="41" t="str">
        <f aca="false">IF($A217="","",IF(AND(COUNTIF('Base de Personas'!$B$7:$B$21,$A217)=0,COUNTIF($A$5:A217,$A217)=1),1,0))</f>
        <v/>
      </c>
      <c r="P217" s="41" t="str">
        <f aca="false">IF(O217=1,SUM($O$5:O217),"")</f>
        <v/>
      </c>
    </row>
    <row r="218" customFormat="false" ht="15" hidden="false" customHeight="false" outlineLevel="0" collapsed="false">
      <c r="A218" s="35"/>
      <c r="B218" s="36" t="str">
        <f aca="false">IF($A218="","",TRIM(SUBSTITUTE(SUBSTITUTE(SUBSTITUTE(SUBSTITUTE(SUBSTITUTE(SUBSTITUTE(UPPER(IFERROR(INDEX('Base de Personas'!$C7:C21,MATCH($A218,'Base de Personas'!$B7:B21,0)),IFERROR(INDEX($B$5:B217,MATCH($A218,$A$5:A217,0)),""))),"Á","A"),"É","E"),"Í","I"),"Ó","O"),"Ú","U"),"Ü","U")))</f>
        <v/>
      </c>
      <c r="C218" s="37" t="str">
        <f aca="false">IF($A218="","",TRIM(SUBSTITUTE(SUBSTITUTE(SUBSTITUTE(SUBSTITUTE(SUBSTITUTE(SUBSTITUTE(UPPER(IFERROR(INDEX('Base de Personas'!$D7:D21,MATCH($A218,'Base de Personas'!$B7:B21,0)),IFERROR(INDEX($C$5:C217,MATCH($A218,$A$5:A217,0)),""))),"Á","A"),"É","E"),"Í","I"),"Ó","O"),"Ú","U"),"Ü","U")))</f>
        <v/>
      </c>
      <c r="D218" s="36" t="str">
        <f aca="false">IF($A218="","",TRIM(SUBSTITUTE(SUBSTITUTE(SUBSTITUTE(SUBSTITUTE(SUBSTITUTE(SUBSTITUTE(UPPER(IFERROR(INDEX('Base de Personas'!$E7:E21,MATCH($A218,'Base de Personas'!$B7:B21,0)),IFERROR(INDEX($D$5:D217,MATCH($A218,$A$5:A217,0)),""))),"Á","A"),"É","E"),"Í","I"),"Ó","O"),"Ú","U"),"Ü","U")))</f>
        <v/>
      </c>
      <c r="E218" s="36" t="str">
        <f aca="false">IF($A218="","",TRIM(SUBSTITUTE(SUBSTITUTE(SUBSTITUTE(SUBSTITUTE(SUBSTITUTE(SUBSTITUTE(UPPER(IFERROR(INDEX('Base de Personas'!$F7:F21,MATCH($A218,'Base de Personas'!$B7:B21,0)),IFERROR(INDEX($E$5:E217,MATCH($A218,$A$5:A217,0)),""))),"Á","A"),"É","E"),"Í","I"),"Ó","O"),"Ú","U"),"Ü","U")))</f>
        <v/>
      </c>
      <c r="F218" s="36" t="str">
        <f aca="false">IF($A218="","",TRIM(SUBSTITUTE(SUBSTITUTE(SUBSTITUTE(SUBSTITUTE(SUBSTITUTE(SUBSTITUTE(UPPER(IFERROR(INDEX('Base de Personas'!$G7:G21,MATCH($A218,'Base de Personas'!$B7:B21,0)),IFERROR(INDEX($F$5:F217,MATCH($A218,$A$5:A217,0)),""))),"Á","A"),"É","E"),"Í","I"),"Ó","O"),"Ú","U"),"Ü","U")))</f>
        <v/>
      </c>
      <c r="G218" s="37" t="str">
        <f aca="false">IF($A218="","",TRIM(SUBSTITUTE(SUBSTITUTE(SUBSTITUTE(SUBSTITUTE(SUBSTITUTE(SUBSTITUTE(UPPER(IFERROR(INDEX('Base de Personas'!$H7:H21,MATCH($A218,'Base de Personas'!$B7:B21,0)),IFERROR(INDEX($G$5:G217,MATCH($A218,$A$5:A217,0)),""))),"Á","A"),"É","E"),"Í","I"),"Ó","O"),"Ú","U"),"Ü","U")))</f>
        <v/>
      </c>
      <c r="H218" s="38" t="str">
        <f aca="false">IF($A218="","",IFERROR(INDEX('Base de Personas'!$I$7:$I$21,MATCH($A218,'Base de Personas'!$B$7:$B$21,0)),IFERROR(INDEX($H$5:H217,MATCH($A218,$A$5:A217,0)),"")))</f>
        <v/>
      </c>
      <c r="I218" s="39"/>
      <c r="J218" s="40"/>
      <c r="K218" s="40"/>
      <c r="L218" s="39"/>
      <c r="M218" s="41" t="str">
        <f aca="false">IF($A218="","",IF(K218=_xlfn.MAXIFS($K$5:$K$304,$A$5:$A$304,$A218),1,0))</f>
        <v/>
      </c>
      <c r="N218" s="41" t="str">
        <f aca="false">IF($A218="","",IF(M218=1,$A218&amp;"-ACT",""))</f>
        <v/>
      </c>
      <c r="O218" s="41" t="str">
        <f aca="false">IF($A218="","",IF(AND(COUNTIF('Base de Personas'!$B$7:$B$21,$A218)=0,COUNTIF($A$5:A218,$A218)=1),1,0))</f>
        <v/>
      </c>
      <c r="P218" s="41" t="str">
        <f aca="false">IF(O218=1,SUM($O$5:O218),"")</f>
        <v/>
      </c>
    </row>
    <row r="219" customFormat="false" ht="15" hidden="false" customHeight="false" outlineLevel="0" collapsed="false">
      <c r="A219" s="35"/>
      <c r="B219" s="36" t="str">
        <f aca="false">IF($A219="","",TRIM(SUBSTITUTE(SUBSTITUTE(SUBSTITUTE(SUBSTITUTE(SUBSTITUTE(SUBSTITUTE(UPPER(IFERROR(INDEX('Base de Personas'!$C7:C21,MATCH($A219,'Base de Personas'!$B7:B21,0)),IFERROR(INDEX($B$5:B218,MATCH($A219,$A$5:A218,0)),""))),"Á","A"),"É","E"),"Í","I"),"Ó","O"),"Ú","U"),"Ü","U")))</f>
        <v/>
      </c>
      <c r="C219" s="37" t="str">
        <f aca="false">IF($A219="","",TRIM(SUBSTITUTE(SUBSTITUTE(SUBSTITUTE(SUBSTITUTE(SUBSTITUTE(SUBSTITUTE(UPPER(IFERROR(INDEX('Base de Personas'!$D7:D21,MATCH($A219,'Base de Personas'!$B7:B21,0)),IFERROR(INDEX($C$5:C218,MATCH($A219,$A$5:A218,0)),""))),"Á","A"),"É","E"),"Í","I"),"Ó","O"),"Ú","U"),"Ü","U")))</f>
        <v/>
      </c>
      <c r="D219" s="36" t="str">
        <f aca="false">IF($A219="","",TRIM(SUBSTITUTE(SUBSTITUTE(SUBSTITUTE(SUBSTITUTE(SUBSTITUTE(SUBSTITUTE(UPPER(IFERROR(INDEX('Base de Personas'!$E7:E21,MATCH($A219,'Base de Personas'!$B7:B21,0)),IFERROR(INDEX($D$5:D218,MATCH($A219,$A$5:A218,0)),""))),"Á","A"),"É","E"),"Í","I"),"Ó","O"),"Ú","U"),"Ü","U")))</f>
        <v/>
      </c>
      <c r="E219" s="36" t="str">
        <f aca="false">IF($A219="","",TRIM(SUBSTITUTE(SUBSTITUTE(SUBSTITUTE(SUBSTITUTE(SUBSTITUTE(SUBSTITUTE(UPPER(IFERROR(INDEX('Base de Personas'!$F7:F21,MATCH($A219,'Base de Personas'!$B7:B21,0)),IFERROR(INDEX($E$5:E218,MATCH($A219,$A$5:A218,0)),""))),"Á","A"),"É","E"),"Í","I"),"Ó","O"),"Ú","U"),"Ü","U")))</f>
        <v/>
      </c>
      <c r="F219" s="36" t="str">
        <f aca="false">IF($A219="","",TRIM(SUBSTITUTE(SUBSTITUTE(SUBSTITUTE(SUBSTITUTE(SUBSTITUTE(SUBSTITUTE(UPPER(IFERROR(INDEX('Base de Personas'!$G7:G21,MATCH($A219,'Base de Personas'!$B7:B21,0)),IFERROR(INDEX($F$5:F218,MATCH($A219,$A$5:A218,0)),""))),"Á","A"),"É","E"),"Í","I"),"Ó","O"),"Ú","U"),"Ü","U")))</f>
        <v/>
      </c>
      <c r="G219" s="37" t="str">
        <f aca="false">IF($A219="","",TRIM(SUBSTITUTE(SUBSTITUTE(SUBSTITUTE(SUBSTITUTE(SUBSTITUTE(SUBSTITUTE(UPPER(IFERROR(INDEX('Base de Personas'!$H7:H21,MATCH($A219,'Base de Personas'!$B7:B21,0)),IFERROR(INDEX($G$5:G218,MATCH($A219,$A$5:A218,0)),""))),"Á","A"),"É","E"),"Í","I"),"Ó","O"),"Ú","U"),"Ü","U")))</f>
        <v/>
      </c>
      <c r="H219" s="38" t="str">
        <f aca="false">IF($A219="","",IFERROR(INDEX('Base de Personas'!$I$7:$I$21,MATCH($A219,'Base de Personas'!$B$7:$B$21,0)),IFERROR(INDEX($H$5:H218,MATCH($A219,$A$5:A218,0)),"")))</f>
        <v/>
      </c>
      <c r="I219" s="39"/>
      <c r="J219" s="40"/>
      <c r="K219" s="40"/>
      <c r="L219" s="39"/>
      <c r="M219" s="41" t="str">
        <f aca="false">IF($A219="","",IF(K219=_xlfn.MAXIFS($K$5:$K$304,$A$5:$A$304,$A219),1,0))</f>
        <v/>
      </c>
      <c r="N219" s="41" t="str">
        <f aca="false">IF($A219="","",IF(M219=1,$A219&amp;"-ACT",""))</f>
        <v/>
      </c>
      <c r="O219" s="41" t="str">
        <f aca="false">IF($A219="","",IF(AND(COUNTIF('Base de Personas'!$B$7:$B$21,$A219)=0,COUNTIF($A$5:A219,$A219)=1),1,0))</f>
        <v/>
      </c>
      <c r="P219" s="41" t="str">
        <f aca="false">IF(O219=1,SUM($O$5:O219),"")</f>
        <v/>
      </c>
    </row>
    <row r="220" customFormat="false" ht="15" hidden="false" customHeight="false" outlineLevel="0" collapsed="false">
      <c r="A220" s="35"/>
      <c r="B220" s="36" t="str">
        <f aca="false">IF($A220="","",TRIM(SUBSTITUTE(SUBSTITUTE(SUBSTITUTE(SUBSTITUTE(SUBSTITUTE(SUBSTITUTE(UPPER(IFERROR(INDEX('Base de Personas'!$C7:C21,MATCH($A220,'Base de Personas'!$B7:B21,0)),IFERROR(INDEX($B$5:B219,MATCH($A220,$A$5:A219,0)),""))),"Á","A"),"É","E"),"Í","I"),"Ó","O"),"Ú","U"),"Ü","U")))</f>
        <v/>
      </c>
      <c r="C220" s="37" t="str">
        <f aca="false">IF($A220="","",TRIM(SUBSTITUTE(SUBSTITUTE(SUBSTITUTE(SUBSTITUTE(SUBSTITUTE(SUBSTITUTE(UPPER(IFERROR(INDEX('Base de Personas'!$D7:D21,MATCH($A220,'Base de Personas'!$B7:B21,0)),IFERROR(INDEX($C$5:C219,MATCH($A220,$A$5:A219,0)),""))),"Á","A"),"É","E"),"Í","I"),"Ó","O"),"Ú","U"),"Ü","U")))</f>
        <v/>
      </c>
      <c r="D220" s="36" t="str">
        <f aca="false">IF($A220="","",TRIM(SUBSTITUTE(SUBSTITUTE(SUBSTITUTE(SUBSTITUTE(SUBSTITUTE(SUBSTITUTE(UPPER(IFERROR(INDEX('Base de Personas'!$E7:E21,MATCH($A220,'Base de Personas'!$B7:B21,0)),IFERROR(INDEX($D$5:D219,MATCH($A220,$A$5:A219,0)),""))),"Á","A"),"É","E"),"Í","I"),"Ó","O"),"Ú","U"),"Ü","U")))</f>
        <v/>
      </c>
      <c r="E220" s="36" t="str">
        <f aca="false">IF($A220="","",TRIM(SUBSTITUTE(SUBSTITUTE(SUBSTITUTE(SUBSTITUTE(SUBSTITUTE(SUBSTITUTE(UPPER(IFERROR(INDEX('Base de Personas'!$F7:F21,MATCH($A220,'Base de Personas'!$B7:B21,0)),IFERROR(INDEX($E$5:E219,MATCH($A220,$A$5:A219,0)),""))),"Á","A"),"É","E"),"Í","I"),"Ó","O"),"Ú","U"),"Ü","U")))</f>
        <v/>
      </c>
      <c r="F220" s="36" t="str">
        <f aca="false">IF($A220="","",TRIM(SUBSTITUTE(SUBSTITUTE(SUBSTITUTE(SUBSTITUTE(SUBSTITUTE(SUBSTITUTE(UPPER(IFERROR(INDEX('Base de Personas'!$G7:G21,MATCH($A220,'Base de Personas'!$B7:B21,0)),IFERROR(INDEX($F$5:F219,MATCH($A220,$A$5:A219,0)),""))),"Á","A"),"É","E"),"Í","I"),"Ó","O"),"Ú","U"),"Ü","U")))</f>
        <v/>
      </c>
      <c r="G220" s="37" t="str">
        <f aca="false">IF($A220="","",TRIM(SUBSTITUTE(SUBSTITUTE(SUBSTITUTE(SUBSTITUTE(SUBSTITUTE(SUBSTITUTE(UPPER(IFERROR(INDEX('Base de Personas'!$H7:H21,MATCH($A220,'Base de Personas'!$B7:B21,0)),IFERROR(INDEX($G$5:G219,MATCH($A220,$A$5:A219,0)),""))),"Á","A"),"É","E"),"Í","I"),"Ó","O"),"Ú","U"),"Ü","U")))</f>
        <v/>
      </c>
      <c r="H220" s="38" t="str">
        <f aca="false">IF($A220="","",IFERROR(INDEX('Base de Personas'!$I$7:$I$21,MATCH($A220,'Base de Personas'!$B$7:$B$21,0)),IFERROR(INDEX($H$5:H219,MATCH($A220,$A$5:A219,0)),"")))</f>
        <v/>
      </c>
      <c r="I220" s="39"/>
      <c r="J220" s="40"/>
      <c r="K220" s="40"/>
      <c r="L220" s="39"/>
      <c r="M220" s="41" t="str">
        <f aca="false">IF($A220="","",IF(K220=_xlfn.MAXIFS($K$5:$K$304,$A$5:$A$304,$A220),1,0))</f>
        <v/>
      </c>
      <c r="N220" s="41" t="str">
        <f aca="false">IF($A220="","",IF(M220=1,$A220&amp;"-ACT",""))</f>
        <v/>
      </c>
      <c r="O220" s="41" t="str">
        <f aca="false">IF($A220="","",IF(AND(COUNTIF('Base de Personas'!$B$7:$B$21,$A220)=0,COUNTIF($A$5:A220,$A220)=1),1,0))</f>
        <v/>
      </c>
      <c r="P220" s="41" t="str">
        <f aca="false">IF(O220=1,SUM($O$5:O220),"")</f>
        <v/>
      </c>
    </row>
    <row r="221" customFormat="false" ht="15" hidden="false" customHeight="false" outlineLevel="0" collapsed="false">
      <c r="A221" s="35"/>
      <c r="B221" s="36" t="str">
        <f aca="false">IF($A221="","",TRIM(SUBSTITUTE(SUBSTITUTE(SUBSTITUTE(SUBSTITUTE(SUBSTITUTE(SUBSTITUTE(UPPER(IFERROR(INDEX('Base de Personas'!$C7:C21,MATCH($A221,'Base de Personas'!$B7:B21,0)),IFERROR(INDEX($B$5:B220,MATCH($A221,$A$5:A220,0)),""))),"Á","A"),"É","E"),"Í","I"),"Ó","O"),"Ú","U"),"Ü","U")))</f>
        <v/>
      </c>
      <c r="C221" s="37" t="str">
        <f aca="false">IF($A221="","",TRIM(SUBSTITUTE(SUBSTITUTE(SUBSTITUTE(SUBSTITUTE(SUBSTITUTE(SUBSTITUTE(UPPER(IFERROR(INDEX('Base de Personas'!$D7:D21,MATCH($A221,'Base de Personas'!$B7:B21,0)),IFERROR(INDEX($C$5:C220,MATCH($A221,$A$5:A220,0)),""))),"Á","A"),"É","E"),"Í","I"),"Ó","O"),"Ú","U"),"Ü","U")))</f>
        <v/>
      </c>
      <c r="D221" s="36" t="str">
        <f aca="false">IF($A221="","",TRIM(SUBSTITUTE(SUBSTITUTE(SUBSTITUTE(SUBSTITUTE(SUBSTITUTE(SUBSTITUTE(UPPER(IFERROR(INDEX('Base de Personas'!$E7:E21,MATCH($A221,'Base de Personas'!$B7:B21,0)),IFERROR(INDEX($D$5:D220,MATCH($A221,$A$5:A220,0)),""))),"Á","A"),"É","E"),"Í","I"),"Ó","O"),"Ú","U"),"Ü","U")))</f>
        <v/>
      </c>
      <c r="E221" s="36" t="str">
        <f aca="false">IF($A221="","",TRIM(SUBSTITUTE(SUBSTITUTE(SUBSTITUTE(SUBSTITUTE(SUBSTITUTE(SUBSTITUTE(UPPER(IFERROR(INDEX('Base de Personas'!$F7:F21,MATCH($A221,'Base de Personas'!$B7:B21,0)),IFERROR(INDEX($E$5:E220,MATCH($A221,$A$5:A220,0)),""))),"Á","A"),"É","E"),"Í","I"),"Ó","O"),"Ú","U"),"Ü","U")))</f>
        <v/>
      </c>
      <c r="F221" s="36" t="str">
        <f aca="false">IF($A221="","",TRIM(SUBSTITUTE(SUBSTITUTE(SUBSTITUTE(SUBSTITUTE(SUBSTITUTE(SUBSTITUTE(UPPER(IFERROR(INDEX('Base de Personas'!$G7:G21,MATCH($A221,'Base de Personas'!$B7:B21,0)),IFERROR(INDEX($F$5:F220,MATCH($A221,$A$5:A220,0)),""))),"Á","A"),"É","E"),"Í","I"),"Ó","O"),"Ú","U"),"Ü","U")))</f>
        <v/>
      </c>
      <c r="G221" s="37" t="str">
        <f aca="false">IF($A221="","",TRIM(SUBSTITUTE(SUBSTITUTE(SUBSTITUTE(SUBSTITUTE(SUBSTITUTE(SUBSTITUTE(UPPER(IFERROR(INDEX('Base de Personas'!$H7:H21,MATCH($A221,'Base de Personas'!$B7:B21,0)),IFERROR(INDEX($G$5:G220,MATCH($A221,$A$5:A220,0)),""))),"Á","A"),"É","E"),"Í","I"),"Ó","O"),"Ú","U"),"Ü","U")))</f>
        <v/>
      </c>
      <c r="H221" s="38" t="str">
        <f aca="false">IF($A221="","",IFERROR(INDEX('Base de Personas'!$I$7:$I$21,MATCH($A221,'Base de Personas'!$B$7:$B$21,0)),IFERROR(INDEX($H$5:H220,MATCH($A221,$A$5:A220,0)),"")))</f>
        <v/>
      </c>
      <c r="I221" s="39"/>
      <c r="J221" s="40"/>
      <c r="K221" s="40"/>
      <c r="L221" s="39"/>
      <c r="M221" s="41" t="str">
        <f aca="false">IF($A221="","",IF(K221=_xlfn.MAXIFS($K$5:$K$304,$A$5:$A$304,$A221),1,0))</f>
        <v/>
      </c>
      <c r="N221" s="41" t="str">
        <f aca="false">IF($A221="","",IF(M221=1,$A221&amp;"-ACT",""))</f>
        <v/>
      </c>
      <c r="O221" s="41" t="str">
        <f aca="false">IF($A221="","",IF(AND(COUNTIF('Base de Personas'!$B$7:$B$21,$A221)=0,COUNTIF($A$5:A221,$A221)=1),1,0))</f>
        <v/>
      </c>
      <c r="P221" s="41" t="str">
        <f aca="false">IF(O221=1,SUM($O$5:O221),"")</f>
        <v/>
      </c>
    </row>
    <row r="222" customFormat="false" ht="15" hidden="false" customHeight="false" outlineLevel="0" collapsed="false">
      <c r="A222" s="35"/>
      <c r="B222" s="36" t="str">
        <f aca="false">IF($A222="","",TRIM(SUBSTITUTE(SUBSTITUTE(SUBSTITUTE(SUBSTITUTE(SUBSTITUTE(SUBSTITUTE(UPPER(IFERROR(INDEX('Base de Personas'!$C7:C21,MATCH($A222,'Base de Personas'!$B7:B21,0)),IFERROR(INDEX($B$5:B221,MATCH($A222,$A$5:A221,0)),""))),"Á","A"),"É","E"),"Í","I"),"Ó","O"),"Ú","U"),"Ü","U")))</f>
        <v/>
      </c>
      <c r="C222" s="37" t="str">
        <f aca="false">IF($A222="","",TRIM(SUBSTITUTE(SUBSTITUTE(SUBSTITUTE(SUBSTITUTE(SUBSTITUTE(SUBSTITUTE(UPPER(IFERROR(INDEX('Base de Personas'!$D7:D21,MATCH($A222,'Base de Personas'!$B7:B21,0)),IFERROR(INDEX($C$5:C221,MATCH($A222,$A$5:A221,0)),""))),"Á","A"),"É","E"),"Í","I"),"Ó","O"),"Ú","U"),"Ü","U")))</f>
        <v/>
      </c>
      <c r="D222" s="36" t="str">
        <f aca="false">IF($A222="","",TRIM(SUBSTITUTE(SUBSTITUTE(SUBSTITUTE(SUBSTITUTE(SUBSTITUTE(SUBSTITUTE(UPPER(IFERROR(INDEX('Base de Personas'!$E7:E21,MATCH($A222,'Base de Personas'!$B7:B21,0)),IFERROR(INDEX($D$5:D221,MATCH($A222,$A$5:A221,0)),""))),"Á","A"),"É","E"),"Í","I"),"Ó","O"),"Ú","U"),"Ü","U")))</f>
        <v/>
      </c>
      <c r="E222" s="36" t="str">
        <f aca="false">IF($A222="","",TRIM(SUBSTITUTE(SUBSTITUTE(SUBSTITUTE(SUBSTITUTE(SUBSTITUTE(SUBSTITUTE(UPPER(IFERROR(INDEX('Base de Personas'!$F7:F21,MATCH($A222,'Base de Personas'!$B7:B21,0)),IFERROR(INDEX($E$5:E221,MATCH($A222,$A$5:A221,0)),""))),"Á","A"),"É","E"),"Í","I"),"Ó","O"),"Ú","U"),"Ü","U")))</f>
        <v/>
      </c>
      <c r="F222" s="36" t="str">
        <f aca="false">IF($A222="","",TRIM(SUBSTITUTE(SUBSTITUTE(SUBSTITUTE(SUBSTITUTE(SUBSTITUTE(SUBSTITUTE(UPPER(IFERROR(INDEX('Base de Personas'!$G7:G21,MATCH($A222,'Base de Personas'!$B7:B21,0)),IFERROR(INDEX($F$5:F221,MATCH($A222,$A$5:A221,0)),""))),"Á","A"),"É","E"),"Í","I"),"Ó","O"),"Ú","U"),"Ü","U")))</f>
        <v/>
      </c>
      <c r="G222" s="37" t="str">
        <f aca="false">IF($A222="","",TRIM(SUBSTITUTE(SUBSTITUTE(SUBSTITUTE(SUBSTITUTE(SUBSTITUTE(SUBSTITUTE(UPPER(IFERROR(INDEX('Base de Personas'!$H7:H21,MATCH($A222,'Base de Personas'!$B7:B21,0)),IFERROR(INDEX($G$5:G221,MATCH($A222,$A$5:A221,0)),""))),"Á","A"),"É","E"),"Í","I"),"Ó","O"),"Ú","U"),"Ü","U")))</f>
        <v/>
      </c>
      <c r="H222" s="38" t="str">
        <f aca="false">IF($A222="","",IFERROR(INDEX('Base de Personas'!$I$7:$I$21,MATCH($A222,'Base de Personas'!$B$7:$B$21,0)),IFERROR(INDEX($H$5:H221,MATCH($A222,$A$5:A221,0)),"")))</f>
        <v/>
      </c>
      <c r="I222" s="39"/>
      <c r="J222" s="40"/>
      <c r="K222" s="40"/>
      <c r="L222" s="39"/>
      <c r="M222" s="41" t="str">
        <f aca="false">IF($A222="","",IF(K222=_xlfn.MAXIFS($K$5:$K$304,$A$5:$A$304,$A222),1,0))</f>
        <v/>
      </c>
      <c r="N222" s="41" t="str">
        <f aca="false">IF($A222="","",IF(M222=1,$A222&amp;"-ACT",""))</f>
        <v/>
      </c>
      <c r="O222" s="41" t="str">
        <f aca="false">IF($A222="","",IF(AND(COUNTIF('Base de Personas'!$B$7:$B$21,$A222)=0,COUNTIF($A$5:A222,$A222)=1),1,0))</f>
        <v/>
      </c>
      <c r="P222" s="41" t="str">
        <f aca="false">IF(O222=1,SUM($O$5:O222),"")</f>
        <v/>
      </c>
    </row>
    <row r="223" customFormat="false" ht="15" hidden="false" customHeight="false" outlineLevel="0" collapsed="false">
      <c r="A223" s="35"/>
      <c r="B223" s="36" t="str">
        <f aca="false">IF($A223="","",TRIM(SUBSTITUTE(SUBSTITUTE(SUBSTITUTE(SUBSTITUTE(SUBSTITUTE(SUBSTITUTE(UPPER(IFERROR(INDEX('Base de Personas'!$C7:C21,MATCH($A223,'Base de Personas'!$B7:B21,0)),IFERROR(INDEX($B$5:B222,MATCH($A223,$A$5:A222,0)),""))),"Á","A"),"É","E"),"Í","I"),"Ó","O"),"Ú","U"),"Ü","U")))</f>
        <v/>
      </c>
      <c r="C223" s="37" t="str">
        <f aca="false">IF($A223="","",TRIM(SUBSTITUTE(SUBSTITUTE(SUBSTITUTE(SUBSTITUTE(SUBSTITUTE(SUBSTITUTE(UPPER(IFERROR(INDEX('Base de Personas'!$D7:D21,MATCH($A223,'Base de Personas'!$B7:B21,0)),IFERROR(INDEX($C$5:C222,MATCH($A223,$A$5:A222,0)),""))),"Á","A"),"É","E"),"Í","I"),"Ó","O"),"Ú","U"),"Ü","U")))</f>
        <v/>
      </c>
      <c r="D223" s="36" t="str">
        <f aca="false">IF($A223="","",TRIM(SUBSTITUTE(SUBSTITUTE(SUBSTITUTE(SUBSTITUTE(SUBSTITUTE(SUBSTITUTE(UPPER(IFERROR(INDEX('Base de Personas'!$E7:E21,MATCH($A223,'Base de Personas'!$B7:B21,0)),IFERROR(INDEX($D$5:D222,MATCH($A223,$A$5:A222,0)),""))),"Á","A"),"É","E"),"Í","I"),"Ó","O"),"Ú","U"),"Ü","U")))</f>
        <v/>
      </c>
      <c r="E223" s="36" t="str">
        <f aca="false">IF($A223="","",TRIM(SUBSTITUTE(SUBSTITUTE(SUBSTITUTE(SUBSTITUTE(SUBSTITUTE(SUBSTITUTE(UPPER(IFERROR(INDEX('Base de Personas'!$F7:F21,MATCH($A223,'Base de Personas'!$B7:B21,0)),IFERROR(INDEX($E$5:E222,MATCH($A223,$A$5:A222,0)),""))),"Á","A"),"É","E"),"Í","I"),"Ó","O"),"Ú","U"),"Ü","U")))</f>
        <v/>
      </c>
      <c r="F223" s="36" t="str">
        <f aca="false">IF($A223="","",TRIM(SUBSTITUTE(SUBSTITUTE(SUBSTITUTE(SUBSTITUTE(SUBSTITUTE(SUBSTITUTE(UPPER(IFERROR(INDEX('Base de Personas'!$G7:G21,MATCH($A223,'Base de Personas'!$B7:B21,0)),IFERROR(INDEX($F$5:F222,MATCH($A223,$A$5:A222,0)),""))),"Á","A"),"É","E"),"Í","I"),"Ó","O"),"Ú","U"),"Ü","U")))</f>
        <v/>
      </c>
      <c r="G223" s="37" t="str">
        <f aca="false">IF($A223="","",TRIM(SUBSTITUTE(SUBSTITUTE(SUBSTITUTE(SUBSTITUTE(SUBSTITUTE(SUBSTITUTE(UPPER(IFERROR(INDEX('Base de Personas'!$H7:H21,MATCH($A223,'Base de Personas'!$B7:B21,0)),IFERROR(INDEX($G$5:G222,MATCH($A223,$A$5:A222,0)),""))),"Á","A"),"É","E"),"Í","I"),"Ó","O"),"Ú","U"),"Ü","U")))</f>
        <v/>
      </c>
      <c r="H223" s="38" t="str">
        <f aca="false">IF($A223="","",IFERROR(INDEX('Base de Personas'!$I$7:$I$21,MATCH($A223,'Base de Personas'!$B$7:$B$21,0)),IFERROR(INDEX($H$5:H222,MATCH($A223,$A$5:A222,0)),"")))</f>
        <v/>
      </c>
      <c r="I223" s="39"/>
      <c r="J223" s="40"/>
      <c r="K223" s="40"/>
      <c r="L223" s="39"/>
      <c r="M223" s="41" t="str">
        <f aca="false">IF($A223="","",IF(K223=_xlfn.MAXIFS($K$5:$K$304,$A$5:$A$304,$A223),1,0))</f>
        <v/>
      </c>
      <c r="N223" s="41" t="str">
        <f aca="false">IF($A223="","",IF(M223=1,$A223&amp;"-ACT",""))</f>
        <v/>
      </c>
      <c r="O223" s="41" t="str">
        <f aca="false">IF($A223="","",IF(AND(COUNTIF('Base de Personas'!$B$7:$B$21,$A223)=0,COUNTIF($A$5:A223,$A223)=1),1,0))</f>
        <v/>
      </c>
      <c r="P223" s="41" t="str">
        <f aca="false">IF(O223=1,SUM($O$5:O223),"")</f>
        <v/>
      </c>
    </row>
    <row r="224" customFormat="false" ht="15" hidden="false" customHeight="false" outlineLevel="0" collapsed="false">
      <c r="A224" s="35"/>
      <c r="B224" s="36" t="str">
        <f aca="false">IF($A224="","",TRIM(SUBSTITUTE(SUBSTITUTE(SUBSTITUTE(SUBSTITUTE(SUBSTITUTE(SUBSTITUTE(UPPER(IFERROR(INDEX('Base de Personas'!$C7:C21,MATCH($A224,'Base de Personas'!$B7:B21,0)),IFERROR(INDEX($B$5:B223,MATCH($A224,$A$5:A223,0)),""))),"Á","A"),"É","E"),"Í","I"),"Ó","O"),"Ú","U"),"Ü","U")))</f>
        <v/>
      </c>
      <c r="C224" s="37" t="str">
        <f aca="false">IF($A224="","",TRIM(SUBSTITUTE(SUBSTITUTE(SUBSTITUTE(SUBSTITUTE(SUBSTITUTE(SUBSTITUTE(UPPER(IFERROR(INDEX('Base de Personas'!$D7:D21,MATCH($A224,'Base de Personas'!$B7:B21,0)),IFERROR(INDEX($C$5:C223,MATCH($A224,$A$5:A223,0)),""))),"Á","A"),"É","E"),"Í","I"),"Ó","O"),"Ú","U"),"Ü","U")))</f>
        <v/>
      </c>
      <c r="D224" s="36" t="str">
        <f aca="false">IF($A224="","",TRIM(SUBSTITUTE(SUBSTITUTE(SUBSTITUTE(SUBSTITUTE(SUBSTITUTE(SUBSTITUTE(UPPER(IFERROR(INDEX('Base de Personas'!$E7:E21,MATCH($A224,'Base de Personas'!$B7:B21,0)),IFERROR(INDEX($D$5:D223,MATCH($A224,$A$5:A223,0)),""))),"Á","A"),"É","E"),"Í","I"),"Ó","O"),"Ú","U"),"Ü","U")))</f>
        <v/>
      </c>
      <c r="E224" s="36" t="str">
        <f aca="false">IF($A224="","",TRIM(SUBSTITUTE(SUBSTITUTE(SUBSTITUTE(SUBSTITUTE(SUBSTITUTE(SUBSTITUTE(UPPER(IFERROR(INDEX('Base de Personas'!$F7:F21,MATCH($A224,'Base de Personas'!$B7:B21,0)),IFERROR(INDEX($E$5:E223,MATCH($A224,$A$5:A223,0)),""))),"Á","A"),"É","E"),"Í","I"),"Ó","O"),"Ú","U"),"Ü","U")))</f>
        <v/>
      </c>
      <c r="F224" s="36" t="str">
        <f aca="false">IF($A224="","",TRIM(SUBSTITUTE(SUBSTITUTE(SUBSTITUTE(SUBSTITUTE(SUBSTITUTE(SUBSTITUTE(UPPER(IFERROR(INDEX('Base de Personas'!$G7:G21,MATCH($A224,'Base de Personas'!$B7:B21,0)),IFERROR(INDEX($F$5:F223,MATCH($A224,$A$5:A223,0)),""))),"Á","A"),"É","E"),"Í","I"),"Ó","O"),"Ú","U"),"Ü","U")))</f>
        <v/>
      </c>
      <c r="G224" s="37" t="str">
        <f aca="false">IF($A224="","",TRIM(SUBSTITUTE(SUBSTITUTE(SUBSTITUTE(SUBSTITUTE(SUBSTITUTE(SUBSTITUTE(UPPER(IFERROR(INDEX('Base de Personas'!$H7:H21,MATCH($A224,'Base de Personas'!$B7:B21,0)),IFERROR(INDEX($G$5:G223,MATCH($A224,$A$5:A223,0)),""))),"Á","A"),"É","E"),"Í","I"),"Ó","O"),"Ú","U"),"Ü","U")))</f>
        <v/>
      </c>
      <c r="H224" s="38" t="str">
        <f aca="false">IF($A224="","",IFERROR(INDEX('Base de Personas'!$I$7:$I$21,MATCH($A224,'Base de Personas'!$B$7:$B$21,0)),IFERROR(INDEX($H$5:H223,MATCH($A224,$A$5:A223,0)),"")))</f>
        <v/>
      </c>
      <c r="I224" s="39"/>
      <c r="J224" s="40"/>
      <c r="K224" s="40"/>
      <c r="L224" s="39"/>
      <c r="M224" s="41" t="str">
        <f aca="false">IF($A224="","",IF(K224=_xlfn.MAXIFS($K$5:$K$304,$A$5:$A$304,$A224),1,0))</f>
        <v/>
      </c>
      <c r="N224" s="41" t="str">
        <f aca="false">IF($A224="","",IF(M224=1,$A224&amp;"-ACT",""))</f>
        <v/>
      </c>
      <c r="O224" s="41" t="str">
        <f aca="false">IF($A224="","",IF(AND(COUNTIF('Base de Personas'!$B$7:$B$21,$A224)=0,COUNTIF($A$5:A224,$A224)=1),1,0))</f>
        <v/>
      </c>
      <c r="P224" s="41" t="str">
        <f aca="false">IF(O224=1,SUM($O$5:O224),"")</f>
        <v/>
      </c>
    </row>
    <row r="225" customFormat="false" ht="15" hidden="false" customHeight="false" outlineLevel="0" collapsed="false">
      <c r="A225" s="35"/>
      <c r="B225" s="36" t="str">
        <f aca="false">IF($A225="","",TRIM(SUBSTITUTE(SUBSTITUTE(SUBSTITUTE(SUBSTITUTE(SUBSTITUTE(SUBSTITUTE(UPPER(IFERROR(INDEX('Base de Personas'!$C7:C21,MATCH($A225,'Base de Personas'!$B7:B21,0)),IFERROR(INDEX($B$5:B224,MATCH($A225,$A$5:A224,0)),""))),"Á","A"),"É","E"),"Í","I"),"Ó","O"),"Ú","U"),"Ü","U")))</f>
        <v/>
      </c>
      <c r="C225" s="37" t="str">
        <f aca="false">IF($A225="","",TRIM(SUBSTITUTE(SUBSTITUTE(SUBSTITUTE(SUBSTITUTE(SUBSTITUTE(SUBSTITUTE(UPPER(IFERROR(INDEX('Base de Personas'!$D7:D21,MATCH($A225,'Base de Personas'!$B7:B21,0)),IFERROR(INDEX($C$5:C224,MATCH($A225,$A$5:A224,0)),""))),"Á","A"),"É","E"),"Í","I"),"Ó","O"),"Ú","U"),"Ü","U")))</f>
        <v/>
      </c>
      <c r="D225" s="36" t="str">
        <f aca="false">IF($A225="","",TRIM(SUBSTITUTE(SUBSTITUTE(SUBSTITUTE(SUBSTITUTE(SUBSTITUTE(SUBSTITUTE(UPPER(IFERROR(INDEX('Base de Personas'!$E7:E21,MATCH($A225,'Base de Personas'!$B7:B21,0)),IFERROR(INDEX($D$5:D224,MATCH($A225,$A$5:A224,0)),""))),"Á","A"),"É","E"),"Í","I"),"Ó","O"),"Ú","U"),"Ü","U")))</f>
        <v/>
      </c>
      <c r="E225" s="36" t="str">
        <f aca="false">IF($A225="","",TRIM(SUBSTITUTE(SUBSTITUTE(SUBSTITUTE(SUBSTITUTE(SUBSTITUTE(SUBSTITUTE(UPPER(IFERROR(INDEX('Base de Personas'!$F7:F21,MATCH($A225,'Base de Personas'!$B7:B21,0)),IFERROR(INDEX($E$5:E224,MATCH($A225,$A$5:A224,0)),""))),"Á","A"),"É","E"),"Í","I"),"Ó","O"),"Ú","U"),"Ü","U")))</f>
        <v/>
      </c>
      <c r="F225" s="36" t="str">
        <f aca="false">IF($A225="","",TRIM(SUBSTITUTE(SUBSTITUTE(SUBSTITUTE(SUBSTITUTE(SUBSTITUTE(SUBSTITUTE(UPPER(IFERROR(INDEX('Base de Personas'!$G7:G21,MATCH($A225,'Base de Personas'!$B7:B21,0)),IFERROR(INDEX($F$5:F224,MATCH($A225,$A$5:A224,0)),""))),"Á","A"),"É","E"),"Í","I"),"Ó","O"),"Ú","U"),"Ü","U")))</f>
        <v/>
      </c>
      <c r="G225" s="37" t="str">
        <f aca="false">IF($A225="","",TRIM(SUBSTITUTE(SUBSTITUTE(SUBSTITUTE(SUBSTITUTE(SUBSTITUTE(SUBSTITUTE(UPPER(IFERROR(INDEX('Base de Personas'!$H7:H21,MATCH($A225,'Base de Personas'!$B7:B21,0)),IFERROR(INDEX($G$5:G224,MATCH($A225,$A$5:A224,0)),""))),"Á","A"),"É","E"),"Í","I"),"Ó","O"),"Ú","U"),"Ü","U")))</f>
        <v/>
      </c>
      <c r="H225" s="38" t="str">
        <f aca="false">IF($A225="","",IFERROR(INDEX('Base de Personas'!$I$7:$I$21,MATCH($A225,'Base de Personas'!$B$7:$B$21,0)),IFERROR(INDEX($H$5:H224,MATCH($A225,$A$5:A224,0)),"")))</f>
        <v/>
      </c>
      <c r="I225" s="39"/>
      <c r="J225" s="40"/>
      <c r="K225" s="40"/>
      <c r="L225" s="39"/>
      <c r="M225" s="41" t="str">
        <f aca="false">IF($A225="","",IF(K225=_xlfn.MAXIFS($K$5:$K$304,$A$5:$A$304,$A225),1,0))</f>
        <v/>
      </c>
      <c r="N225" s="41" t="str">
        <f aca="false">IF($A225="","",IF(M225=1,$A225&amp;"-ACT",""))</f>
        <v/>
      </c>
      <c r="O225" s="41" t="str">
        <f aca="false">IF($A225="","",IF(AND(COUNTIF('Base de Personas'!$B$7:$B$21,$A225)=0,COUNTIF($A$5:A225,$A225)=1),1,0))</f>
        <v/>
      </c>
      <c r="P225" s="41" t="str">
        <f aca="false">IF(O225=1,SUM($O$5:O225),"")</f>
        <v/>
      </c>
    </row>
    <row r="226" customFormat="false" ht="15" hidden="false" customHeight="false" outlineLevel="0" collapsed="false">
      <c r="A226" s="35"/>
      <c r="B226" s="36" t="str">
        <f aca="false">IF($A226="","",TRIM(SUBSTITUTE(SUBSTITUTE(SUBSTITUTE(SUBSTITUTE(SUBSTITUTE(SUBSTITUTE(UPPER(IFERROR(INDEX('Base de Personas'!$C7:C21,MATCH($A226,'Base de Personas'!$B7:B21,0)),IFERROR(INDEX($B$5:B225,MATCH($A226,$A$5:A225,0)),""))),"Á","A"),"É","E"),"Í","I"),"Ó","O"),"Ú","U"),"Ü","U")))</f>
        <v/>
      </c>
      <c r="C226" s="37" t="str">
        <f aca="false">IF($A226="","",TRIM(SUBSTITUTE(SUBSTITUTE(SUBSTITUTE(SUBSTITUTE(SUBSTITUTE(SUBSTITUTE(UPPER(IFERROR(INDEX('Base de Personas'!$D7:D21,MATCH($A226,'Base de Personas'!$B7:B21,0)),IFERROR(INDEX($C$5:C225,MATCH($A226,$A$5:A225,0)),""))),"Á","A"),"É","E"),"Í","I"),"Ó","O"),"Ú","U"),"Ü","U")))</f>
        <v/>
      </c>
      <c r="D226" s="36" t="str">
        <f aca="false">IF($A226="","",TRIM(SUBSTITUTE(SUBSTITUTE(SUBSTITUTE(SUBSTITUTE(SUBSTITUTE(SUBSTITUTE(UPPER(IFERROR(INDEX('Base de Personas'!$E7:E21,MATCH($A226,'Base de Personas'!$B7:B21,0)),IFERROR(INDEX($D$5:D225,MATCH($A226,$A$5:A225,0)),""))),"Á","A"),"É","E"),"Í","I"),"Ó","O"),"Ú","U"),"Ü","U")))</f>
        <v/>
      </c>
      <c r="E226" s="36" t="str">
        <f aca="false">IF($A226="","",TRIM(SUBSTITUTE(SUBSTITUTE(SUBSTITUTE(SUBSTITUTE(SUBSTITUTE(SUBSTITUTE(UPPER(IFERROR(INDEX('Base de Personas'!$F7:F21,MATCH($A226,'Base de Personas'!$B7:B21,0)),IFERROR(INDEX($E$5:E225,MATCH($A226,$A$5:A225,0)),""))),"Á","A"),"É","E"),"Í","I"),"Ó","O"),"Ú","U"),"Ü","U")))</f>
        <v/>
      </c>
      <c r="F226" s="36" t="str">
        <f aca="false">IF($A226="","",TRIM(SUBSTITUTE(SUBSTITUTE(SUBSTITUTE(SUBSTITUTE(SUBSTITUTE(SUBSTITUTE(UPPER(IFERROR(INDEX('Base de Personas'!$G7:G21,MATCH($A226,'Base de Personas'!$B7:B21,0)),IFERROR(INDEX($F$5:F225,MATCH($A226,$A$5:A225,0)),""))),"Á","A"),"É","E"),"Í","I"),"Ó","O"),"Ú","U"),"Ü","U")))</f>
        <v/>
      </c>
      <c r="G226" s="37" t="str">
        <f aca="false">IF($A226="","",TRIM(SUBSTITUTE(SUBSTITUTE(SUBSTITUTE(SUBSTITUTE(SUBSTITUTE(SUBSTITUTE(UPPER(IFERROR(INDEX('Base de Personas'!$H7:H21,MATCH($A226,'Base de Personas'!$B7:B21,0)),IFERROR(INDEX($G$5:G225,MATCH($A226,$A$5:A225,0)),""))),"Á","A"),"É","E"),"Í","I"),"Ó","O"),"Ú","U"),"Ü","U")))</f>
        <v/>
      </c>
      <c r="H226" s="38" t="str">
        <f aca="false">IF($A226="","",IFERROR(INDEX('Base de Personas'!$I$7:$I$21,MATCH($A226,'Base de Personas'!$B$7:$B$21,0)),IFERROR(INDEX($H$5:H225,MATCH($A226,$A$5:A225,0)),"")))</f>
        <v/>
      </c>
      <c r="I226" s="39"/>
      <c r="J226" s="40"/>
      <c r="K226" s="40"/>
      <c r="L226" s="39"/>
      <c r="M226" s="41" t="str">
        <f aca="false">IF($A226="","",IF(K226=_xlfn.MAXIFS($K$5:$K$304,$A$5:$A$304,$A226),1,0))</f>
        <v/>
      </c>
      <c r="N226" s="41" t="str">
        <f aca="false">IF($A226="","",IF(M226=1,$A226&amp;"-ACT",""))</f>
        <v/>
      </c>
      <c r="O226" s="41" t="str">
        <f aca="false">IF($A226="","",IF(AND(COUNTIF('Base de Personas'!$B$7:$B$21,$A226)=0,COUNTIF($A$5:A226,$A226)=1),1,0))</f>
        <v/>
      </c>
      <c r="P226" s="41" t="str">
        <f aca="false">IF(O226=1,SUM($O$5:O226),"")</f>
        <v/>
      </c>
    </row>
    <row r="227" customFormat="false" ht="15" hidden="false" customHeight="false" outlineLevel="0" collapsed="false">
      <c r="A227" s="35"/>
      <c r="B227" s="36" t="str">
        <f aca="false">IF($A227="","",TRIM(SUBSTITUTE(SUBSTITUTE(SUBSTITUTE(SUBSTITUTE(SUBSTITUTE(SUBSTITUTE(UPPER(IFERROR(INDEX('Base de Personas'!$C7:C21,MATCH($A227,'Base de Personas'!$B7:B21,0)),IFERROR(INDEX($B$5:B226,MATCH($A227,$A$5:A226,0)),""))),"Á","A"),"É","E"),"Í","I"),"Ó","O"),"Ú","U"),"Ü","U")))</f>
        <v/>
      </c>
      <c r="C227" s="37" t="str">
        <f aca="false">IF($A227="","",TRIM(SUBSTITUTE(SUBSTITUTE(SUBSTITUTE(SUBSTITUTE(SUBSTITUTE(SUBSTITUTE(UPPER(IFERROR(INDEX('Base de Personas'!$D7:D21,MATCH($A227,'Base de Personas'!$B7:B21,0)),IFERROR(INDEX($C$5:C226,MATCH($A227,$A$5:A226,0)),""))),"Á","A"),"É","E"),"Í","I"),"Ó","O"),"Ú","U"),"Ü","U")))</f>
        <v/>
      </c>
      <c r="D227" s="36" t="str">
        <f aca="false">IF($A227="","",TRIM(SUBSTITUTE(SUBSTITUTE(SUBSTITUTE(SUBSTITUTE(SUBSTITUTE(SUBSTITUTE(UPPER(IFERROR(INDEX('Base de Personas'!$E7:E21,MATCH($A227,'Base de Personas'!$B7:B21,0)),IFERROR(INDEX($D$5:D226,MATCH($A227,$A$5:A226,0)),""))),"Á","A"),"É","E"),"Í","I"),"Ó","O"),"Ú","U"),"Ü","U")))</f>
        <v/>
      </c>
      <c r="E227" s="36" t="str">
        <f aca="false">IF($A227="","",TRIM(SUBSTITUTE(SUBSTITUTE(SUBSTITUTE(SUBSTITUTE(SUBSTITUTE(SUBSTITUTE(UPPER(IFERROR(INDEX('Base de Personas'!$F7:F21,MATCH($A227,'Base de Personas'!$B7:B21,0)),IFERROR(INDEX($E$5:E226,MATCH($A227,$A$5:A226,0)),""))),"Á","A"),"É","E"),"Í","I"),"Ó","O"),"Ú","U"),"Ü","U")))</f>
        <v/>
      </c>
      <c r="F227" s="36" t="str">
        <f aca="false">IF($A227="","",TRIM(SUBSTITUTE(SUBSTITUTE(SUBSTITUTE(SUBSTITUTE(SUBSTITUTE(SUBSTITUTE(UPPER(IFERROR(INDEX('Base de Personas'!$G7:G21,MATCH($A227,'Base de Personas'!$B7:B21,0)),IFERROR(INDEX($F$5:F226,MATCH($A227,$A$5:A226,0)),""))),"Á","A"),"É","E"),"Í","I"),"Ó","O"),"Ú","U"),"Ü","U")))</f>
        <v/>
      </c>
      <c r="G227" s="37" t="str">
        <f aca="false">IF($A227="","",TRIM(SUBSTITUTE(SUBSTITUTE(SUBSTITUTE(SUBSTITUTE(SUBSTITUTE(SUBSTITUTE(UPPER(IFERROR(INDEX('Base de Personas'!$H7:H21,MATCH($A227,'Base de Personas'!$B7:B21,0)),IFERROR(INDEX($G$5:G226,MATCH($A227,$A$5:A226,0)),""))),"Á","A"),"É","E"),"Í","I"),"Ó","O"),"Ú","U"),"Ü","U")))</f>
        <v/>
      </c>
      <c r="H227" s="38" t="str">
        <f aca="false">IF($A227="","",IFERROR(INDEX('Base de Personas'!$I$7:$I$21,MATCH($A227,'Base de Personas'!$B$7:$B$21,0)),IFERROR(INDEX($H$5:H226,MATCH($A227,$A$5:A226,0)),"")))</f>
        <v/>
      </c>
      <c r="I227" s="39"/>
      <c r="J227" s="40"/>
      <c r="K227" s="40"/>
      <c r="L227" s="39"/>
      <c r="M227" s="41" t="str">
        <f aca="false">IF($A227="","",IF(K227=_xlfn.MAXIFS($K$5:$K$304,$A$5:$A$304,$A227),1,0))</f>
        <v/>
      </c>
      <c r="N227" s="41" t="str">
        <f aca="false">IF($A227="","",IF(M227=1,$A227&amp;"-ACT",""))</f>
        <v/>
      </c>
      <c r="O227" s="41" t="str">
        <f aca="false">IF($A227="","",IF(AND(COUNTIF('Base de Personas'!$B$7:$B$21,$A227)=0,COUNTIF($A$5:A227,$A227)=1),1,0))</f>
        <v/>
      </c>
      <c r="P227" s="41" t="str">
        <f aca="false">IF(O227=1,SUM($O$5:O227),"")</f>
        <v/>
      </c>
    </row>
    <row r="228" customFormat="false" ht="15" hidden="false" customHeight="false" outlineLevel="0" collapsed="false">
      <c r="A228" s="35"/>
      <c r="B228" s="36" t="str">
        <f aca="false">IF($A228="","",TRIM(SUBSTITUTE(SUBSTITUTE(SUBSTITUTE(SUBSTITUTE(SUBSTITUTE(SUBSTITUTE(UPPER(IFERROR(INDEX('Base de Personas'!$C7:C21,MATCH($A228,'Base de Personas'!$B7:B21,0)),IFERROR(INDEX($B$5:B227,MATCH($A228,$A$5:A227,0)),""))),"Á","A"),"É","E"),"Í","I"),"Ó","O"),"Ú","U"),"Ü","U")))</f>
        <v/>
      </c>
      <c r="C228" s="37" t="str">
        <f aca="false">IF($A228="","",TRIM(SUBSTITUTE(SUBSTITUTE(SUBSTITUTE(SUBSTITUTE(SUBSTITUTE(SUBSTITUTE(UPPER(IFERROR(INDEX('Base de Personas'!$D7:D21,MATCH($A228,'Base de Personas'!$B7:B21,0)),IFERROR(INDEX($C$5:C227,MATCH($A228,$A$5:A227,0)),""))),"Á","A"),"É","E"),"Í","I"),"Ó","O"),"Ú","U"),"Ü","U")))</f>
        <v/>
      </c>
      <c r="D228" s="36" t="str">
        <f aca="false">IF($A228="","",TRIM(SUBSTITUTE(SUBSTITUTE(SUBSTITUTE(SUBSTITUTE(SUBSTITUTE(SUBSTITUTE(UPPER(IFERROR(INDEX('Base de Personas'!$E7:E21,MATCH($A228,'Base de Personas'!$B7:B21,0)),IFERROR(INDEX($D$5:D227,MATCH($A228,$A$5:A227,0)),""))),"Á","A"),"É","E"),"Í","I"),"Ó","O"),"Ú","U"),"Ü","U")))</f>
        <v/>
      </c>
      <c r="E228" s="36" t="str">
        <f aca="false">IF($A228="","",TRIM(SUBSTITUTE(SUBSTITUTE(SUBSTITUTE(SUBSTITUTE(SUBSTITUTE(SUBSTITUTE(UPPER(IFERROR(INDEX('Base de Personas'!$F7:F21,MATCH($A228,'Base de Personas'!$B7:B21,0)),IFERROR(INDEX($E$5:E227,MATCH($A228,$A$5:A227,0)),""))),"Á","A"),"É","E"),"Í","I"),"Ó","O"),"Ú","U"),"Ü","U")))</f>
        <v/>
      </c>
      <c r="F228" s="36" t="str">
        <f aca="false">IF($A228="","",TRIM(SUBSTITUTE(SUBSTITUTE(SUBSTITUTE(SUBSTITUTE(SUBSTITUTE(SUBSTITUTE(UPPER(IFERROR(INDEX('Base de Personas'!$G7:G21,MATCH($A228,'Base de Personas'!$B7:B21,0)),IFERROR(INDEX($F$5:F227,MATCH($A228,$A$5:A227,0)),""))),"Á","A"),"É","E"),"Í","I"),"Ó","O"),"Ú","U"),"Ü","U")))</f>
        <v/>
      </c>
      <c r="G228" s="37" t="str">
        <f aca="false">IF($A228="","",TRIM(SUBSTITUTE(SUBSTITUTE(SUBSTITUTE(SUBSTITUTE(SUBSTITUTE(SUBSTITUTE(UPPER(IFERROR(INDEX('Base de Personas'!$H7:H21,MATCH($A228,'Base de Personas'!$B7:B21,0)),IFERROR(INDEX($G$5:G227,MATCH($A228,$A$5:A227,0)),""))),"Á","A"),"É","E"),"Í","I"),"Ó","O"),"Ú","U"),"Ü","U")))</f>
        <v/>
      </c>
      <c r="H228" s="38" t="str">
        <f aca="false">IF($A228="","",IFERROR(INDEX('Base de Personas'!$I$7:$I$21,MATCH($A228,'Base de Personas'!$B$7:$B$21,0)),IFERROR(INDEX($H$5:H227,MATCH($A228,$A$5:A227,0)),"")))</f>
        <v/>
      </c>
      <c r="I228" s="39"/>
      <c r="J228" s="40"/>
      <c r="K228" s="40"/>
      <c r="L228" s="39"/>
      <c r="M228" s="41" t="str">
        <f aca="false">IF($A228="","",IF(K228=_xlfn.MAXIFS($K$5:$K$304,$A$5:$A$304,$A228),1,0))</f>
        <v/>
      </c>
      <c r="N228" s="41" t="str">
        <f aca="false">IF($A228="","",IF(M228=1,$A228&amp;"-ACT",""))</f>
        <v/>
      </c>
      <c r="O228" s="41" t="str">
        <f aca="false">IF($A228="","",IF(AND(COUNTIF('Base de Personas'!$B$7:$B$21,$A228)=0,COUNTIF($A$5:A228,$A228)=1),1,0))</f>
        <v/>
      </c>
      <c r="P228" s="41" t="str">
        <f aca="false">IF(O228=1,SUM($O$5:O228),"")</f>
        <v/>
      </c>
    </row>
    <row r="229" customFormat="false" ht="15" hidden="false" customHeight="false" outlineLevel="0" collapsed="false">
      <c r="A229" s="35"/>
      <c r="B229" s="36" t="str">
        <f aca="false">IF($A229="","",TRIM(SUBSTITUTE(SUBSTITUTE(SUBSTITUTE(SUBSTITUTE(SUBSTITUTE(SUBSTITUTE(UPPER(IFERROR(INDEX('Base de Personas'!$C7:C21,MATCH($A229,'Base de Personas'!$B7:B21,0)),IFERROR(INDEX($B$5:B228,MATCH($A229,$A$5:A228,0)),""))),"Á","A"),"É","E"),"Í","I"),"Ó","O"),"Ú","U"),"Ü","U")))</f>
        <v/>
      </c>
      <c r="C229" s="37" t="str">
        <f aca="false">IF($A229="","",TRIM(SUBSTITUTE(SUBSTITUTE(SUBSTITUTE(SUBSTITUTE(SUBSTITUTE(SUBSTITUTE(UPPER(IFERROR(INDEX('Base de Personas'!$D7:D21,MATCH($A229,'Base de Personas'!$B7:B21,0)),IFERROR(INDEX($C$5:C228,MATCH($A229,$A$5:A228,0)),""))),"Á","A"),"É","E"),"Í","I"),"Ó","O"),"Ú","U"),"Ü","U")))</f>
        <v/>
      </c>
      <c r="D229" s="36" t="str">
        <f aca="false">IF($A229="","",TRIM(SUBSTITUTE(SUBSTITUTE(SUBSTITUTE(SUBSTITUTE(SUBSTITUTE(SUBSTITUTE(UPPER(IFERROR(INDEX('Base de Personas'!$E7:E21,MATCH($A229,'Base de Personas'!$B7:B21,0)),IFERROR(INDEX($D$5:D228,MATCH($A229,$A$5:A228,0)),""))),"Á","A"),"É","E"),"Í","I"),"Ó","O"),"Ú","U"),"Ü","U")))</f>
        <v/>
      </c>
      <c r="E229" s="36" t="str">
        <f aca="false">IF($A229="","",TRIM(SUBSTITUTE(SUBSTITUTE(SUBSTITUTE(SUBSTITUTE(SUBSTITUTE(SUBSTITUTE(UPPER(IFERROR(INDEX('Base de Personas'!$F7:F21,MATCH($A229,'Base de Personas'!$B7:B21,0)),IFERROR(INDEX($E$5:E228,MATCH($A229,$A$5:A228,0)),""))),"Á","A"),"É","E"),"Í","I"),"Ó","O"),"Ú","U"),"Ü","U")))</f>
        <v/>
      </c>
      <c r="F229" s="36" t="str">
        <f aca="false">IF($A229="","",TRIM(SUBSTITUTE(SUBSTITUTE(SUBSTITUTE(SUBSTITUTE(SUBSTITUTE(SUBSTITUTE(UPPER(IFERROR(INDEX('Base de Personas'!$G7:G21,MATCH($A229,'Base de Personas'!$B7:B21,0)),IFERROR(INDEX($F$5:F228,MATCH($A229,$A$5:A228,0)),""))),"Á","A"),"É","E"),"Í","I"),"Ó","O"),"Ú","U"),"Ü","U")))</f>
        <v/>
      </c>
      <c r="G229" s="37" t="str">
        <f aca="false">IF($A229="","",TRIM(SUBSTITUTE(SUBSTITUTE(SUBSTITUTE(SUBSTITUTE(SUBSTITUTE(SUBSTITUTE(UPPER(IFERROR(INDEX('Base de Personas'!$H7:H21,MATCH($A229,'Base de Personas'!$B7:B21,0)),IFERROR(INDEX($G$5:G228,MATCH($A229,$A$5:A228,0)),""))),"Á","A"),"É","E"),"Í","I"),"Ó","O"),"Ú","U"),"Ü","U")))</f>
        <v/>
      </c>
      <c r="H229" s="38" t="str">
        <f aca="false">IF($A229="","",IFERROR(INDEX('Base de Personas'!$I$7:$I$21,MATCH($A229,'Base de Personas'!$B$7:$B$21,0)),IFERROR(INDEX($H$5:H228,MATCH($A229,$A$5:A228,0)),"")))</f>
        <v/>
      </c>
      <c r="I229" s="39"/>
      <c r="J229" s="40"/>
      <c r="K229" s="40"/>
      <c r="L229" s="39"/>
      <c r="M229" s="41" t="str">
        <f aca="false">IF($A229="","",IF(K229=_xlfn.MAXIFS($K$5:$K$304,$A$5:$A$304,$A229),1,0))</f>
        <v/>
      </c>
      <c r="N229" s="41" t="str">
        <f aca="false">IF($A229="","",IF(M229=1,$A229&amp;"-ACT",""))</f>
        <v/>
      </c>
      <c r="O229" s="41" t="str">
        <f aca="false">IF($A229="","",IF(AND(COUNTIF('Base de Personas'!$B$7:$B$21,$A229)=0,COUNTIF($A$5:A229,$A229)=1),1,0))</f>
        <v/>
      </c>
      <c r="P229" s="41" t="str">
        <f aca="false">IF(O229=1,SUM($O$5:O229),"")</f>
        <v/>
      </c>
    </row>
    <row r="230" customFormat="false" ht="15" hidden="false" customHeight="false" outlineLevel="0" collapsed="false">
      <c r="A230" s="35"/>
      <c r="B230" s="36" t="str">
        <f aca="false">IF($A230="","",TRIM(SUBSTITUTE(SUBSTITUTE(SUBSTITUTE(SUBSTITUTE(SUBSTITUTE(SUBSTITUTE(UPPER(IFERROR(INDEX('Base de Personas'!$C7:C21,MATCH($A230,'Base de Personas'!$B7:B21,0)),IFERROR(INDEX($B$5:B229,MATCH($A230,$A$5:A229,0)),""))),"Á","A"),"É","E"),"Í","I"),"Ó","O"),"Ú","U"),"Ü","U")))</f>
        <v/>
      </c>
      <c r="C230" s="37" t="str">
        <f aca="false">IF($A230="","",TRIM(SUBSTITUTE(SUBSTITUTE(SUBSTITUTE(SUBSTITUTE(SUBSTITUTE(SUBSTITUTE(UPPER(IFERROR(INDEX('Base de Personas'!$D7:D21,MATCH($A230,'Base de Personas'!$B7:B21,0)),IFERROR(INDEX($C$5:C229,MATCH($A230,$A$5:A229,0)),""))),"Á","A"),"É","E"),"Í","I"),"Ó","O"),"Ú","U"),"Ü","U")))</f>
        <v/>
      </c>
      <c r="D230" s="36" t="str">
        <f aca="false">IF($A230="","",TRIM(SUBSTITUTE(SUBSTITUTE(SUBSTITUTE(SUBSTITUTE(SUBSTITUTE(SUBSTITUTE(UPPER(IFERROR(INDEX('Base de Personas'!$E7:E21,MATCH($A230,'Base de Personas'!$B7:B21,0)),IFERROR(INDEX($D$5:D229,MATCH($A230,$A$5:A229,0)),""))),"Á","A"),"É","E"),"Í","I"),"Ó","O"),"Ú","U"),"Ü","U")))</f>
        <v/>
      </c>
      <c r="E230" s="36" t="str">
        <f aca="false">IF($A230="","",TRIM(SUBSTITUTE(SUBSTITUTE(SUBSTITUTE(SUBSTITUTE(SUBSTITUTE(SUBSTITUTE(UPPER(IFERROR(INDEX('Base de Personas'!$F7:F21,MATCH($A230,'Base de Personas'!$B7:B21,0)),IFERROR(INDEX($E$5:E229,MATCH($A230,$A$5:A229,0)),""))),"Á","A"),"É","E"),"Í","I"),"Ó","O"),"Ú","U"),"Ü","U")))</f>
        <v/>
      </c>
      <c r="F230" s="36" t="str">
        <f aca="false">IF($A230="","",TRIM(SUBSTITUTE(SUBSTITUTE(SUBSTITUTE(SUBSTITUTE(SUBSTITUTE(SUBSTITUTE(UPPER(IFERROR(INDEX('Base de Personas'!$G7:G21,MATCH($A230,'Base de Personas'!$B7:B21,0)),IFERROR(INDEX($F$5:F229,MATCH($A230,$A$5:A229,0)),""))),"Á","A"),"É","E"),"Í","I"),"Ó","O"),"Ú","U"),"Ü","U")))</f>
        <v/>
      </c>
      <c r="G230" s="37" t="str">
        <f aca="false">IF($A230="","",TRIM(SUBSTITUTE(SUBSTITUTE(SUBSTITUTE(SUBSTITUTE(SUBSTITUTE(SUBSTITUTE(UPPER(IFERROR(INDEX('Base de Personas'!$H7:H21,MATCH($A230,'Base de Personas'!$B7:B21,0)),IFERROR(INDEX($G$5:G229,MATCH($A230,$A$5:A229,0)),""))),"Á","A"),"É","E"),"Í","I"),"Ó","O"),"Ú","U"),"Ü","U")))</f>
        <v/>
      </c>
      <c r="H230" s="38" t="str">
        <f aca="false">IF($A230="","",IFERROR(INDEX('Base de Personas'!$I$7:$I$21,MATCH($A230,'Base de Personas'!$B$7:$B$21,0)),IFERROR(INDEX($H$5:H229,MATCH($A230,$A$5:A229,0)),"")))</f>
        <v/>
      </c>
      <c r="I230" s="39"/>
      <c r="J230" s="40"/>
      <c r="K230" s="40"/>
      <c r="L230" s="39"/>
      <c r="M230" s="41" t="str">
        <f aca="false">IF($A230="","",IF(K230=_xlfn.MAXIFS($K$5:$K$304,$A$5:$A$304,$A230),1,0))</f>
        <v/>
      </c>
      <c r="N230" s="41" t="str">
        <f aca="false">IF($A230="","",IF(M230=1,$A230&amp;"-ACT",""))</f>
        <v/>
      </c>
      <c r="O230" s="41" t="str">
        <f aca="false">IF($A230="","",IF(AND(COUNTIF('Base de Personas'!$B$7:$B$21,$A230)=0,COUNTIF($A$5:A230,$A230)=1),1,0))</f>
        <v/>
      </c>
      <c r="P230" s="41" t="str">
        <f aca="false">IF(O230=1,SUM($O$5:O230),"")</f>
        <v/>
      </c>
    </row>
    <row r="231" customFormat="false" ht="15" hidden="false" customHeight="false" outlineLevel="0" collapsed="false">
      <c r="A231" s="35"/>
      <c r="B231" s="36" t="str">
        <f aca="false">IF($A231="","",TRIM(SUBSTITUTE(SUBSTITUTE(SUBSTITUTE(SUBSTITUTE(SUBSTITUTE(SUBSTITUTE(UPPER(IFERROR(INDEX('Base de Personas'!$C7:C21,MATCH($A231,'Base de Personas'!$B7:B21,0)),IFERROR(INDEX($B$5:B230,MATCH($A231,$A$5:A230,0)),""))),"Á","A"),"É","E"),"Í","I"),"Ó","O"),"Ú","U"),"Ü","U")))</f>
        <v/>
      </c>
      <c r="C231" s="37" t="str">
        <f aca="false">IF($A231="","",TRIM(SUBSTITUTE(SUBSTITUTE(SUBSTITUTE(SUBSTITUTE(SUBSTITUTE(SUBSTITUTE(UPPER(IFERROR(INDEX('Base de Personas'!$D7:D21,MATCH($A231,'Base de Personas'!$B7:B21,0)),IFERROR(INDEX($C$5:C230,MATCH($A231,$A$5:A230,0)),""))),"Á","A"),"É","E"),"Í","I"),"Ó","O"),"Ú","U"),"Ü","U")))</f>
        <v/>
      </c>
      <c r="D231" s="36" t="str">
        <f aca="false">IF($A231="","",TRIM(SUBSTITUTE(SUBSTITUTE(SUBSTITUTE(SUBSTITUTE(SUBSTITUTE(SUBSTITUTE(UPPER(IFERROR(INDEX('Base de Personas'!$E7:E21,MATCH($A231,'Base de Personas'!$B7:B21,0)),IFERROR(INDEX($D$5:D230,MATCH($A231,$A$5:A230,0)),""))),"Á","A"),"É","E"),"Í","I"),"Ó","O"),"Ú","U"),"Ü","U")))</f>
        <v/>
      </c>
      <c r="E231" s="36" t="str">
        <f aca="false">IF($A231="","",TRIM(SUBSTITUTE(SUBSTITUTE(SUBSTITUTE(SUBSTITUTE(SUBSTITUTE(SUBSTITUTE(UPPER(IFERROR(INDEX('Base de Personas'!$F7:F21,MATCH($A231,'Base de Personas'!$B7:B21,0)),IFERROR(INDEX($E$5:E230,MATCH($A231,$A$5:A230,0)),""))),"Á","A"),"É","E"),"Í","I"),"Ó","O"),"Ú","U"),"Ü","U")))</f>
        <v/>
      </c>
      <c r="F231" s="36" t="str">
        <f aca="false">IF($A231="","",TRIM(SUBSTITUTE(SUBSTITUTE(SUBSTITUTE(SUBSTITUTE(SUBSTITUTE(SUBSTITUTE(UPPER(IFERROR(INDEX('Base de Personas'!$G7:G21,MATCH($A231,'Base de Personas'!$B7:B21,0)),IFERROR(INDEX($F$5:F230,MATCH($A231,$A$5:A230,0)),""))),"Á","A"),"É","E"),"Í","I"),"Ó","O"),"Ú","U"),"Ü","U")))</f>
        <v/>
      </c>
      <c r="G231" s="37" t="str">
        <f aca="false">IF($A231="","",TRIM(SUBSTITUTE(SUBSTITUTE(SUBSTITUTE(SUBSTITUTE(SUBSTITUTE(SUBSTITUTE(UPPER(IFERROR(INDEX('Base de Personas'!$H7:H21,MATCH($A231,'Base de Personas'!$B7:B21,0)),IFERROR(INDEX($G$5:G230,MATCH($A231,$A$5:A230,0)),""))),"Á","A"),"É","E"),"Í","I"),"Ó","O"),"Ú","U"),"Ü","U")))</f>
        <v/>
      </c>
      <c r="H231" s="38" t="str">
        <f aca="false">IF($A231="","",IFERROR(INDEX('Base de Personas'!$I$7:$I$21,MATCH($A231,'Base de Personas'!$B$7:$B$21,0)),IFERROR(INDEX($H$5:H230,MATCH($A231,$A$5:A230,0)),"")))</f>
        <v/>
      </c>
      <c r="I231" s="39"/>
      <c r="J231" s="40"/>
      <c r="K231" s="40"/>
      <c r="L231" s="39"/>
      <c r="M231" s="41" t="str">
        <f aca="false">IF($A231="","",IF(K231=_xlfn.MAXIFS($K$5:$K$304,$A$5:$A$304,$A231),1,0))</f>
        <v/>
      </c>
      <c r="N231" s="41" t="str">
        <f aca="false">IF($A231="","",IF(M231=1,$A231&amp;"-ACT",""))</f>
        <v/>
      </c>
      <c r="O231" s="41" t="str">
        <f aca="false">IF($A231="","",IF(AND(COUNTIF('Base de Personas'!$B$7:$B$21,$A231)=0,COUNTIF($A$5:A231,$A231)=1),1,0))</f>
        <v/>
      </c>
      <c r="P231" s="41" t="str">
        <f aca="false">IF(O231=1,SUM($O$5:O231),"")</f>
        <v/>
      </c>
    </row>
    <row r="232" customFormat="false" ht="15" hidden="false" customHeight="false" outlineLevel="0" collapsed="false">
      <c r="A232" s="35"/>
      <c r="B232" s="36" t="str">
        <f aca="false">IF($A232="","",TRIM(SUBSTITUTE(SUBSTITUTE(SUBSTITUTE(SUBSTITUTE(SUBSTITUTE(SUBSTITUTE(UPPER(IFERROR(INDEX('Base de Personas'!$C7:C21,MATCH($A232,'Base de Personas'!$B7:B21,0)),IFERROR(INDEX($B$5:B231,MATCH($A232,$A$5:A231,0)),""))),"Á","A"),"É","E"),"Í","I"),"Ó","O"),"Ú","U"),"Ü","U")))</f>
        <v/>
      </c>
      <c r="C232" s="37" t="str">
        <f aca="false">IF($A232="","",TRIM(SUBSTITUTE(SUBSTITUTE(SUBSTITUTE(SUBSTITUTE(SUBSTITUTE(SUBSTITUTE(UPPER(IFERROR(INDEX('Base de Personas'!$D7:D21,MATCH($A232,'Base de Personas'!$B7:B21,0)),IFERROR(INDEX($C$5:C231,MATCH($A232,$A$5:A231,0)),""))),"Á","A"),"É","E"),"Í","I"),"Ó","O"),"Ú","U"),"Ü","U")))</f>
        <v/>
      </c>
      <c r="D232" s="36" t="str">
        <f aca="false">IF($A232="","",TRIM(SUBSTITUTE(SUBSTITUTE(SUBSTITUTE(SUBSTITUTE(SUBSTITUTE(SUBSTITUTE(UPPER(IFERROR(INDEX('Base de Personas'!$E7:E21,MATCH($A232,'Base de Personas'!$B7:B21,0)),IFERROR(INDEX($D$5:D231,MATCH($A232,$A$5:A231,0)),""))),"Á","A"),"É","E"),"Í","I"),"Ó","O"),"Ú","U"),"Ü","U")))</f>
        <v/>
      </c>
      <c r="E232" s="36" t="str">
        <f aca="false">IF($A232="","",TRIM(SUBSTITUTE(SUBSTITUTE(SUBSTITUTE(SUBSTITUTE(SUBSTITUTE(SUBSTITUTE(UPPER(IFERROR(INDEX('Base de Personas'!$F7:F21,MATCH($A232,'Base de Personas'!$B7:B21,0)),IFERROR(INDEX($E$5:E231,MATCH($A232,$A$5:A231,0)),""))),"Á","A"),"É","E"),"Í","I"),"Ó","O"),"Ú","U"),"Ü","U")))</f>
        <v/>
      </c>
      <c r="F232" s="36" t="str">
        <f aca="false">IF($A232="","",TRIM(SUBSTITUTE(SUBSTITUTE(SUBSTITUTE(SUBSTITUTE(SUBSTITUTE(SUBSTITUTE(UPPER(IFERROR(INDEX('Base de Personas'!$G7:G21,MATCH($A232,'Base de Personas'!$B7:B21,0)),IFERROR(INDEX($F$5:F231,MATCH($A232,$A$5:A231,0)),""))),"Á","A"),"É","E"),"Í","I"),"Ó","O"),"Ú","U"),"Ü","U")))</f>
        <v/>
      </c>
      <c r="G232" s="37" t="str">
        <f aca="false">IF($A232="","",TRIM(SUBSTITUTE(SUBSTITUTE(SUBSTITUTE(SUBSTITUTE(SUBSTITUTE(SUBSTITUTE(UPPER(IFERROR(INDEX('Base de Personas'!$H7:H21,MATCH($A232,'Base de Personas'!$B7:B21,0)),IFERROR(INDEX($G$5:G231,MATCH($A232,$A$5:A231,0)),""))),"Á","A"),"É","E"),"Í","I"),"Ó","O"),"Ú","U"),"Ü","U")))</f>
        <v/>
      </c>
      <c r="H232" s="38" t="str">
        <f aca="false">IF($A232="","",IFERROR(INDEX('Base de Personas'!$I$7:$I$21,MATCH($A232,'Base de Personas'!$B$7:$B$21,0)),IFERROR(INDEX($H$5:H231,MATCH($A232,$A$5:A231,0)),"")))</f>
        <v/>
      </c>
      <c r="I232" s="39"/>
      <c r="J232" s="40"/>
      <c r="K232" s="40"/>
      <c r="L232" s="39"/>
      <c r="M232" s="41" t="str">
        <f aca="false">IF($A232="","",IF(K232=_xlfn.MAXIFS($K$5:$K$304,$A$5:$A$304,$A232),1,0))</f>
        <v/>
      </c>
      <c r="N232" s="41" t="str">
        <f aca="false">IF($A232="","",IF(M232=1,$A232&amp;"-ACT",""))</f>
        <v/>
      </c>
      <c r="O232" s="41" t="str">
        <f aca="false">IF($A232="","",IF(AND(COUNTIF('Base de Personas'!$B$7:$B$21,$A232)=0,COUNTIF($A$5:A232,$A232)=1),1,0))</f>
        <v/>
      </c>
      <c r="P232" s="41" t="str">
        <f aca="false">IF(O232=1,SUM($O$5:O232),"")</f>
        <v/>
      </c>
    </row>
    <row r="233" customFormat="false" ht="15" hidden="false" customHeight="false" outlineLevel="0" collapsed="false">
      <c r="A233" s="35"/>
      <c r="B233" s="36" t="str">
        <f aca="false">IF($A233="","",TRIM(SUBSTITUTE(SUBSTITUTE(SUBSTITUTE(SUBSTITUTE(SUBSTITUTE(SUBSTITUTE(UPPER(IFERROR(INDEX('Base de Personas'!$C7:C21,MATCH($A233,'Base de Personas'!$B7:B21,0)),IFERROR(INDEX($B$5:B232,MATCH($A233,$A$5:A232,0)),""))),"Á","A"),"É","E"),"Í","I"),"Ó","O"),"Ú","U"),"Ü","U")))</f>
        <v/>
      </c>
      <c r="C233" s="37" t="str">
        <f aca="false">IF($A233="","",TRIM(SUBSTITUTE(SUBSTITUTE(SUBSTITUTE(SUBSTITUTE(SUBSTITUTE(SUBSTITUTE(UPPER(IFERROR(INDEX('Base de Personas'!$D7:D21,MATCH($A233,'Base de Personas'!$B7:B21,0)),IFERROR(INDEX($C$5:C232,MATCH($A233,$A$5:A232,0)),""))),"Á","A"),"É","E"),"Í","I"),"Ó","O"),"Ú","U"),"Ü","U")))</f>
        <v/>
      </c>
      <c r="D233" s="36" t="str">
        <f aca="false">IF($A233="","",TRIM(SUBSTITUTE(SUBSTITUTE(SUBSTITUTE(SUBSTITUTE(SUBSTITUTE(SUBSTITUTE(UPPER(IFERROR(INDEX('Base de Personas'!$E7:E21,MATCH($A233,'Base de Personas'!$B7:B21,0)),IFERROR(INDEX($D$5:D232,MATCH($A233,$A$5:A232,0)),""))),"Á","A"),"É","E"),"Í","I"),"Ó","O"),"Ú","U"),"Ü","U")))</f>
        <v/>
      </c>
      <c r="E233" s="36" t="str">
        <f aca="false">IF($A233="","",TRIM(SUBSTITUTE(SUBSTITUTE(SUBSTITUTE(SUBSTITUTE(SUBSTITUTE(SUBSTITUTE(UPPER(IFERROR(INDEX('Base de Personas'!$F7:F21,MATCH($A233,'Base de Personas'!$B7:B21,0)),IFERROR(INDEX($E$5:E232,MATCH($A233,$A$5:A232,0)),""))),"Á","A"),"É","E"),"Í","I"),"Ó","O"),"Ú","U"),"Ü","U")))</f>
        <v/>
      </c>
      <c r="F233" s="36" t="str">
        <f aca="false">IF($A233="","",TRIM(SUBSTITUTE(SUBSTITUTE(SUBSTITUTE(SUBSTITUTE(SUBSTITUTE(SUBSTITUTE(UPPER(IFERROR(INDEX('Base de Personas'!$G7:G21,MATCH($A233,'Base de Personas'!$B7:B21,0)),IFERROR(INDEX($F$5:F232,MATCH($A233,$A$5:A232,0)),""))),"Á","A"),"É","E"),"Í","I"),"Ó","O"),"Ú","U"),"Ü","U")))</f>
        <v/>
      </c>
      <c r="G233" s="37" t="str">
        <f aca="false">IF($A233="","",TRIM(SUBSTITUTE(SUBSTITUTE(SUBSTITUTE(SUBSTITUTE(SUBSTITUTE(SUBSTITUTE(UPPER(IFERROR(INDEX('Base de Personas'!$H7:H21,MATCH($A233,'Base de Personas'!$B7:B21,0)),IFERROR(INDEX($G$5:G232,MATCH($A233,$A$5:A232,0)),""))),"Á","A"),"É","E"),"Í","I"),"Ó","O"),"Ú","U"),"Ü","U")))</f>
        <v/>
      </c>
      <c r="H233" s="38" t="str">
        <f aca="false">IF($A233="","",IFERROR(INDEX('Base de Personas'!$I$7:$I$21,MATCH($A233,'Base de Personas'!$B$7:$B$21,0)),IFERROR(INDEX($H$5:H232,MATCH($A233,$A$5:A232,0)),"")))</f>
        <v/>
      </c>
      <c r="I233" s="39"/>
      <c r="J233" s="40"/>
      <c r="K233" s="40"/>
      <c r="L233" s="39"/>
      <c r="M233" s="41" t="str">
        <f aca="false">IF($A233="","",IF(K233=_xlfn.MAXIFS($K$5:$K$304,$A$5:$A$304,$A233),1,0))</f>
        <v/>
      </c>
      <c r="N233" s="41" t="str">
        <f aca="false">IF($A233="","",IF(M233=1,$A233&amp;"-ACT",""))</f>
        <v/>
      </c>
      <c r="O233" s="41" t="str">
        <f aca="false">IF($A233="","",IF(AND(COUNTIF('Base de Personas'!$B$7:$B$21,$A233)=0,COUNTIF($A$5:A233,$A233)=1),1,0))</f>
        <v/>
      </c>
      <c r="P233" s="41" t="str">
        <f aca="false">IF(O233=1,SUM($O$5:O233),"")</f>
        <v/>
      </c>
    </row>
    <row r="234" customFormat="false" ht="15" hidden="false" customHeight="false" outlineLevel="0" collapsed="false">
      <c r="A234" s="35"/>
      <c r="B234" s="36" t="str">
        <f aca="false">IF($A234="","",TRIM(SUBSTITUTE(SUBSTITUTE(SUBSTITUTE(SUBSTITUTE(SUBSTITUTE(SUBSTITUTE(UPPER(IFERROR(INDEX('Base de Personas'!$C7:C21,MATCH($A234,'Base de Personas'!$B7:B21,0)),IFERROR(INDEX($B$5:B233,MATCH($A234,$A$5:A233,0)),""))),"Á","A"),"É","E"),"Í","I"),"Ó","O"),"Ú","U"),"Ü","U")))</f>
        <v/>
      </c>
      <c r="C234" s="37" t="str">
        <f aca="false">IF($A234="","",TRIM(SUBSTITUTE(SUBSTITUTE(SUBSTITUTE(SUBSTITUTE(SUBSTITUTE(SUBSTITUTE(UPPER(IFERROR(INDEX('Base de Personas'!$D7:D21,MATCH($A234,'Base de Personas'!$B7:B21,0)),IFERROR(INDEX($C$5:C233,MATCH($A234,$A$5:A233,0)),""))),"Á","A"),"É","E"),"Í","I"),"Ó","O"),"Ú","U"),"Ü","U")))</f>
        <v/>
      </c>
      <c r="D234" s="36" t="str">
        <f aca="false">IF($A234="","",TRIM(SUBSTITUTE(SUBSTITUTE(SUBSTITUTE(SUBSTITUTE(SUBSTITUTE(SUBSTITUTE(UPPER(IFERROR(INDEX('Base de Personas'!$E7:E21,MATCH($A234,'Base de Personas'!$B7:B21,0)),IFERROR(INDEX($D$5:D233,MATCH($A234,$A$5:A233,0)),""))),"Á","A"),"É","E"),"Í","I"),"Ó","O"),"Ú","U"),"Ü","U")))</f>
        <v/>
      </c>
      <c r="E234" s="36" t="str">
        <f aca="false">IF($A234="","",TRIM(SUBSTITUTE(SUBSTITUTE(SUBSTITUTE(SUBSTITUTE(SUBSTITUTE(SUBSTITUTE(UPPER(IFERROR(INDEX('Base de Personas'!$F7:F21,MATCH($A234,'Base de Personas'!$B7:B21,0)),IFERROR(INDEX($E$5:E233,MATCH($A234,$A$5:A233,0)),""))),"Á","A"),"É","E"),"Í","I"),"Ó","O"),"Ú","U"),"Ü","U")))</f>
        <v/>
      </c>
      <c r="F234" s="36" t="str">
        <f aca="false">IF($A234="","",TRIM(SUBSTITUTE(SUBSTITUTE(SUBSTITUTE(SUBSTITUTE(SUBSTITUTE(SUBSTITUTE(UPPER(IFERROR(INDEX('Base de Personas'!$G7:G21,MATCH($A234,'Base de Personas'!$B7:B21,0)),IFERROR(INDEX($F$5:F233,MATCH($A234,$A$5:A233,0)),""))),"Á","A"),"É","E"),"Í","I"),"Ó","O"),"Ú","U"),"Ü","U")))</f>
        <v/>
      </c>
      <c r="G234" s="37" t="str">
        <f aca="false">IF($A234="","",TRIM(SUBSTITUTE(SUBSTITUTE(SUBSTITUTE(SUBSTITUTE(SUBSTITUTE(SUBSTITUTE(UPPER(IFERROR(INDEX('Base de Personas'!$H7:H21,MATCH($A234,'Base de Personas'!$B7:B21,0)),IFERROR(INDEX($G$5:G233,MATCH($A234,$A$5:A233,0)),""))),"Á","A"),"É","E"),"Í","I"),"Ó","O"),"Ú","U"),"Ü","U")))</f>
        <v/>
      </c>
      <c r="H234" s="38" t="str">
        <f aca="false">IF($A234="","",IFERROR(INDEX('Base de Personas'!$I$7:$I$21,MATCH($A234,'Base de Personas'!$B$7:$B$21,0)),IFERROR(INDEX($H$5:H233,MATCH($A234,$A$5:A233,0)),"")))</f>
        <v/>
      </c>
      <c r="I234" s="39"/>
      <c r="J234" s="40"/>
      <c r="K234" s="40"/>
      <c r="L234" s="39"/>
      <c r="M234" s="41" t="str">
        <f aca="false">IF($A234="","",IF(K234=_xlfn.MAXIFS($K$5:$K$304,$A$5:$A$304,$A234),1,0))</f>
        <v/>
      </c>
      <c r="N234" s="41" t="str">
        <f aca="false">IF($A234="","",IF(M234=1,$A234&amp;"-ACT",""))</f>
        <v/>
      </c>
      <c r="O234" s="41" t="str">
        <f aca="false">IF($A234="","",IF(AND(COUNTIF('Base de Personas'!$B$7:$B$21,$A234)=0,COUNTIF($A$5:A234,$A234)=1),1,0))</f>
        <v/>
      </c>
      <c r="P234" s="41" t="str">
        <f aca="false">IF(O234=1,SUM($O$5:O234),"")</f>
        <v/>
      </c>
    </row>
    <row r="235" customFormat="false" ht="15" hidden="false" customHeight="false" outlineLevel="0" collapsed="false">
      <c r="A235" s="35"/>
      <c r="B235" s="36" t="str">
        <f aca="false">IF($A235="","",TRIM(SUBSTITUTE(SUBSTITUTE(SUBSTITUTE(SUBSTITUTE(SUBSTITUTE(SUBSTITUTE(UPPER(IFERROR(INDEX('Base de Personas'!$C7:C21,MATCH($A235,'Base de Personas'!$B7:B21,0)),IFERROR(INDEX($B$5:B234,MATCH($A235,$A$5:A234,0)),""))),"Á","A"),"É","E"),"Í","I"),"Ó","O"),"Ú","U"),"Ü","U")))</f>
        <v/>
      </c>
      <c r="C235" s="37" t="str">
        <f aca="false">IF($A235="","",TRIM(SUBSTITUTE(SUBSTITUTE(SUBSTITUTE(SUBSTITUTE(SUBSTITUTE(SUBSTITUTE(UPPER(IFERROR(INDEX('Base de Personas'!$D7:D21,MATCH($A235,'Base de Personas'!$B7:B21,0)),IFERROR(INDEX($C$5:C234,MATCH($A235,$A$5:A234,0)),""))),"Á","A"),"É","E"),"Í","I"),"Ó","O"),"Ú","U"),"Ü","U")))</f>
        <v/>
      </c>
      <c r="D235" s="36" t="str">
        <f aca="false">IF($A235="","",TRIM(SUBSTITUTE(SUBSTITUTE(SUBSTITUTE(SUBSTITUTE(SUBSTITUTE(SUBSTITUTE(UPPER(IFERROR(INDEX('Base de Personas'!$E7:E21,MATCH($A235,'Base de Personas'!$B7:B21,0)),IFERROR(INDEX($D$5:D234,MATCH($A235,$A$5:A234,0)),""))),"Á","A"),"É","E"),"Í","I"),"Ó","O"),"Ú","U"),"Ü","U")))</f>
        <v/>
      </c>
      <c r="E235" s="36" t="str">
        <f aca="false">IF($A235="","",TRIM(SUBSTITUTE(SUBSTITUTE(SUBSTITUTE(SUBSTITUTE(SUBSTITUTE(SUBSTITUTE(UPPER(IFERROR(INDEX('Base de Personas'!$F7:F21,MATCH($A235,'Base de Personas'!$B7:B21,0)),IFERROR(INDEX($E$5:E234,MATCH($A235,$A$5:A234,0)),""))),"Á","A"),"É","E"),"Í","I"),"Ó","O"),"Ú","U"),"Ü","U")))</f>
        <v/>
      </c>
      <c r="F235" s="36" t="str">
        <f aca="false">IF($A235="","",TRIM(SUBSTITUTE(SUBSTITUTE(SUBSTITUTE(SUBSTITUTE(SUBSTITUTE(SUBSTITUTE(UPPER(IFERROR(INDEX('Base de Personas'!$G7:G21,MATCH($A235,'Base de Personas'!$B7:B21,0)),IFERROR(INDEX($F$5:F234,MATCH($A235,$A$5:A234,0)),""))),"Á","A"),"É","E"),"Í","I"),"Ó","O"),"Ú","U"),"Ü","U")))</f>
        <v/>
      </c>
      <c r="G235" s="37" t="str">
        <f aca="false">IF($A235="","",TRIM(SUBSTITUTE(SUBSTITUTE(SUBSTITUTE(SUBSTITUTE(SUBSTITUTE(SUBSTITUTE(UPPER(IFERROR(INDEX('Base de Personas'!$H7:H21,MATCH($A235,'Base de Personas'!$B7:B21,0)),IFERROR(INDEX($G$5:G234,MATCH($A235,$A$5:A234,0)),""))),"Á","A"),"É","E"),"Í","I"),"Ó","O"),"Ú","U"),"Ü","U")))</f>
        <v/>
      </c>
      <c r="H235" s="38" t="str">
        <f aca="false">IF($A235="","",IFERROR(INDEX('Base de Personas'!$I$7:$I$21,MATCH($A235,'Base de Personas'!$B$7:$B$21,0)),IFERROR(INDEX($H$5:H234,MATCH($A235,$A$5:A234,0)),"")))</f>
        <v/>
      </c>
      <c r="I235" s="39"/>
      <c r="J235" s="40"/>
      <c r="K235" s="40"/>
      <c r="L235" s="39"/>
      <c r="M235" s="41" t="str">
        <f aca="false">IF($A235="","",IF(K235=_xlfn.MAXIFS($K$5:$K$304,$A$5:$A$304,$A235),1,0))</f>
        <v/>
      </c>
      <c r="N235" s="41" t="str">
        <f aca="false">IF($A235="","",IF(M235=1,$A235&amp;"-ACT",""))</f>
        <v/>
      </c>
      <c r="O235" s="41" t="str">
        <f aca="false">IF($A235="","",IF(AND(COUNTIF('Base de Personas'!$B$7:$B$21,$A235)=0,COUNTIF($A$5:A235,$A235)=1),1,0))</f>
        <v/>
      </c>
      <c r="P235" s="41" t="str">
        <f aca="false">IF(O235=1,SUM($O$5:O235),"")</f>
        <v/>
      </c>
    </row>
    <row r="236" customFormat="false" ht="15" hidden="false" customHeight="false" outlineLevel="0" collapsed="false">
      <c r="A236" s="35"/>
      <c r="B236" s="36" t="str">
        <f aca="false">IF($A236="","",TRIM(SUBSTITUTE(SUBSTITUTE(SUBSTITUTE(SUBSTITUTE(SUBSTITUTE(SUBSTITUTE(UPPER(IFERROR(INDEX('Base de Personas'!$C7:C21,MATCH($A236,'Base de Personas'!$B7:B21,0)),IFERROR(INDEX($B$5:B235,MATCH($A236,$A$5:A235,0)),""))),"Á","A"),"É","E"),"Í","I"),"Ó","O"),"Ú","U"),"Ü","U")))</f>
        <v/>
      </c>
      <c r="C236" s="37" t="str">
        <f aca="false">IF($A236="","",TRIM(SUBSTITUTE(SUBSTITUTE(SUBSTITUTE(SUBSTITUTE(SUBSTITUTE(SUBSTITUTE(UPPER(IFERROR(INDEX('Base de Personas'!$D7:D21,MATCH($A236,'Base de Personas'!$B7:B21,0)),IFERROR(INDEX($C$5:C235,MATCH($A236,$A$5:A235,0)),""))),"Á","A"),"É","E"),"Í","I"),"Ó","O"),"Ú","U"),"Ü","U")))</f>
        <v/>
      </c>
      <c r="D236" s="36" t="str">
        <f aca="false">IF($A236="","",TRIM(SUBSTITUTE(SUBSTITUTE(SUBSTITUTE(SUBSTITUTE(SUBSTITUTE(SUBSTITUTE(UPPER(IFERROR(INDEX('Base de Personas'!$E7:E21,MATCH($A236,'Base de Personas'!$B7:B21,0)),IFERROR(INDEX($D$5:D235,MATCH($A236,$A$5:A235,0)),""))),"Á","A"),"É","E"),"Í","I"),"Ó","O"),"Ú","U"),"Ü","U")))</f>
        <v/>
      </c>
      <c r="E236" s="36" t="str">
        <f aca="false">IF($A236="","",TRIM(SUBSTITUTE(SUBSTITUTE(SUBSTITUTE(SUBSTITUTE(SUBSTITUTE(SUBSTITUTE(UPPER(IFERROR(INDEX('Base de Personas'!$F7:F21,MATCH($A236,'Base de Personas'!$B7:B21,0)),IFERROR(INDEX($E$5:E235,MATCH($A236,$A$5:A235,0)),""))),"Á","A"),"É","E"),"Í","I"),"Ó","O"),"Ú","U"),"Ü","U")))</f>
        <v/>
      </c>
      <c r="F236" s="36" t="str">
        <f aca="false">IF($A236="","",TRIM(SUBSTITUTE(SUBSTITUTE(SUBSTITUTE(SUBSTITUTE(SUBSTITUTE(SUBSTITUTE(UPPER(IFERROR(INDEX('Base de Personas'!$G7:G21,MATCH($A236,'Base de Personas'!$B7:B21,0)),IFERROR(INDEX($F$5:F235,MATCH($A236,$A$5:A235,0)),""))),"Á","A"),"É","E"),"Í","I"),"Ó","O"),"Ú","U"),"Ü","U")))</f>
        <v/>
      </c>
      <c r="G236" s="37" t="str">
        <f aca="false">IF($A236="","",TRIM(SUBSTITUTE(SUBSTITUTE(SUBSTITUTE(SUBSTITUTE(SUBSTITUTE(SUBSTITUTE(UPPER(IFERROR(INDEX('Base de Personas'!$H7:H21,MATCH($A236,'Base de Personas'!$B7:B21,0)),IFERROR(INDEX($G$5:G235,MATCH($A236,$A$5:A235,0)),""))),"Á","A"),"É","E"),"Í","I"),"Ó","O"),"Ú","U"),"Ü","U")))</f>
        <v/>
      </c>
      <c r="H236" s="38" t="str">
        <f aca="false">IF($A236="","",IFERROR(INDEX('Base de Personas'!$I$7:$I$21,MATCH($A236,'Base de Personas'!$B$7:$B$21,0)),IFERROR(INDEX($H$5:H235,MATCH($A236,$A$5:A235,0)),"")))</f>
        <v/>
      </c>
      <c r="I236" s="39"/>
      <c r="J236" s="40"/>
      <c r="K236" s="40"/>
      <c r="L236" s="39"/>
      <c r="M236" s="41" t="str">
        <f aca="false">IF($A236="","",IF(K236=_xlfn.MAXIFS($K$5:$K$304,$A$5:$A$304,$A236),1,0))</f>
        <v/>
      </c>
      <c r="N236" s="41" t="str">
        <f aca="false">IF($A236="","",IF(M236=1,$A236&amp;"-ACT",""))</f>
        <v/>
      </c>
      <c r="O236" s="41" t="str">
        <f aca="false">IF($A236="","",IF(AND(COUNTIF('Base de Personas'!$B$7:$B$21,$A236)=0,COUNTIF($A$5:A236,$A236)=1),1,0))</f>
        <v/>
      </c>
      <c r="P236" s="41" t="str">
        <f aca="false">IF(O236=1,SUM($O$5:O236),"")</f>
        <v/>
      </c>
    </row>
    <row r="237" customFormat="false" ht="15" hidden="false" customHeight="false" outlineLevel="0" collapsed="false">
      <c r="A237" s="35"/>
      <c r="B237" s="36" t="str">
        <f aca="false">IF($A237="","",TRIM(SUBSTITUTE(SUBSTITUTE(SUBSTITUTE(SUBSTITUTE(SUBSTITUTE(SUBSTITUTE(UPPER(IFERROR(INDEX('Base de Personas'!$C7:C21,MATCH($A237,'Base de Personas'!$B7:B21,0)),IFERROR(INDEX($B$5:B236,MATCH($A237,$A$5:A236,0)),""))),"Á","A"),"É","E"),"Í","I"),"Ó","O"),"Ú","U"),"Ü","U")))</f>
        <v/>
      </c>
      <c r="C237" s="37" t="str">
        <f aca="false">IF($A237="","",TRIM(SUBSTITUTE(SUBSTITUTE(SUBSTITUTE(SUBSTITUTE(SUBSTITUTE(SUBSTITUTE(UPPER(IFERROR(INDEX('Base de Personas'!$D7:D21,MATCH($A237,'Base de Personas'!$B7:B21,0)),IFERROR(INDEX($C$5:C236,MATCH($A237,$A$5:A236,0)),""))),"Á","A"),"É","E"),"Í","I"),"Ó","O"),"Ú","U"),"Ü","U")))</f>
        <v/>
      </c>
      <c r="D237" s="36" t="str">
        <f aca="false">IF($A237="","",TRIM(SUBSTITUTE(SUBSTITUTE(SUBSTITUTE(SUBSTITUTE(SUBSTITUTE(SUBSTITUTE(UPPER(IFERROR(INDEX('Base de Personas'!$E7:E21,MATCH($A237,'Base de Personas'!$B7:B21,0)),IFERROR(INDEX($D$5:D236,MATCH($A237,$A$5:A236,0)),""))),"Á","A"),"É","E"),"Í","I"),"Ó","O"),"Ú","U"),"Ü","U")))</f>
        <v/>
      </c>
      <c r="E237" s="36" t="str">
        <f aca="false">IF($A237="","",TRIM(SUBSTITUTE(SUBSTITUTE(SUBSTITUTE(SUBSTITUTE(SUBSTITUTE(SUBSTITUTE(UPPER(IFERROR(INDEX('Base de Personas'!$F7:F21,MATCH($A237,'Base de Personas'!$B7:B21,0)),IFERROR(INDEX($E$5:E236,MATCH($A237,$A$5:A236,0)),""))),"Á","A"),"É","E"),"Í","I"),"Ó","O"),"Ú","U"),"Ü","U")))</f>
        <v/>
      </c>
      <c r="F237" s="36" t="str">
        <f aca="false">IF($A237="","",TRIM(SUBSTITUTE(SUBSTITUTE(SUBSTITUTE(SUBSTITUTE(SUBSTITUTE(SUBSTITUTE(UPPER(IFERROR(INDEX('Base de Personas'!$G7:G21,MATCH($A237,'Base de Personas'!$B7:B21,0)),IFERROR(INDEX($F$5:F236,MATCH($A237,$A$5:A236,0)),""))),"Á","A"),"É","E"),"Í","I"),"Ó","O"),"Ú","U"),"Ü","U")))</f>
        <v/>
      </c>
      <c r="G237" s="37" t="str">
        <f aca="false">IF($A237="","",TRIM(SUBSTITUTE(SUBSTITUTE(SUBSTITUTE(SUBSTITUTE(SUBSTITUTE(SUBSTITUTE(UPPER(IFERROR(INDEX('Base de Personas'!$H7:H21,MATCH($A237,'Base de Personas'!$B7:B21,0)),IFERROR(INDEX($G$5:G236,MATCH($A237,$A$5:A236,0)),""))),"Á","A"),"É","E"),"Í","I"),"Ó","O"),"Ú","U"),"Ü","U")))</f>
        <v/>
      </c>
      <c r="H237" s="38" t="str">
        <f aca="false">IF($A237="","",IFERROR(INDEX('Base de Personas'!$I$7:$I$21,MATCH($A237,'Base de Personas'!$B$7:$B$21,0)),IFERROR(INDEX($H$5:H236,MATCH($A237,$A$5:A236,0)),"")))</f>
        <v/>
      </c>
      <c r="I237" s="39"/>
      <c r="J237" s="40"/>
      <c r="K237" s="40"/>
      <c r="L237" s="39"/>
      <c r="M237" s="41" t="str">
        <f aca="false">IF($A237="","",IF(K237=_xlfn.MAXIFS($K$5:$K$304,$A$5:$A$304,$A237),1,0))</f>
        <v/>
      </c>
      <c r="N237" s="41" t="str">
        <f aca="false">IF($A237="","",IF(M237=1,$A237&amp;"-ACT",""))</f>
        <v/>
      </c>
      <c r="O237" s="41" t="str">
        <f aca="false">IF($A237="","",IF(AND(COUNTIF('Base de Personas'!$B$7:$B$21,$A237)=0,COUNTIF($A$5:A237,$A237)=1),1,0))</f>
        <v/>
      </c>
      <c r="P237" s="41" t="str">
        <f aca="false">IF(O237=1,SUM($O$5:O237),"")</f>
        <v/>
      </c>
    </row>
    <row r="238" customFormat="false" ht="15" hidden="false" customHeight="false" outlineLevel="0" collapsed="false">
      <c r="A238" s="35"/>
      <c r="B238" s="36" t="str">
        <f aca="false">IF($A238="","",TRIM(SUBSTITUTE(SUBSTITUTE(SUBSTITUTE(SUBSTITUTE(SUBSTITUTE(SUBSTITUTE(UPPER(IFERROR(INDEX('Base de Personas'!$C7:C21,MATCH($A238,'Base de Personas'!$B7:B21,0)),IFERROR(INDEX($B$5:B237,MATCH($A238,$A$5:A237,0)),""))),"Á","A"),"É","E"),"Í","I"),"Ó","O"),"Ú","U"),"Ü","U")))</f>
        <v/>
      </c>
      <c r="C238" s="37" t="str">
        <f aca="false">IF($A238="","",TRIM(SUBSTITUTE(SUBSTITUTE(SUBSTITUTE(SUBSTITUTE(SUBSTITUTE(SUBSTITUTE(UPPER(IFERROR(INDEX('Base de Personas'!$D7:D21,MATCH($A238,'Base de Personas'!$B7:B21,0)),IFERROR(INDEX($C$5:C237,MATCH($A238,$A$5:A237,0)),""))),"Á","A"),"É","E"),"Í","I"),"Ó","O"),"Ú","U"),"Ü","U")))</f>
        <v/>
      </c>
      <c r="D238" s="36" t="str">
        <f aca="false">IF($A238="","",TRIM(SUBSTITUTE(SUBSTITUTE(SUBSTITUTE(SUBSTITUTE(SUBSTITUTE(SUBSTITUTE(UPPER(IFERROR(INDEX('Base de Personas'!$E7:E21,MATCH($A238,'Base de Personas'!$B7:B21,0)),IFERROR(INDEX($D$5:D237,MATCH($A238,$A$5:A237,0)),""))),"Á","A"),"É","E"),"Í","I"),"Ó","O"),"Ú","U"),"Ü","U")))</f>
        <v/>
      </c>
      <c r="E238" s="36" t="str">
        <f aca="false">IF($A238="","",TRIM(SUBSTITUTE(SUBSTITUTE(SUBSTITUTE(SUBSTITUTE(SUBSTITUTE(SUBSTITUTE(UPPER(IFERROR(INDEX('Base de Personas'!$F7:F21,MATCH($A238,'Base de Personas'!$B7:B21,0)),IFERROR(INDEX($E$5:E237,MATCH($A238,$A$5:A237,0)),""))),"Á","A"),"É","E"),"Í","I"),"Ó","O"),"Ú","U"),"Ü","U")))</f>
        <v/>
      </c>
      <c r="F238" s="36" t="str">
        <f aca="false">IF($A238="","",TRIM(SUBSTITUTE(SUBSTITUTE(SUBSTITUTE(SUBSTITUTE(SUBSTITUTE(SUBSTITUTE(UPPER(IFERROR(INDEX('Base de Personas'!$G7:G21,MATCH($A238,'Base de Personas'!$B7:B21,0)),IFERROR(INDEX($F$5:F237,MATCH($A238,$A$5:A237,0)),""))),"Á","A"),"É","E"),"Í","I"),"Ó","O"),"Ú","U"),"Ü","U")))</f>
        <v/>
      </c>
      <c r="G238" s="37" t="str">
        <f aca="false">IF($A238="","",TRIM(SUBSTITUTE(SUBSTITUTE(SUBSTITUTE(SUBSTITUTE(SUBSTITUTE(SUBSTITUTE(UPPER(IFERROR(INDEX('Base de Personas'!$H7:H21,MATCH($A238,'Base de Personas'!$B7:B21,0)),IFERROR(INDEX($G$5:G237,MATCH($A238,$A$5:A237,0)),""))),"Á","A"),"É","E"),"Í","I"),"Ó","O"),"Ú","U"),"Ü","U")))</f>
        <v/>
      </c>
      <c r="H238" s="38" t="str">
        <f aca="false">IF($A238="","",IFERROR(INDEX('Base de Personas'!$I$7:$I$21,MATCH($A238,'Base de Personas'!$B$7:$B$21,0)),IFERROR(INDEX($H$5:H237,MATCH($A238,$A$5:A237,0)),"")))</f>
        <v/>
      </c>
      <c r="I238" s="39"/>
      <c r="J238" s="40"/>
      <c r="K238" s="40"/>
      <c r="L238" s="39"/>
      <c r="M238" s="41" t="str">
        <f aca="false">IF($A238="","",IF(K238=_xlfn.MAXIFS($K$5:$K$304,$A$5:$A$304,$A238),1,0))</f>
        <v/>
      </c>
      <c r="N238" s="41" t="str">
        <f aca="false">IF($A238="","",IF(M238=1,$A238&amp;"-ACT",""))</f>
        <v/>
      </c>
      <c r="O238" s="41" t="str">
        <f aca="false">IF($A238="","",IF(AND(COUNTIF('Base de Personas'!$B$7:$B$21,$A238)=0,COUNTIF($A$5:A238,$A238)=1),1,0))</f>
        <v/>
      </c>
      <c r="P238" s="41" t="str">
        <f aca="false">IF(O238=1,SUM($O$5:O238),"")</f>
        <v/>
      </c>
    </row>
    <row r="239" customFormat="false" ht="15" hidden="false" customHeight="false" outlineLevel="0" collapsed="false">
      <c r="A239" s="35"/>
      <c r="B239" s="36" t="str">
        <f aca="false">IF($A239="","",TRIM(SUBSTITUTE(SUBSTITUTE(SUBSTITUTE(SUBSTITUTE(SUBSTITUTE(SUBSTITUTE(UPPER(IFERROR(INDEX('Base de Personas'!$C7:C21,MATCH($A239,'Base de Personas'!$B7:B21,0)),IFERROR(INDEX($B$5:B238,MATCH($A239,$A$5:A238,0)),""))),"Á","A"),"É","E"),"Í","I"),"Ó","O"),"Ú","U"),"Ü","U")))</f>
        <v/>
      </c>
      <c r="C239" s="37" t="str">
        <f aca="false">IF($A239="","",TRIM(SUBSTITUTE(SUBSTITUTE(SUBSTITUTE(SUBSTITUTE(SUBSTITUTE(SUBSTITUTE(UPPER(IFERROR(INDEX('Base de Personas'!$D7:D21,MATCH($A239,'Base de Personas'!$B7:B21,0)),IFERROR(INDEX($C$5:C238,MATCH($A239,$A$5:A238,0)),""))),"Á","A"),"É","E"),"Í","I"),"Ó","O"),"Ú","U"),"Ü","U")))</f>
        <v/>
      </c>
      <c r="D239" s="36" t="str">
        <f aca="false">IF($A239="","",TRIM(SUBSTITUTE(SUBSTITUTE(SUBSTITUTE(SUBSTITUTE(SUBSTITUTE(SUBSTITUTE(UPPER(IFERROR(INDEX('Base de Personas'!$E7:E21,MATCH($A239,'Base de Personas'!$B7:B21,0)),IFERROR(INDEX($D$5:D238,MATCH($A239,$A$5:A238,0)),""))),"Á","A"),"É","E"),"Í","I"),"Ó","O"),"Ú","U"),"Ü","U")))</f>
        <v/>
      </c>
      <c r="E239" s="36" t="str">
        <f aca="false">IF($A239="","",TRIM(SUBSTITUTE(SUBSTITUTE(SUBSTITUTE(SUBSTITUTE(SUBSTITUTE(SUBSTITUTE(UPPER(IFERROR(INDEX('Base de Personas'!$F7:F21,MATCH($A239,'Base de Personas'!$B7:B21,0)),IFERROR(INDEX($E$5:E238,MATCH($A239,$A$5:A238,0)),""))),"Á","A"),"É","E"),"Í","I"),"Ó","O"),"Ú","U"),"Ü","U")))</f>
        <v/>
      </c>
      <c r="F239" s="36" t="str">
        <f aca="false">IF($A239="","",TRIM(SUBSTITUTE(SUBSTITUTE(SUBSTITUTE(SUBSTITUTE(SUBSTITUTE(SUBSTITUTE(UPPER(IFERROR(INDEX('Base de Personas'!$G7:G21,MATCH($A239,'Base de Personas'!$B7:B21,0)),IFERROR(INDEX($F$5:F238,MATCH($A239,$A$5:A238,0)),""))),"Á","A"),"É","E"),"Í","I"),"Ó","O"),"Ú","U"),"Ü","U")))</f>
        <v/>
      </c>
      <c r="G239" s="37" t="str">
        <f aca="false">IF($A239="","",TRIM(SUBSTITUTE(SUBSTITUTE(SUBSTITUTE(SUBSTITUTE(SUBSTITUTE(SUBSTITUTE(UPPER(IFERROR(INDEX('Base de Personas'!$H7:H21,MATCH($A239,'Base de Personas'!$B7:B21,0)),IFERROR(INDEX($G$5:G238,MATCH($A239,$A$5:A238,0)),""))),"Á","A"),"É","E"),"Í","I"),"Ó","O"),"Ú","U"),"Ü","U")))</f>
        <v/>
      </c>
      <c r="H239" s="38" t="str">
        <f aca="false">IF($A239="","",IFERROR(INDEX('Base de Personas'!$I$7:$I$21,MATCH($A239,'Base de Personas'!$B$7:$B$21,0)),IFERROR(INDEX($H$5:H238,MATCH($A239,$A$5:A238,0)),"")))</f>
        <v/>
      </c>
      <c r="I239" s="39"/>
      <c r="J239" s="40"/>
      <c r="K239" s="40"/>
      <c r="L239" s="39"/>
      <c r="M239" s="41" t="str">
        <f aca="false">IF($A239="","",IF(K239=_xlfn.MAXIFS($K$5:$K$304,$A$5:$A$304,$A239),1,0))</f>
        <v/>
      </c>
      <c r="N239" s="41" t="str">
        <f aca="false">IF($A239="","",IF(M239=1,$A239&amp;"-ACT",""))</f>
        <v/>
      </c>
      <c r="O239" s="41" t="str">
        <f aca="false">IF($A239="","",IF(AND(COUNTIF('Base de Personas'!$B$7:$B$21,$A239)=0,COUNTIF($A$5:A239,$A239)=1),1,0))</f>
        <v/>
      </c>
      <c r="P239" s="41" t="str">
        <f aca="false">IF(O239=1,SUM($O$5:O239),"")</f>
        <v/>
      </c>
    </row>
    <row r="240" customFormat="false" ht="15" hidden="false" customHeight="false" outlineLevel="0" collapsed="false">
      <c r="A240" s="35"/>
      <c r="B240" s="36" t="str">
        <f aca="false">IF($A240="","",TRIM(SUBSTITUTE(SUBSTITUTE(SUBSTITUTE(SUBSTITUTE(SUBSTITUTE(SUBSTITUTE(UPPER(IFERROR(INDEX('Base de Personas'!$C7:C21,MATCH($A240,'Base de Personas'!$B7:B21,0)),IFERROR(INDEX($B$5:B239,MATCH($A240,$A$5:A239,0)),""))),"Á","A"),"É","E"),"Í","I"),"Ó","O"),"Ú","U"),"Ü","U")))</f>
        <v/>
      </c>
      <c r="C240" s="37" t="str">
        <f aca="false">IF($A240="","",TRIM(SUBSTITUTE(SUBSTITUTE(SUBSTITUTE(SUBSTITUTE(SUBSTITUTE(SUBSTITUTE(UPPER(IFERROR(INDEX('Base de Personas'!$D7:D21,MATCH($A240,'Base de Personas'!$B7:B21,0)),IFERROR(INDEX($C$5:C239,MATCH($A240,$A$5:A239,0)),""))),"Á","A"),"É","E"),"Í","I"),"Ó","O"),"Ú","U"),"Ü","U")))</f>
        <v/>
      </c>
      <c r="D240" s="36" t="str">
        <f aca="false">IF($A240="","",TRIM(SUBSTITUTE(SUBSTITUTE(SUBSTITUTE(SUBSTITUTE(SUBSTITUTE(SUBSTITUTE(UPPER(IFERROR(INDEX('Base de Personas'!$E7:E21,MATCH($A240,'Base de Personas'!$B7:B21,0)),IFERROR(INDEX($D$5:D239,MATCH($A240,$A$5:A239,0)),""))),"Á","A"),"É","E"),"Í","I"),"Ó","O"),"Ú","U"),"Ü","U")))</f>
        <v/>
      </c>
      <c r="E240" s="36" t="str">
        <f aca="false">IF($A240="","",TRIM(SUBSTITUTE(SUBSTITUTE(SUBSTITUTE(SUBSTITUTE(SUBSTITUTE(SUBSTITUTE(UPPER(IFERROR(INDEX('Base de Personas'!$F7:F21,MATCH($A240,'Base de Personas'!$B7:B21,0)),IFERROR(INDEX($E$5:E239,MATCH($A240,$A$5:A239,0)),""))),"Á","A"),"É","E"),"Í","I"),"Ó","O"),"Ú","U"),"Ü","U")))</f>
        <v/>
      </c>
      <c r="F240" s="36" t="str">
        <f aca="false">IF($A240="","",TRIM(SUBSTITUTE(SUBSTITUTE(SUBSTITUTE(SUBSTITUTE(SUBSTITUTE(SUBSTITUTE(UPPER(IFERROR(INDEX('Base de Personas'!$G7:G21,MATCH($A240,'Base de Personas'!$B7:B21,0)),IFERROR(INDEX($F$5:F239,MATCH($A240,$A$5:A239,0)),""))),"Á","A"),"É","E"),"Í","I"),"Ó","O"),"Ú","U"),"Ü","U")))</f>
        <v/>
      </c>
      <c r="G240" s="37" t="str">
        <f aca="false">IF($A240="","",TRIM(SUBSTITUTE(SUBSTITUTE(SUBSTITUTE(SUBSTITUTE(SUBSTITUTE(SUBSTITUTE(UPPER(IFERROR(INDEX('Base de Personas'!$H7:H21,MATCH($A240,'Base de Personas'!$B7:B21,0)),IFERROR(INDEX($G$5:G239,MATCH($A240,$A$5:A239,0)),""))),"Á","A"),"É","E"),"Í","I"),"Ó","O"),"Ú","U"),"Ü","U")))</f>
        <v/>
      </c>
      <c r="H240" s="38" t="str">
        <f aca="false">IF($A240="","",IFERROR(INDEX('Base de Personas'!$I$7:$I$21,MATCH($A240,'Base de Personas'!$B$7:$B$21,0)),IFERROR(INDEX($H$5:H239,MATCH($A240,$A$5:A239,0)),"")))</f>
        <v/>
      </c>
      <c r="I240" s="39"/>
      <c r="J240" s="40"/>
      <c r="K240" s="40"/>
      <c r="L240" s="39"/>
      <c r="M240" s="41" t="str">
        <f aca="false">IF($A240="","",IF(K240=_xlfn.MAXIFS($K$5:$K$304,$A$5:$A$304,$A240),1,0))</f>
        <v/>
      </c>
      <c r="N240" s="41" t="str">
        <f aca="false">IF($A240="","",IF(M240=1,$A240&amp;"-ACT",""))</f>
        <v/>
      </c>
      <c r="O240" s="41" t="str">
        <f aca="false">IF($A240="","",IF(AND(COUNTIF('Base de Personas'!$B$7:$B$21,$A240)=0,COUNTIF($A$5:A240,$A240)=1),1,0))</f>
        <v/>
      </c>
      <c r="P240" s="41" t="str">
        <f aca="false">IF(O240=1,SUM($O$5:O240),"")</f>
        <v/>
      </c>
    </row>
    <row r="241" customFormat="false" ht="15" hidden="false" customHeight="false" outlineLevel="0" collapsed="false">
      <c r="A241" s="35"/>
      <c r="B241" s="36" t="str">
        <f aca="false">IF($A241="","",TRIM(SUBSTITUTE(SUBSTITUTE(SUBSTITUTE(SUBSTITUTE(SUBSTITUTE(SUBSTITUTE(UPPER(IFERROR(INDEX('Base de Personas'!$C7:C21,MATCH($A241,'Base de Personas'!$B7:B21,0)),IFERROR(INDEX($B$5:B240,MATCH($A241,$A$5:A240,0)),""))),"Á","A"),"É","E"),"Í","I"),"Ó","O"),"Ú","U"),"Ü","U")))</f>
        <v/>
      </c>
      <c r="C241" s="37" t="str">
        <f aca="false">IF($A241="","",TRIM(SUBSTITUTE(SUBSTITUTE(SUBSTITUTE(SUBSTITUTE(SUBSTITUTE(SUBSTITUTE(UPPER(IFERROR(INDEX('Base de Personas'!$D7:D21,MATCH($A241,'Base de Personas'!$B7:B21,0)),IFERROR(INDEX($C$5:C240,MATCH($A241,$A$5:A240,0)),""))),"Á","A"),"É","E"),"Í","I"),"Ó","O"),"Ú","U"),"Ü","U")))</f>
        <v/>
      </c>
      <c r="D241" s="36" t="str">
        <f aca="false">IF($A241="","",TRIM(SUBSTITUTE(SUBSTITUTE(SUBSTITUTE(SUBSTITUTE(SUBSTITUTE(SUBSTITUTE(UPPER(IFERROR(INDEX('Base de Personas'!$E7:E21,MATCH($A241,'Base de Personas'!$B7:B21,0)),IFERROR(INDEX($D$5:D240,MATCH($A241,$A$5:A240,0)),""))),"Á","A"),"É","E"),"Í","I"),"Ó","O"),"Ú","U"),"Ü","U")))</f>
        <v/>
      </c>
      <c r="E241" s="36" t="str">
        <f aca="false">IF($A241="","",TRIM(SUBSTITUTE(SUBSTITUTE(SUBSTITUTE(SUBSTITUTE(SUBSTITUTE(SUBSTITUTE(UPPER(IFERROR(INDEX('Base de Personas'!$F7:F21,MATCH($A241,'Base de Personas'!$B7:B21,0)),IFERROR(INDEX($E$5:E240,MATCH($A241,$A$5:A240,0)),""))),"Á","A"),"É","E"),"Í","I"),"Ó","O"),"Ú","U"),"Ü","U")))</f>
        <v/>
      </c>
      <c r="F241" s="36" t="str">
        <f aca="false">IF($A241="","",TRIM(SUBSTITUTE(SUBSTITUTE(SUBSTITUTE(SUBSTITUTE(SUBSTITUTE(SUBSTITUTE(UPPER(IFERROR(INDEX('Base de Personas'!$G7:G21,MATCH($A241,'Base de Personas'!$B7:B21,0)),IFERROR(INDEX($F$5:F240,MATCH($A241,$A$5:A240,0)),""))),"Á","A"),"É","E"),"Í","I"),"Ó","O"),"Ú","U"),"Ü","U")))</f>
        <v/>
      </c>
      <c r="G241" s="37" t="str">
        <f aca="false">IF($A241="","",TRIM(SUBSTITUTE(SUBSTITUTE(SUBSTITUTE(SUBSTITUTE(SUBSTITUTE(SUBSTITUTE(UPPER(IFERROR(INDEX('Base de Personas'!$H7:H21,MATCH($A241,'Base de Personas'!$B7:B21,0)),IFERROR(INDEX($G$5:G240,MATCH($A241,$A$5:A240,0)),""))),"Á","A"),"É","E"),"Í","I"),"Ó","O"),"Ú","U"),"Ü","U")))</f>
        <v/>
      </c>
      <c r="H241" s="38" t="str">
        <f aca="false">IF($A241="","",IFERROR(INDEX('Base de Personas'!$I$7:$I$21,MATCH($A241,'Base de Personas'!$B$7:$B$21,0)),IFERROR(INDEX($H$5:H240,MATCH($A241,$A$5:A240,0)),"")))</f>
        <v/>
      </c>
      <c r="I241" s="39"/>
      <c r="J241" s="40"/>
      <c r="K241" s="40"/>
      <c r="L241" s="39"/>
      <c r="M241" s="41" t="str">
        <f aca="false">IF($A241="","",IF(K241=_xlfn.MAXIFS($K$5:$K$304,$A$5:$A$304,$A241),1,0))</f>
        <v/>
      </c>
      <c r="N241" s="41" t="str">
        <f aca="false">IF($A241="","",IF(M241=1,$A241&amp;"-ACT",""))</f>
        <v/>
      </c>
      <c r="O241" s="41" t="str">
        <f aca="false">IF($A241="","",IF(AND(COUNTIF('Base de Personas'!$B$7:$B$21,$A241)=0,COUNTIF($A$5:A241,$A241)=1),1,0))</f>
        <v/>
      </c>
      <c r="P241" s="41" t="str">
        <f aca="false">IF(O241=1,SUM($O$5:O241),"")</f>
        <v/>
      </c>
    </row>
    <row r="242" customFormat="false" ht="15" hidden="false" customHeight="false" outlineLevel="0" collapsed="false">
      <c r="A242" s="35"/>
      <c r="B242" s="36" t="str">
        <f aca="false">IF($A242="","",TRIM(SUBSTITUTE(SUBSTITUTE(SUBSTITUTE(SUBSTITUTE(SUBSTITUTE(SUBSTITUTE(UPPER(IFERROR(INDEX('Base de Personas'!$C7:C21,MATCH($A242,'Base de Personas'!$B7:B21,0)),IFERROR(INDEX($B$5:B241,MATCH($A242,$A$5:A241,0)),""))),"Á","A"),"É","E"),"Í","I"),"Ó","O"),"Ú","U"),"Ü","U")))</f>
        <v/>
      </c>
      <c r="C242" s="37" t="str">
        <f aca="false">IF($A242="","",TRIM(SUBSTITUTE(SUBSTITUTE(SUBSTITUTE(SUBSTITUTE(SUBSTITUTE(SUBSTITUTE(UPPER(IFERROR(INDEX('Base de Personas'!$D7:D21,MATCH($A242,'Base de Personas'!$B7:B21,0)),IFERROR(INDEX($C$5:C241,MATCH($A242,$A$5:A241,0)),""))),"Á","A"),"É","E"),"Í","I"),"Ó","O"),"Ú","U"),"Ü","U")))</f>
        <v/>
      </c>
      <c r="D242" s="36" t="str">
        <f aca="false">IF($A242="","",TRIM(SUBSTITUTE(SUBSTITUTE(SUBSTITUTE(SUBSTITUTE(SUBSTITUTE(SUBSTITUTE(UPPER(IFERROR(INDEX('Base de Personas'!$E7:E21,MATCH($A242,'Base de Personas'!$B7:B21,0)),IFERROR(INDEX($D$5:D241,MATCH($A242,$A$5:A241,0)),""))),"Á","A"),"É","E"),"Í","I"),"Ó","O"),"Ú","U"),"Ü","U")))</f>
        <v/>
      </c>
      <c r="E242" s="36" t="str">
        <f aca="false">IF($A242="","",TRIM(SUBSTITUTE(SUBSTITUTE(SUBSTITUTE(SUBSTITUTE(SUBSTITUTE(SUBSTITUTE(UPPER(IFERROR(INDEX('Base de Personas'!$F7:F21,MATCH($A242,'Base de Personas'!$B7:B21,0)),IFERROR(INDEX($E$5:E241,MATCH($A242,$A$5:A241,0)),""))),"Á","A"),"É","E"),"Í","I"),"Ó","O"),"Ú","U"),"Ü","U")))</f>
        <v/>
      </c>
      <c r="F242" s="36" t="str">
        <f aca="false">IF($A242="","",TRIM(SUBSTITUTE(SUBSTITUTE(SUBSTITUTE(SUBSTITUTE(SUBSTITUTE(SUBSTITUTE(UPPER(IFERROR(INDEX('Base de Personas'!$G7:G21,MATCH($A242,'Base de Personas'!$B7:B21,0)),IFERROR(INDEX($F$5:F241,MATCH($A242,$A$5:A241,0)),""))),"Á","A"),"É","E"),"Í","I"),"Ó","O"),"Ú","U"),"Ü","U")))</f>
        <v/>
      </c>
      <c r="G242" s="37" t="str">
        <f aca="false">IF($A242="","",TRIM(SUBSTITUTE(SUBSTITUTE(SUBSTITUTE(SUBSTITUTE(SUBSTITUTE(SUBSTITUTE(UPPER(IFERROR(INDEX('Base de Personas'!$H7:H21,MATCH($A242,'Base de Personas'!$B7:B21,0)),IFERROR(INDEX($G$5:G241,MATCH($A242,$A$5:A241,0)),""))),"Á","A"),"É","E"),"Í","I"),"Ó","O"),"Ú","U"),"Ü","U")))</f>
        <v/>
      </c>
      <c r="H242" s="38" t="str">
        <f aca="false">IF($A242="","",IFERROR(INDEX('Base de Personas'!$I$7:$I$21,MATCH($A242,'Base de Personas'!$B$7:$B$21,0)),IFERROR(INDEX($H$5:H241,MATCH($A242,$A$5:A241,0)),"")))</f>
        <v/>
      </c>
      <c r="I242" s="39"/>
      <c r="J242" s="40"/>
      <c r="K242" s="40"/>
      <c r="L242" s="39"/>
      <c r="M242" s="41" t="str">
        <f aca="false">IF($A242="","",IF(K242=_xlfn.MAXIFS($K$5:$K$304,$A$5:$A$304,$A242),1,0))</f>
        <v/>
      </c>
      <c r="N242" s="41" t="str">
        <f aca="false">IF($A242="","",IF(M242=1,$A242&amp;"-ACT",""))</f>
        <v/>
      </c>
      <c r="O242" s="41" t="str">
        <f aca="false">IF($A242="","",IF(AND(COUNTIF('Base de Personas'!$B$7:$B$21,$A242)=0,COUNTIF($A$5:A242,$A242)=1),1,0))</f>
        <v/>
      </c>
      <c r="P242" s="41" t="str">
        <f aca="false">IF(O242=1,SUM($O$5:O242),"")</f>
        <v/>
      </c>
    </row>
    <row r="243" customFormat="false" ht="15" hidden="false" customHeight="false" outlineLevel="0" collapsed="false">
      <c r="A243" s="35"/>
      <c r="B243" s="36" t="str">
        <f aca="false">IF($A243="","",TRIM(SUBSTITUTE(SUBSTITUTE(SUBSTITUTE(SUBSTITUTE(SUBSTITUTE(SUBSTITUTE(UPPER(IFERROR(INDEX('Base de Personas'!$C7:C21,MATCH($A243,'Base de Personas'!$B7:B21,0)),IFERROR(INDEX($B$5:B242,MATCH($A243,$A$5:A242,0)),""))),"Á","A"),"É","E"),"Í","I"),"Ó","O"),"Ú","U"),"Ü","U")))</f>
        <v/>
      </c>
      <c r="C243" s="37" t="str">
        <f aca="false">IF($A243="","",TRIM(SUBSTITUTE(SUBSTITUTE(SUBSTITUTE(SUBSTITUTE(SUBSTITUTE(SUBSTITUTE(UPPER(IFERROR(INDEX('Base de Personas'!$D7:D21,MATCH($A243,'Base de Personas'!$B7:B21,0)),IFERROR(INDEX($C$5:C242,MATCH($A243,$A$5:A242,0)),""))),"Á","A"),"É","E"),"Í","I"),"Ó","O"),"Ú","U"),"Ü","U")))</f>
        <v/>
      </c>
      <c r="D243" s="36" t="str">
        <f aca="false">IF($A243="","",TRIM(SUBSTITUTE(SUBSTITUTE(SUBSTITUTE(SUBSTITUTE(SUBSTITUTE(SUBSTITUTE(UPPER(IFERROR(INDEX('Base de Personas'!$E7:E21,MATCH($A243,'Base de Personas'!$B7:B21,0)),IFERROR(INDEX($D$5:D242,MATCH($A243,$A$5:A242,0)),""))),"Á","A"),"É","E"),"Í","I"),"Ó","O"),"Ú","U"),"Ü","U")))</f>
        <v/>
      </c>
      <c r="E243" s="36" t="str">
        <f aca="false">IF($A243="","",TRIM(SUBSTITUTE(SUBSTITUTE(SUBSTITUTE(SUBSTITUTE(SUBSTITUTE(SUBSTITUTE(UPPER(IFERROR(INDEX('Base de Personas'!$F7:F21,MATCH($A243,'Base de Personas'!$B7:B21,0)),IFERROR(INDEX($E$5:E242,MATCH($A243,$A$5:A242,0)),""))),"Á","A"),"É","E"),"Í","I"),"Ó","O"),"Ú","U"),"Ü","U")))</f>
        <v/>
      </c>
      <c r="F243" s="36" t="str">
        <f aca="false">IF($A243="","",TRIM(SUBSTITUTE(SUBSTITUTE(SUBSTITUTE(SUBSTITUTE(SUBSTITUTE(SUBSTITUTE(UPPER(IFERROR(INDEX('Base de Personas'!$G7:G21,MATCH($A243,'Base de Personas'!$B7:B21,0)),IFERROR(INDEX($F$5:F242,MATCH($A243,$A$5:A242,0)),""))),"Á","A"),"É","E"),"Í","I"),"Ó","O"),"Ú","U"),"Ü","U")))</f>
        <v/>
      </c>
      <c r="G243" s="37" t="str">
        <f aca="false">IF($A243="","",TRIM(SUBSTITUTE(SUBSTITUTE(SUBSTITUTE(SUBSTITUTE(SUBSTITUTE(SUBSTITUTE(UPPER(IFERROR(INDEX('Base de Personas'!$H7:H21,MATCH($A243,'Base de Personas'!$B7:B21,0)),IFERROR(INDEX($G$5:G242,MATCH($A243,$A$5:A242,0)),""))),"Á","A"),"É","E"),"Í","I"),"Ó","O"),"Ú","U"),"Ü","U")))</f>
        <v/>
      </c>
      <c r="H243" s="38" t="str">
        <f aca="false">IF($A243="","",IFERROR(INDEX('Base de Personas'!$I$7:$I$21,MATCH($A243,'Base de Personas'!$B$7:$B$21,0)),IFERROR(INDEX($H$5:H242,MATCH($A243,$A$5:A242,0)),"")))</f>
        <v/>
      </c>
      <c r="I243" s="39"/>
      <c r="J243" s="40"/>
      <c r="K243" s="40"/>
      <c r="L243" s="39"/>
      <c r="M243" s="41" t="str">
        <f aca="false">IF($A243="","",IF(K243=_xlfn.MAXIFS($K$5:$K$304,$A$5:$A$304,$A243),1,0))</f>
        <v/>
      </c>
      <c r="N243" s="41" t="str">
        <f aca="false">IF($A243="","",IF(M243=1,$A243&amp;"-ACT",""))</f>
        <v/>
      </c>
      <c r="O243" s="41" t="str">
        <f aca="false">IF($A243="","",IF(AND(COUNTIF('Base de Personas'!$B$7:$B$21,$A243)=0,COUNTIF($A$5:A243,$A243)=1),1,0))</f>
        <v/>
      </c>
      <c r="P243" s="41" t="str">
        <f aca="false">IF(O243=1,SUM($O$5:O243),"")</f>
        <v/>
      </c>
    </row>
    <row r="244" customFormat="false" ht="15" hidden="false" customHeight="false" outlineLevel="0" collapsed="false">
      <c r="A244" s="35"/>
      <c r="B244" s="36" t="str">
        <f aca="false">IF($A244="","",TRIM(SUBSTITUTE(SUBSTITUTE(SUBSTITUTE(SUBSTITUTE(SUBSTITUTE(SUBSTITUTE(UPPER(IFERROR(INDEX('Base de Personas'!$C7:C21,MATCH($A244,'Base de Personas'!$B7:B21,0)),IFERROR(INDEX($B$5:B243,MATCH($A244,$A$5:A243,0)),""))),"Á","A"),"É","E"),"Í","I"),"Ó","O"),"Ú","U"),"Ü","U")))</f>
        <v/>
      </c>
      <c r="C244" s="37" t="str">
        <f aca="false">IF($A244="","",TRIM(SUBSTITUTE(SUBSTITUTE(SUBSTITUTE(SUBSTITUTE(SUBSTITUTE(SUBSTITUTE(UPPER(IFERROR(INDEX('Base de Personas'!$D7:D21,MATCH($A244,'Base de Personas'!$B7:B21,0)),IFERROR(INDEX($C$5:C243,MATCH($A244,$A$5:A243,0)),""))),"Á","A"),"É","E"),"Í","I"),"Ó","O"),"Ú","U"),"Ü","U")))</f>
        <v/>
      </c>
      <c r="D244" s="36" t="str">
        <f aca="false">IF($A244="","",TRIM(SUBSTITUTE(SUBSTITUTE(SUBSTITUTE(SUBSTITUTE(SUBSTITUTE(SUBSTITUTE(UPPER(IFERROR(INDEX('Base de Personas'!$E7:E21,MATCH($A244,'Base de Personas'!$B7:B21,0)),IFERROR(INDEX($D$5:D243,MATCH($A244,$A$5:A243,0)),""))),"Á","A"),"É","E"),"Í","I"),"Ó","O"),"Ú","U"),"Ü","U")))</f>
        <v/>
      </c>
      <c r="E244" s="36" t="str">
        <f aca="false">IF($A244="","",TRIM(SUBSTITUTE(SUBSTITUTE(SUBSTITUTE(SUBSTITUTE(SUBSTITUTE(SUBSTITUTE(UPPER(IFERROR(INDEX('Base de Personas'!$F7:F21,MATCH($A244,'Base de Personas'!$B7:B21,0)),IFERROR(INDEX($E$5:E243,MATCH($A244,$A$5:A243,0)),""))),"Á","A"),"É","E"),"Í","I"),"Ó","O"),"Ú","U"),"Ü","U")))</f>
        <v/>
      </c>
      <c r="F244" s="36" t="str">
        <f aca="false">IF($A244="","",TRIM(SUBSTITUTE(SUBSTITUTE(SUBSTITUTE(SUBSTITUTE(SUBSTITUTE(SUBSTITUTE(UPPER(IFERROR(INDEX('Base de Personas'!$G7:G21,MATCH($A244,'Base de Personas'!$B7:B21,0)),IFERROR(INDEX($F$5:F243,MATCH($A244,$A$5:A243,0)),""))),"Á","A"),"É","E"),"Í","I"),"Ó","O"),"Ú","U"),"Ü","U")))</f>
        <v/>
      </c>
      <c r="G244" s="37" t="str">
        <f aca="false">IF($A244="","",TRIM(SUBSTITUTE(SUBSTITUTE(SUBSTITUTE(SUBSTITUTE(SUBSTITUTE(SUBSTITUTE(UPPER(IFERROR(INDEX('Base de Personas'!$H7:H21,MATCH($A244,'Base de Personas'!$B7:B21,0)),IFERROR(INDEX($G$5:G243,MATCH($A244,$A$5:A243,0)),""))),"Á","A"),"É","E"),"Í","I"),"Ó","O"),"Ú","U"),"Ü","U")))</f>
        <v/>
      </c>
      <c r="H244" s="38" t="str">
        <f aca="false">IF($A244="","",IFERROR(INDEX('Base de Personas'!$I$7:$I$21,MATCH($A244,'Base de Personas'!$B$7:$B$21,0)),IFERROR(INDEX($H$5:H243,MATCH($A244,$A$5:A243,0)),"")))</f>
        <v/>
      </c>
      <c r="I244" s="39"/>
      <c r="J244" s="40"/>
      <c r="K244" s="40"/>
      <c r="L244" s="39"/>
      <c r="M244" s="41" t="str">
        <f aca="false">IF($A244="","",IF(K244=_xlfn.MAXIFS($K$5:$K$304,$A$5:$A$304,$A244),1,0))</f>
        <v/>
      </c>
      <c r="N244" s="41" t="str">
        <f aca="false">IF($A244="","",IF(M244=1,$A244&amp;"-ACT",""))</f>
        <v/>
      </c>
      <c r="O244" s="41" t="str">
        <f aca="false">IF($A244="","",IF(AND(COUNTIF('Base de Personas'!$B$7:$B$21,$A244)=0,COUNTIF($A$5:A244,$A244)=1),1,0))</f>
        <v/>
      </c>
      <c r="P244" s="41" t="str">
        <f aca="false">IF(O244=1,SUM($O$5:O244),"")</f>
        <v/>
      </c>
    </row>
    <row r="245" customFormat="false" ht="15" hidden="false" customHeight="false" outlineLevel="0" collapsed="false">
      <c r="A245" s="35"/>
      <c r="B245" s="36" t="str">
        <f aca="false">IF($A245="","",TRIM(SUBSTITUTE(SUBSTITUTE(SUBSTITUTE(SUBSTITUTE(SUBSTITUTE(SUBSTITUTE(UPPER(IFERROR(INDEX('Base de Personas'!$C7:C21,MATCH($A245,'Base de Personas'!$B7:B21,0)),IFERROR(INDEX($B$5:B244,MATCH($A245,$A$5:A244,0)),""))),"Á","A"),"É","E"),"Í","I"),"Ó","O"),"Ú","U"),"Ü","U")))</f>
        <v/>
      </c>
      <c r="C245" s="37" t="str">
        <f aca="false">IF($A245="","",TRIM(SUBSTITUTE(SUBSTITUTE(SUBSTITUTE(SUBSTITUTE(SUBSTITUTE(SUBSTITUTE(UPPER(IFERROR(INDEX('Base de Personas'!$D7:D21,MATCH($A245,'Base de Personas'!$B7:B21,0)),IFERROR(INDEX($C$5:C244,MATCH($A245,$A$5:A244,0)),""))),"Á","A"),"É","E"),"Í","I"),"Ó","O"),"Ú","U"),"Ü","U")))</f>
        <v/>
      </c>
      <c r="D245" s="36" t="str">
        <f aca="false">IF($A245="","",TRIM(SUBSTITUTE(SUBSTITUTE(SUBSTITUTE(SUBSTITUTE(SUBSTITUTE(SUBSTITUTE(UPPER(IFERROR(INDEX('Base de Personas'!$E7:E21,MATCH($A245,'Base de Personas'!$B7:B21,0)),IFERROR(INDEX($D$5:D244,MATCH($A245,$A$5:A244,0)),""))),"Á","A"),"É","E"),"Í","I"),"Ó","O"),"Ú","U"),"Ü","U")))</f>
        <v/>
      </c>
      <c r="E245" s="36" t="str">
        <f aca="false">IF($A245="","",TRIM(SUBSTITUTE(SUBSTITUTE(SUBSTITUTE(SUBSTITUTE(SUBSTITUTE(SUBSTITUTE(UPPER(IFERROR(INDEX('Base de Personas'!$F7:F21,MATCH($A245,'Base de Personas'!$B7:B21,0)),IFERROR(INDEX($E$5:E244,MATCH($A245,$A$5:A244,0)),""))),"Á","A"),"É","E"),"Í","I"),"Ó","O"),"Ú","U"),"Ü","U")))</f>
        <v/>
      </c>
      <c r="F245" s="36" t="str">
        <f aca="false">IF($A245="","",TRIM(SUBSTITUTE(SUBSTITUTE(SUBSTITUTE(SUBSTITUTE(SUBSTITUTE(SUBSTITUTE(UPPER(IFERROR(INDEX('Base de Personas'!$G7:G21,MATCH($A245,'Base de Personas'!$B7:B21,0)),IFERROR(INDEX($F$5:F244,MATCH($A245,$A$5:A244,0)),""))),"Á","A"),"É","E"),"Í","I"),"Ó","O"),"Ú","U"),"Ü","U")))</f>
        <v/>
      </c>
      <c r="G245" s="37" t="str">
        <f aca="false">IF($A245="","",TRIM(SUBSTITUTE(SUBSTITUTE(SUBSTITUTE(SUBSTITUTE(SUBSTITUTE(SUBSTITUTE(UPPER(IFERROR(INDEX('Base de Personas'!$H7:H21,MATCH($A245,'Base de Personas'!$B7:B21,0)),IFERROR(INDEX($G$5:G244,MATCH($A245,$A$5:A244,0)),""))),"Á","A"),"É","E"),"Í","I"),"Ó","O"),"Ú","U"),"Ü","U")))</f>
        <v/>
      </c>
      <c r="H245" s="38" t="str">
        <f aca="false">IF($A245="","",IFERROR(INDEX('Base de Personas'!$I$7:$I$21,MATCH($A245,'Base de Personas'!$B$7:$B$21,0)),IFERROR(INDEX($H$5:H244,MATCH($A245,$A$5:A244,0)),"")))</f>
        <v/>
      </c>
      <c r="I245" s="39"/>
      <c r="J245" s="40"/>
      <c r="K245" s="40"/>
      <c r="L245" s="39"/>
      <c r="M245" s="41" t="str">
        <f aca="false">IF($A245="","",IF(K245=_xlfn.MAXIFS($K$5:$K$304,$A$5:$A$304,$A245),1,0))</f>
        <v/>
      </c>
      <c r="N245" s="41" t="str">
        <f aca="false">IF($A245="","",IF(M245=1,$A245&amp;"-ACT",""))</f>
        <v/>
      </c>
      <c r="O245" s="41" t="str">
        <f aca="false">IF($A245="","",IF(AND(COUNTIF('Base de Personas'!$B$7:$B$21,$A245)=0,COUNTIF($A$5:A245,$A245)=1),1,0))</f>
        <v/>
      </c>
      <c r="P245" s="41" t="str">
        <f aca="false">IF(O245=1,SUM($O$5:O245),"")</f>
        <v/>
      </c>
    </row>
    <row r="246" customFormat="false" ht="15" hidden="false" customHeight="false" outlineLevel="0" collapsed="false">
      <c r="A246" s="35"/>
      <c r="B246" s="36" t="str">
        <f aca="false">IF($A246="","",TRIM(SUBSTITUTE(SUBSTITUTE(SUBSTITUTE(SUBSTITUTE(SUBSTITUTE(SUBSTITUTE(UPPER(IFERROR(INDEX('Base de Personas'!$C7:C21,MATCH($A246,'Base de Personas'!$B7:B21,0)),IFERROR(INDEX($B$5:B245,MATCH($A246,$A$5:A245,0)),""))),"Á","A"),"É","E"),"Í","I"),"Ó","O"),"Ú","U"),"Ü","U")))</f>
        <v/>
      </c>
      <c r="C246" s="37" t="str">
        <f aca="false">IF($A246="","",TRIM(SUBSTITUTE(SUBSTITUTE(SUBSTITUTE(SUBSTITUTE(SUBSTITUTE(SUBSTITUTE(UPPER(IFERROR(INDEX('Base de Personas'!$D7:D21,MATCH($A246,'Base de Personas'!$B7:B21,0)),IFERROR(INDEX($C$5:C245,MATCH($A246,$A$5:A245,0)),""))),"Á","A"),"É","E"),"Í","I"),"Ó","O"),"Ú","U"),"Ü","U")))</f>
        <v/>
      </c>
      <c r="D246" s="36" t="str">
        <f aca="false">IF($A246="","",TRIM(SUBSTITUTE(SUBSTITUTE(SUBSTITUTE(SUBSTITUTE(SUBSTITUTE(SUBSTITUTE(UPPER(IFERROR(INDEX('Base de Personas'!$E7:E21,MATCH($A246,'Base de Personas'!$B7:B21,0)),IFERROR(INDEX($D$5:D245,MATCH($A246,$A$5:A245,0)),""))),"Á","A"),"É","E"),"Í","I"),"Ó","O"),"Ú","U"),"Ü","U")))</f>
        <v/>
      </c>
      <c r="E246" s="36" t="str">
        <f aca="false">IF($A246="","",TRIM(SUBSTITUTE(SUBSTITUTE(SUBSTITUTE(SUBSTITUTE(SUBSTITUTE(SUBSTITUTE(UPPER(IFERROR(INDEX('Base de Personas'!$F7:F21,MATCH($A246,'Base de Personas'!$B7:B21,0)),IFERROR(INDEX($E$5:E245,MATCH($A246,$A$5:A245,0)),""))),"Á","A"),"É","E"),"Í","I"),"Ó","O"),"Ú","U"),"Ü","U")))</f>
        <v/>
      </c>
      <c r="F246" s="36" t="str">
        <f aca="false">IF($A246="","",TRIM(SUBSTITUTE(SUBSTITUTE(SUBSTITUTE(SUBSTITUTE(SUBSTITUTE(SUBSTITUTE(UPPER(IFERROR(INDEX('Base de Personas'!$G7:G21,MATCH($A246,'Base de Personas'!$B7:B21,0)),IFERROR(INDEX($F$5:F245,MATCH($A246,$A$5:A245,0)),""))),"Á","A"),"É","E"),"Í","I"),"Ó","O"),"Ú","U"),"Ü","U")))</f>
        <v/>
      </c>
      <c r="G246" s="37" t="str">
        <f aca="false">IF($A246="","",TRIM(SUBSTITUTE(SUBSTITUTE(SUBSTITUTE(SUBSTITUTE(SUBSTITUTE(SUBSTITUTE(UPPER(IFERROR(INDEX('Base de Personas'!$H7:H21,MATCH($A246,'Base de Personas'!$B7:B21,0)),IFERROR(INDEX($G$5:G245,MATCH($A246,$A$5:A245,0)),""))),"Á","A"),"É","E"),"Í","I"),"Ó","O"),"Ú","U"),"Ü","U")))</f>
        <v/>
      </c>
      <c r="H246" s="38" t="str">
        <f aca="false">IF($A246="","",IFERROR(INDEX('Base de Personas'!$I$7:$I$21,MATCH($A246,'Base de Personas'!$B$7:$B$21,0)),IFERROR(INDEX($H$5:H245,MATCH($A246,$A$5:A245,0)),"")))</f>
        <v/>
      </c>
      <c r="I246" s="39"/>
      <c r="J246" s="40"/>
      <c r="K246" s="40"/>
      <c r="L246" s="39"/>
      <c r="M246" s="41" t="str">
        <f aca="false">IF($A246="","",IF(K246=_xlfn.MAXIFS($K$5:$K$304,$A$5:$A$304,$A246),1,0))</f>
        <v/>
      </c>
      <c r="N246" s="41" t="str">
        <f aca="false">IF($A246="","",IF(M246=1,$A246&amp;"-ACT",""))</f>
        <v/>
      </c>
      <c r="O246" s="41" t="str">
        <f aca="false">IF($A246="","",IF(AND(COUNTIF('Base de Personas'!$B$7:$B$21,$A246)=0,COUNTIF($A$5:A246,$A246)=1),1,0))</f>
        <v/>
      </c>
      <c r="P246" s="41" t="str">
        <f aca="false">IF(O246=1,SUM($O$5:O246),"")</f>
        <v/>
      </c>
    </row>
    <row r="247" customFormat="false" ht="15" hidden="false" customHeight="false" outlineLevel="0" collapsed="false">
      <c r="A247" s="35"/>
      <c r="B247" s="36" t="str">
        <f aca="false">IF($A247="","",TRIM(SUBSTITUTE(SUBSTITUTE(SUBSTITUTE(SUBSTITUTE(SUBSTITUTE(SUBSTITUTE(UPPER(IFERROR(INDEX('Base de Personas'!$C7:C21,MATCH($A247,'Base de Personas'!$B7:B21,0)),IFERROR(INDEX($B$5:B246,MATCH($A247,$A$5:A246,0)),""))),"Á","A"),"É","E"),"Í","I"),"Ó","O"),"Ú","U"),"Ü","U")))</f>
        <v/>
      </c>
      <c r="C247" s="37" t="str">
        <f aca="false">IF($A247="","",TRIM(SUBSTITUTE(SUBSTITUTE(SUBSTITUTE(SUBSTITUTE(SUBSTITUTE(SUBSTITUTE(UPPER(IFERROR(INDEX('Base de Personas'!$D7:D21,MATCH($A247,'Base de Personas'!$B7:B21,0)),IFERROR(INDEX($C$5:C246,MATCH($A247,$A$5:A246,0)),""))),"Á","A"),"É","E"),"Í","I"),"Ó","O"),"Ú","U"),"Ü","U")))</f>
        <v/>
      </c>
      <c r="D247" s="36" t="str">
        <f aca="false">IF($A247="","",TRIM(SUBSTITUTE(SUBSTITUTE(SUBSTITUTE(SUBSTITUTE(SUBSTITUTE(SUBSTITUTE(UPPER(IFERROR(INDEX('Base de Personas'!$E7:E21,MATCH($A247,'Base de Personas'!$B7:B21,0)),IFERROR(INDEX($D$5:D246,MATCH($A247,$A$5:A246,0)),""))),"Á","A"),"É","E"),"Í","I"),"Ó","O"),"Ú","U"),"Ü","U")))</f>
        <v/>
      </c>
      <c r="E247" s="36" t="str">
        <f aca="false">IF($A247="","",TRIM(SUBSTITUTE(SUBSTITUTE(SUBSTITUTE(SUBSTITUTE(SUBSTITUTE(SUBSTITUTE(UPPER(IFERROR(INDEX('Base de Personas'!$F7:F21,MATCH($A247,'Base de Personas'!$B7:B21,0)),IFERROR(INDEX($E$5:E246,MATCH($A247,$A$5:A246,0)),""))),"Á","A"),"É","E"),"Í","I"),"Ó","O"),"Ú","U"),"Ü","U")))</f>
        <v/>
      </c>
      <c r="F247" s="36" t="str">
        <f aca="false">IF($A247="","",TRIM(SUBSTITUTE(SUBSTITUTE(SUBSTITUTE(SUBSTITUTE(SUBSTITUTE(SUBSTITUTE(UPPER(IFERROR(INDEX('Base de Personas'!$G7:G21,MATCH($A247,'Base de Personas'!$B7:B21,0)),IFERROR(INDEX($F$5:F246,MATCH($A247,$A$5:A246,0)),""))),"Á","A"),"É","E"),"Í","I"),"Ó","O"),"Ú","U"),"Ü","U")))</f>
        <v/>
      </c>
      <c r="G247" s="37" t="str">
        <f aca="false">IF($A247="","",TRIM(SUBSTITUTE(SUBSTITUTE(SUBSTITUTE(SUBSTITUTE(SUBSTITUTE(SUBSTITUTE(UPPER(IFERROR(INDEX('Base de Personas'!$H7:H21,MATCH($A247,'Base de Personas'!$B7:B21,0)),IFERROR(INDEX($G$5:G246,MATCH($A247,$A$5:A246,0)),""))),"Á","A"),"É","E"),"Í","I"),"Ó","O"),"Ú","U"),"Ü","U")))</f>
        <v/>
      </c>
      <c r="H247" s="38" t="str">
        <f aca="false">IF($A247="","",IFERROR(INDEX('Base de Personas'!$I$7:$I$21,MATCH($A247,'Base de Personas'!$B$7:$B$21,0)),IFERROR(INDEX($H$5:H246,MATCH($A247,$A$5:A246,0)),"")))</f>
        <v/>
      </c>
      <c r="I247" s="39"/>
      <c r="J247" s="40"/>
      <c r="K247" s="40"/>
      <c r="L247" s="39"/>
      <c r="M247" s="41" t="str">
        <f aca="false">IF($A247="","",IF(K247=_xlfn.MAXIFS($K$5:$K$304,$A$5:$A$304,$A247),1,0))</f>
        <v/>
      </c>
      <c r="N247" s="41" t="str">
        <f aca="false">IF($A247="","",IF(M247=1,$A247&amp;"-ACT",""))</f>
        <v/>
      </c>
      <c r="O247" s="41" t="str">
        <f aca="false">IF($A247="","",IF(AND(COUNTIF('Base de Personas'!$B$7:$B$21,$A247)=0,COUNTIF($A$5:A247,$A247)=1),1,0))</f>
        <v/>
      </c>
      <c r="P247" s="41" t="str">
        <f aca="false">IF(O247=1,SUM($O$5:O247),"")</f>
        <v/>
      </c>
    </row>
    <row r="248" customFormat="false" ht="15" hidden="false" customHeight="false" outlineLevel="0" collapsed="false">
      <c r="A248" s="35"/>
      <c r="B248" s="36" t="str">
        <f aca="false">IF($A248="","",TRIM(SUBSTITUTE(SUBSTITUTE(SUBSTITUTE(SUBSTITUTE(SUBSTITUTE(SUBSTITUTE(UPPER(IFERROR(INDEX('Base de Personas'!$C7:C21,MATCH($A248,'Base de Personas'!$B7:B21,0)),IFERROR(INDEX($B$5:B247,MATCH($A248,$A$5:A247,0)),""))),"Á","A"),"É","E"),"Í","I"),"Ó","O"),"Ú","U"),"Ü","U")))</f>
        <v/>
      </c>
      <c r="C248" s="37" t="str">
        <f aca="false">IF($A248="","",TRIM(SUBSTITUTE(SUBSTITUTE(SUBSTITUTE(SUBSTITUTE(SUBSTITUTE(SUBSTITUTE(UPPER(IFERROR(INDEX('Base de Personas'!$D7:D21,MATCH($A248,'Base de Personas'!$B7:B21,0)),IFERROR(INDEX($C$5:C247,MATCH($A248,$A$5:A247,0)),""))),"Á","A"),"É","E"),"Í","I"),"Ó","O"),"Ú","U"),"Ü","U")))</f>
        <v/>
      </c>
      <c r="D248" s="36" t="str">
        <f aca="false">IF($A248="","",TRIM(SUBSTITUTE(SUBSTITUTE(SUBSTITUTE(SUBSTITUTE(SUBSTITUTE(SUBSTITUTE(UPPER(IFERROR(INDEX('Base de Personas'!$E7:E21,MATCH($A248,'Base de Personas'!$B7:B21,0)),IFERROR(INDEX($D$5:D247,MATCH($A248,$A$5:A247,0)),""))),"Á","A"),"É","E"),"Í","I"),"Ó","O"),"Ú","U"),"Ü","U")))</f>
        <v/>
      </c>
      <c r="E248" s="36" t="str">
        <f aca="false">IF($A248="","",TRIM(SUBSTITUTE(SUBSTITUTE(SUBSTITUTE(SUBSTITUTE(SUBSTITUTE(SUBSTITUTE(UPPER(IFERROR(INDEX('Base de Personas'!$F7:F21,MATCH($A248,'Base de Personas'!$B7:B21,0)),IFERROR(INDEX($E$5:E247,MATCH($A248,$A$5:A247,0)),""))),"Á","A"),"É","E"),"Í","I"),"Ó","O"),"Ú","U"),"Ü","U")))</f>
        <v/>
      </c>
      <c r="F248" s="36" t="str">
        <f aca="false">IF($A248="","",TRIM(SUBSTITUTE(SUBSTITUTE(SUBSTITUTE(SUBSTITUTE(SUBSTITUTE(SUBSTITUTE(UPPER(IFERROR(INDEX('Base de Personas'!$G7:G21,MATCH($A248,'Base de Personas'!$B7:B21,0)),IFERROR(INDEX($F$5:F247,MATCH($A248,$A$5:A247,0)),""))),"Á","A"),"É","E"),"Í","I"),"Ó","O"),"Ú","U"),"Ü","U")))</f>
        <v/>
      </c>
      <c r="G248" s="37" t="str">
        <f aca="false">IF($A248="","",TRIM(SUBSTITUTE(SUBSTITUTE(SUBSTITUTE(SUBSTITUTE(SUBSTITUTE(SUBSTITUTE(UPPER(IFERROR(INDEX('Base de Personas'!$H7:H21,MATCH($A248,'Base de Personas'!$B7:B21,0)),IFERROR(INDEX($G$5:G247,MATCH($A248,$A$5:A247,0)),""))),"Á","A"),"É","E"),"Í","I"),"Ó","O"),"Ú","U"),"Ü","U")))</f>
        <v/>
      </c>
      <c r="H248" s="38" t="str">
        <f aca="false">IF($A248="","",IFERROR(INDEX('Base de Personas'!$I$7:$I$21,MATCH($A248,'Base de Personas'!$B$7:$B$21,0)),IFERROR(INDEX($H$5:H247,MATCH($A248,$A$5:A247,0)),"")))</f>
        <v/>
      </c>
      <c r="I248" s="39"/>
      <c r="J248" s="40"/>
      <c r="K248" s="40"/>
      <c r="L248" s="39"/>
      <c r="M248" s="41" t="str">
        <f aca="false">IF($A248="","",IF(K248=_xlfn.MAXIFS($K$5:$K$304,$A$5:$A$304,$A248),1,0))</f>
        <v/>
      </c>
      <c r="N248" s="41" t="str">
        <f aca="false">IF($A248="","",IF(M248=1,$A248&amp;"-ACT",""))</f>
        <v/>
      </c>
      <c r="O248" s="41" t="str">
        <f aca="false">IF($A248="","",IF(AND(COUNTIF('Base de Personas'!$B$7:$B$21,$A248)=0,COUNTIF($A$5:A248,$A248)=1),1,0))</f>
        <v/>
      </c>
      <c r="P248" s="41" t="str">
        <f aca="false">IF(O248=1,SUM($O$5:O248),"")</f>
        <v/>
      </c>
    </row>
    <row r="249" customFormat="false" ht="15" hidden="false" customHeight="false" outlineLevel="0" collapsed="false">
      <c r="A249" s="35"/>
      <c r="B249" s="36" t="str">
        <f aca="false">IF($A249="","",TRIM(SUBSTITUTE(SUBSTITUTE(SUBSTITUTE(SUBSTITUTE(SUBSTITUTE(SUBSTITUTE(UPPER(IFERROR(INDEX('Base de Personas'!$C7:C21,MATCH($A249,'Base de Personas'!$B7:B21,0)),IFERROR(INDEX($B$5:B248,MATCH($A249,$A$5:A248,0)),""))),"Á","A"),"É","E"),"Í","I"),"Ó","O"),"Ú","U"),"Ü","U")))</f>
        <v/>
      </c>
      <c r="C249" s="37" t="str">
        <f aca="false">IF($A249="","",TRIM(SUBSTITUTE(SUBSTITUTE(SUBSTITUTE(SUBSTITUTE(SUBSTITUTE(SUBSTITUTE(UPPER(IFERROR(INDEX('Base de Personas'!$D7:D21,MATCH($A249,'Base de Personas'!$B7:B21,0)),IFERROR(INDEX($C$5:C248,MATCH($A249,$A$5:A248,0)),""))),"Á","A"),"É","E"),"Í","I"),"Ó","O"),"Ú","U"),"Ü","U")))</f>
        <v/>
      </c>
      <c r="D249" s="36" t="str">
        <f aca="false">IF($A249="","",TRIM(SUBSTITUTE(SUBSTITUTE(SUBSTITUTE(SUBSTITUTE(SUBSTITUTE(SUBSTITUTE(UPPER(IFERROR(INDEX('Base de Personas'!$E7:E21,MATCH($A249,'Base de Personas'!$B7:B21,0)),IFERROR(INDEX($D$5:D248,MATCH($A249,$A$5:A248,0)),""))),"Á","A"),"É","E"),"Í","I"),"Ó","O"),"Ú","U"),"Ü","U")))</f>
        <v/>
      </c>
      <c r="E249" s="36" t="str">
        <f aca="false">IF($A249="","",TRIM(SUBSTITUTE(SUBSTITUTE(SUBSTITUTE(SUBSTITUTE(SUBSTITUTE(SUBSTITUTE(UPPER(IFERROR(INDEX('Base de Personas'!$F7:F21,MATCH($A249,'Base de Personas'!$B7:B21,0)),IFERROR(INDEX($E$5:E248,MATCH($A249,$A$5:A248,0)),""))),"Á","A"),"É","E"),"Í","I"),"Ó","O"),"Ú","U"),"Ü","U")))</f>
        <v/>
      </c>
      <c r="F249" s="36" t="str">
        <f aca="false">IF($A249="","",TRIM(SUBSTITUTE(SUBSTITUTE(SUBSTITUTE(SUBSTITUTE(SUBSTITUTE(SUBSTITUTE(UPPER(IFERROR(INDEX('Base de Personas'!$G7:G21,MATCH($A249,'Base de Personas'!$B7:B21,0)),IFERROR(INDEX($F$5:F248,MATCH($A249,$A$5:A248,0)),""))),"Á","A"),"É","E"),"Í","I"),"Ó","O"),"Ú","U"),"Ü","U")))</f>
        <v/>
      </c>
      <c r="G249" s="37" t="str">
        <f aca="false">IF($A249="","",TRIM(SUBSTITUTE(SUBSTITUTE(SUBSTITUTE(SUBSTITUTE(SUBSTITUTE(SUBSTITUTE(UPPER(IFERROR(INDEX('Base de Personas'!$H7:H21,MATCH($A249,'Base de Personas'!$B7:B21,0)),IFERROR(INDEX($G$5:G248,MATCH($A249,$A$5:A248,0)),""))),"Á","A"),"É","E"),"Í","I"),"Ó","O"),"Ú","U"),"Ü","U")))</f>
        <v/>
      </c>
      <c r="H249" s="38" t="str">
        <f aca="false">IF($A249="","",IFERROR(INDEX('Base de Personas'!$I$7:$I$21,MATCH($A249,'Base de Personas'!$B$7:$B$21,0)),IFERROR(INDEX($H$5:H248,MATCH($A249,$A$5:A248,0)),"")))</f>
        <v/>
      </c>
      <c r="I249" s="39"/>
      <c r="J249" s="40"/>
      <c r="K249" s="40"/>
      <c r="L249" s="39"/>
      <c r="M249" s="41" t="str">
        <f aca="false">IF($A249="","",IF(K249=_xlfn.MAXIFS($K$5:$K$304,$A$5:$A$304,$A249),1,0))</f>
        <v/>
      </c>
      <c r="N249" s="41" t="str">
        <f aca="false">IF($A249="","",IF(M249=1,$A249&amp;"-ACT",""))</f>
        <v/>
      </c>
      <c r="O249" s="41" t="str">
        <f aca="false">IF($A249="","",IF(AND(COUNTIF('Base de Personas'!$B$7:$B$21,$A249)=0,COUNTIF($A$5:A249,$A249)=1),1,0))</f>
        <v/>
      </c>
      <c r="P249" s="41" t="str">
        <f aca="false">IF(O249=1,SUM($O$5:O249),"")</f>
        <v/>
      </c>
    </row>
    <row r="250" customFormat="false" ht="15" hidden="false" customHeight="false" outlineLevel="0" collapsed="false">
      <c r="A250" s="35"/>
      <c r="B250" s="36" t="str">
        <f aca="false">IF($A250="","",TRIM(SUBSTITUTE(SUBSTITUTE(SUBSTITUTE(SUBSTITUTE(SUBSTITUTE(SUBSTITUTE(UPPER(IFERROR(INDEX('Base de Personas'!$C7:C21,MATCH($A250,'Base de Personas'!$B7:B21,0)),IFERROR(INDEX($B$5:B249,MATCH($A250,$A$5:A249,0)),""))),"Á","A"),"É","E"),"Í","I"),"Ó","O"),"Ú","U"),"Ü","U")))</f>
        <v/>
      </c>
      <c r="C250" s="37" t="str">
        <f aca="false">IF($A250="","",TRIM(SUBSTITUTE(SUBSTITUTE(SUBSTITUTE(SUBSTITUTE(SUBSTITUTE(SUBSTITUTE(UPPER(IFERROR(INDEX('Base de Personas'!$D7:D21,MATCH($A250,'Base de Personas'!$B7:B21,0)),IFERROR(INDEX($C$5:C249,MATCH($A250,$A$5:A249,0)),""))),"Á","A"),"É","E"),"Í","I"),"Ó","O"),"Ú","U"),"Ü","U")))</f>
        <v/>
      </c>
      <c r="D250" s="36" t="str">
        <f aca="false">IF($A250="","",TRIM(SUBSTITUTE(SUBSTITUTE(SUBSTITUTE(SUBSTITUTE(SUBSTITUTE(SUBSTITUTE(UPPER(IFERROR(INDEX('Base de Personas'!$E7:E21,MATCH($A250,'Base de Personas'!$B7:B21,0)),IFERROR(INDEX($D$5:D249,MATCH($A250,$A$5:A249,0)),""))),"Á","A"),"É","E"),"Í","I"),"Ó","O"),"Ú","U"),"Ü","U")))</f>
        <v/>
      </c>
      <c r="E250" s="36" t="str">
        <f aca="false">IF($A250="","",TRIM(SUBSTITUTE(SUBSTITUTE(SUBSTITUTE(SUBSTITUTE(SUBSTITUTE(SUBSTITUTE(UPPER(IFERROR(INDEX('Base de Personas'!$F7:F21,MATCH($A250,'Base de Personas'!$B7:B21,0)),IFERROR(INDEX($E$5:E249,MATCH($A250,$A$5:A249,0)),""))),"Á","A"),"É","E"),"Í","I"),"Ó","O"),"Ú","U"),"Ü","U")))</f>
        <v/>
      </c>
      <c r="F250" s="36" t="str">
        <f aca="false">IF($A250="","",TRIM(SUBSTITUTE(SUBSTITUTE(SUBSTITUTE(SUBSTITUTE(SUBSTITUTE(SUBSTITUTE(UPPER(IFERROR(INDEX('Base de Personas'!$G7:G21,MATCH($A250,'Base de Personas'!$B7:B21,0)),IFERROR(INDEX($F$5:F249,MATCH($A250,$A$5:A249,0)),""))),"Á","A"),"É","E"),"Í","I"),"Ó","O"),"Ú","U"),"Ü","U")))</f>
        <v/>
      </c>
      <c r="G250" s="37" t="str">
        <f aca="false">IF($A250="","",TRIM(SUBSTITUTE(SUBSTITUTE(SUBSTITUTE(SUBSTITUTE(SUBSTITUTE(SUBSTITUTE(UPPER(IFERROR(INDEX('Base de Personas'!$H7:H21,MATCH($A250,'Base de Personas'!$B7:B21,0)),IFERROR(INDEX($G$5:G249,MATCH($A250,$A$5:A249,0)),""))),"Á","A"),"É","E"),"Í","I"),"Ó","O"),"Ú","U"),"Ü","U")))</f>
        <v/>
      </c>
      <c r="H250" s="38" t="str">
        <f aca="false">IF($A250="","",IFERROR(INDEX('Base de Personas'!$I$7:$I$21,MATCH($A250,'Base de Personas'!$B$7:$B$21,0)),IFERROR(INDEX($H$5:H249,MATCH($A250,$A$5:A249,0)),"")))</f>
        <v/>
      </c>
      <c r="I250" s="39"/>
      <c r="J250" s="40"/>
      <c r="K250" s="40"/>
      <c r="L250" s="39"/>
      <c r="M250" s="41" t="str">
        <f aca="false">IF($A250="","",IF(K250=_xlfn.MAXIFS($K$5:$K$304,$A$5:$A$304,$A250),1,0))</f>
        <v/>
      </c>
      <c r="N250" s="41" t="str">
        <f aca="false">IF($A250="","",IF(M250=1,$A250&amp;"-ACT",""))</f>
        <v/>
      </c>
      <c r="O250" s="41" t="str">
        <f aca="false">IF($A250="","",IF(AND(COUNTIF('Base de Personas'!$B$7:$B$21,$A250)=0,COUNTIF($A$5:A250,$A250)=1),1,0))</f>
        <v/>
      </c>
      <c r="P250" s="41" t="str">
        <f aca="false">IF(O250=1,SUM($O$5:O250),"")</f>
        <v/>
      </c>
    </row>
    <row r="251" customFormat="false" ht="15" hidden="false" customHeight="false" outlineLevel="0" collapsed="false">
      <c r="A251" s="35"/>
      <c r="B251" s="36" t="str">
        <f aca="false">IF($A251="","",TRIM(SUBSTITUTE(SUBSTITUTE(SUBSTITUTE(SUBSTITUTE(SUBSTITUTE(SUBSTITUTE(UPPER(IFERROR(INDEX('Base de Personas'!$C7:C21,MATCH($A251,'Base de Personas'!$B7:B21,0)),IFERROR(INDEX($B$5:B250,MATCH($A251,$A$5:A250,0)),""))),"Á","A"),"É","E"),"Í","I"),"Ó","O"),"Ú","U"),"Ü","U")))</f>
        <v/>
      </c>
      <c r="C251" s="37" t="str">
        <f aca="false">IF($A251="","",TRIM(SUBSTITUTE(SUBSTITUTE(SUBSTITUTE(SUBSTITUTE(SUBSTITUTE(SUBSTITUTE(UPPER(IFERROR(INDEX('Base de Personas'!$D7:D21,MATCH($A251,'Base de Personas'!$B7:B21,0)),IFERROR(INDEX($C$5:C250,MATCH($A251,$A$5:A250,0)),""))),"Á","A"),"É","E"),"Í","I"),"Ó","O"),"Ú","U"),"Ü","U")))</f>
        <v/>
      </c>
      <c r="D251" s="36" t="str">
        <f aca="false">IF($A251="","",TRIM(SUBSTITUTE(SUBSTITUTE(SUBSTITUTE(SUBSTITUTE(SUBSTITUTE(SUBSTITUTE(UPPER(IFERROR(INDEX('Base de Personas'!$E7:E21,MATCH($A251,'Base de Personas'!$B7:B21,0)),IFERROR(INDEX($D$5:D250,MATCH($A251,$A$5:A250,0)),""))),"Á","A"),"É","E"),"Í","I"),"Ó","O"),"Ú","U"),"Ü","U")))</f>
        <v/>
      </c>
      <c r="E251" s="36" t="str">
        <f aca="false">IF($A251="","",TRIM(SUBSTITUTE(SUBSTITUTE(SUBSTITUTE(SUBSTITUTE(SUBSTITUTE(SUBSTITUTE(UPPER(IFERROR(INDEX('Base de Personas'!$F7:F21,MATCH($A251,'Base de Personas'!$B7:B21,0)),IFERROR(INDEX($E$5:E250,MATCH($A251,$A$5:A250,0)),""))),"Á","A"),"É","E"),"Í","I"),"Ó","O"),"Ú","U"),"Ü","U")))</f>
        <v/>
      </c>
      <c r="F251" s="36" t="str">
        <f aca="false">IF($A251="","",TRIM(SUBSTITUTE(SUBSTITUTE(SUBSTITUTE(SUBSTITUTE(SUBSTITUTE(SUBSTITUTE(UPPER(IFERROR(INDEX('Base de Personas'!$G7:G21,MATCH($A251,'Base de Personas'!$B7:B21,0)),IFERROR(INDEX($F$5:F250,MATCH($A251,$A$5:A250,0)),""))),"Á","A"),"É","E"),"Í","I"),"Ó","O"),"Ú","U"),"Ü","U")))</f>
        <v/>
      </c>
      <c r="G251" s="37" t="str">
        <f aca="false">IF($A251="","",TRIM(SUBSTITUTE(SUBSTITUTE(SUBSTITUTE(SUBSTITUTE(SUBSTITUTE(SUBSTITUTE(UPPER(IFERROR(INDEX('Base de Personas'!$H7:H21,MATCH($A251,'Base de Personas'!$B7:B21,0)),IFERROR(INDEX($G$5:G250,MATCH($A251,$A$5:A250,0)),""))),"Á","A"),"É","E"),"Í","I"),"Ó","O"),"Ú","U"),"Ü","U")))</f>
        <v/>
      </c>
      <c r="H251" s="38" t="str">
        <f aca="false">IF($A251="","",IFERROR(INDEX('Base de Personas'!$I$7:$I$21,MATCH($A251,'Base de Personas'!$B$7:$B$21,0)),IFERROR(INDEX($H$5:H250,MATCH($A251,$A$5:A250,0)),"")))</f>
        <v/>
      </c>
      <c r="I251" s="39"/>
      <c r="J251" s="40"/>
      <c r="K251" s="40"/>
      <c r="L251" s="39"/>
      <c r="M251" s="41" t="str">
        <f aca="false">IF($A251="","",IF(K251=_xlfn.MAXIFS($K$5:$K$304,$A$5:$A$304,$A251),1,0))</f>
        <v/>
      </c>
      <c r="N251" s="41" t="str">
        <f aca="false">IF($A251="","",IF(M251=1,$A251&amp;"-ACT",""))</f>
        <v/>
      </c>
      <c r="O251" s="41" t="str">
        <f aca="false">IF($A251="","",IF(AND(COUNTIF('Base de Personas'!$B$7:$B$21,$A251)=0,COUNTIF($A$5:A251,$A251)=1),1,0))</f>
        <v/>
      </c>
      <c r="P251" s="41" t="str">
        <f aca="false">IF(O251=1,SUM($O$5:O251),"")</f>
        <v/>
      </c>
    </row>
    <row r="252" customFormat="false" ht="15" hidden="false" customHeight="false" outlineLevel="0" collapsed="false">
      <c r="A252" s="35"/>
      <c r="B252" s="36" t="str">
        <f aca="false">IF($A252="","",TRIM(SUBSTITUTE(SUBSTITUTE(SUBSTITUTE(SUBSTITUTE(SUBSTITUTE(SUBSTITUTE(UPPER(IFERROR(INDEX('Base de Personas'!$C7:C21,MATCH($A252,'Base de Personas'!$B7:B21,0)),IFERROR(INDEX($B$5:B251,MATCH($A252,$A$5:A251,0)),""))),"Á","A"),"É","E"),"Í","I"),"Ó","O"),"Ú","U"),"Ü","U")))</f>
        <v/>
      </c>
      <c r="C252" s="37" t="str">
        <f aca="false">IF($A252="","",TRIM(SUBSTITUTE(SUBSTITUTE(SUBSTITUTE(SUBSTITUTE(SUBSTITUTE(SUBSTITUTE(UPPER(IFERROR(INDEX('Base de Personas'!$D7:D21,MATCH($A252,'Base de Personas'!$B7:B21,0)),IFERROR(INDEX($C$5:C251,MATCH($A252,$A$5:A251,0)),""))),"Á","A"),"É","E"),"Í","I"),"Ó","O"),"Ú","U"),"Ü","U")))</f>
        <v/>
      </c>
      <c r="D252" s="36" t="str">
        <f aca="false">IF($A252="","",TRIM(SUBSTITUTE(SUBSTITUTE(SUBSTITUTE(SUBSTITUTE(SUBSTITUTE(SUBSTITUTE(UPPER(IFERROR(INDEX('Base de Personas'!$E7:E21,MATCH($A252,'Base de Personas'!$B7:B21,0)),IFERROR(INDEX($D$5:D251,MATCH($A252,$A$5:A251,0)),""))),"Á","A"),"É","E"),"Í","I"),"Ó","O"),"Ú","U"),"Ü","U")))</f>
        <v/>
      </c>
      <c r="E252" s="36" t="str">
        <f aca="false">IF($A252="","",TRIM(SUBSTITUTE(SUBSTITUTE(SUBSTITUTE(SUBSTITUTE(SUBSTITUTE(SUBSTITUTE(UPPER(IFERROR(INDEX('Base de Personas'!$F7:F21,MATCH($A252,'Base de Personas'!$B7:B21,0)),IFERROR(INDEX($E$5:E251,MATCH($A252,$A$5:A251,0)),""))),"Á","A"),"É","E"),"Í","I"),"Ó","O"),"Ú","U"),"Ü","U")))</f>
        <v/>
      </c>
      <c r="F252" s="36" t="str">
        <f aca="false">IF($A252="","",TRIM(SUBSTITUTE(SUBSTITUTE(SUBSTITUTE(SUBSTITUTE(SUBSTITUTE(SUBSTITUTE(UPPER(IFERROR(INDEX('Base de Personas'!$G7:G21,MATCH($A252,'Base de Personas'!$B7:B21,0)),IFERROR(INDEX($F$5:F251,MATCH($A252,$A$5:A251,0)),""))),"Á","A"),"É","E"),"Í","I"),"Ó","O"),"Ú","U"),"Ü","U")))</f>
        <v/>
      </c>
      <c r="G252" s="37" t="str">
        <f aca="false">IF($A252="","",TRIM(SUBSTITUTE(SUBSTITUTE(SUBSTITUTE(SUBSTITUTE(SUBSTITUTE(SUBSTITUTE(UPPER(IFERROR(INDEX('Base de Personas'!$H7:H21,MATCH($A252,'Base de Personas'!$B7:B21,0)),IFERROR(INDEX($G$5:G251,MATCH($A252,$A$5:A251,0)),""))),"Á","A"),"É","E"),"Í","I"),"Ó","O"),"Ú","U"),"Ü","U")))</f>
        <v/>
      </c>
      <c r="H252" s="38" t="str">
        <f aca="false">IF($A252="","",IFERROR(INDEX('Base de Personas'!$I$7:$I$21,MATCH($A252,'Base de Personas'!$B$7:$B$21,0)),IFERROR(INDEX($H$5:H251,MATCH($A252,$A$5:A251,0)),"")))</f>
        <v/>
      </c>
      <c r="I252" s="39"/>
      <c r="J252" s="40"/>
      <c r="K252" s="40"/>
      <c r="L252" s="39"/>
      <c r="M252" s="41" t="str">
        <f aca="false">IF($A252="","",IF(K252=_xlfn.MAXIFS($K$5:$K$304,$A$5:$A$304,$A252),1,0))</f>
        <v/>
      </c>
      <c r="N252" s="41" t="str">
        <f aca="false">IF($A252="","",IF(M252=1,$A252&amp;"-ACT",""))</f>
        <v/>
      </c>
      <c r="O252" s="41" t="str">
        <f aca="false">IF($A252="","",IF(AND(COUNTIF('Base de Personas'!$B$7:$B$21,$A252)=0,COUNTIF($A$5:A252,$A252)=1),1,0))</f>
        <v/>
      </c>
      <c r="P252" s="41" t="str">
        <f aca="false">IF(O252=1,SUM($O$5:O252),"")</f>
        <v/>
      </c>
    </row>
    <row r="253" customFormat="false" ht="15" hidden="false" customHeight="false" outlineLevel="0" collapsed="false">
      <c r="A253" s="35"/>
      <c r="B253" s="36" t="str">
        <f aca="false">IF($A253="","",TRIM(SUBSTITUTE(SUBSTITUTE(SUBSTITUTE(SUBSTITUTE(SUBSTITUTE(SUBSTITUTE(UPPER(IFERROR(INDEX('Base de Personas'!$C7:C21,MATCH($A253,'Base de Personas'!$B7:B21,0)),IFERROR(INDEX($B$5:B252,MATCH($A253,$A$5:A252,0)),""))),"Á","A"),"É","E"),"Í","I"),"Ó","O"),"Ú","U"),"Ü","U")))</f>
        <v/>
      </c>
      <c r="C253" s="37" t="str">
        <f aca="false">IF($A253="","",TRIM(SUBSTITUTE(SUBSTITUTE(SUBSTITUTE(SUBSTITUTE(SUBSTITUTE(SUBSTITUTE(UPPER(IFERROR(INDEX('Base de Personas'!$D7:D21,MATCH($A253,'Base de Personas'!$B7:B21,0)),IFERROR(INDEX($C$5:C252,MATCH($A253,$A$5:A252,0)),""))),"Á","A"),"É","E"),"Í","I"),"Ó","O"),"Ú","U"),"Ü","U")))</f>
        <v/>
      </c>
      <c r="D253" s="36" t="str">
        <f aca="false">IF($A253="","",TRIM(SUBSTITUTE(SUBSTITUTE(SUBSTITUTE(SUBSTITUTE(SUBSTITUTE(SUBSTITUTE(UPPER(IFERROR(INDEX('Base de Personas'!$E7:E21,MATCH($A253,'Base de Personas'!$B7:B21,0)),IFERROR(INDEX($D$5:D252,MATCH($A253,$A$5:A252,0)),""))),"Á","A"),"É","E"),"Í","I"),"Ó","O"),"Ú","U"),"Ü","U")))</f>
        <v/>
      </c>
      <c r="E253" s="36" t="str">
        <f aca="false">IF($A253="","",TRIM(SUBSTITUTE(SUBSTITUTE(SUBSTITUTE(SUBSTITUTE(SUBSTITUTE(SUBSTITUTE(UPPER(IFERROR(INDEX('Base de Personas'!$F7:F21,MATCH($A253,'Base de Personas'!$B7:B21,0)),IFERROR(INDEX($E$5:E252,MATCH($A253,$A$5:A252,0)),""))),"Á","A"),"É","E"),"Í","I"),"Ó","O"),"Ú","U"),"Ü","U")))</f>
        <v/>
      </c>
      <c r="F253" s="36" t="str">
        <f aca="false">IF($A253="","",TRIM(SUBSTITUTE(SUBSTITUTE(SUBSTITUTE(SUBSTITUTE(SUBSTITUTE(SUBSTITUTE(UPPER(IFERROR(INDEX('Base de Personas'!$G7:G21,MATCH($A253,'Base de Personas'!$B7:B21,0)),IFERROR(INDEX($F$5:F252,MATCH($A253,$A$5:A252,0)),""))),"Á","A"),"É","E"),"Í","I"),"Ó","O"),"Ú","U"),"Ü","U")))</f>
        <v/>
      </c>
      <c r="G253" s="37" t="str">
        <f aca="false">IF($A253="","",TRIM(SUBSTITUTE(SUBSTITUTE(SUBSTITUTE(SUBSTITUTE(SUBSTITUTE(SUBSTITUTE(UPPER(IFERROR(INDEX('Base de Personas'!$H7:H21,MATCH($A253,'Base de Personas'!$B7:B21,0)),IFERROR(INDEX($G$5:G252,MATCH($A253,$A$5:A252,0)),""))),"Á","A"),"É","E"),"Í","I"),"Ó","O"),"Ú","U"),"Ü","U")))</f>
        <v/>
      </c>
      <c r="H253" s="38" t="str">
        <f aca="false">IF($A253="","",IFERROR(INDEX('Base de Personas'!$I$7:$I$21,MATCH($A253,'Base de Personas'!$B$7:$B$21,0)),IFERROR(INDEX($H$5:H252,MATCH($A253,$A$5:A252,0)),"")))</f>
        <v/>
      </c>
      <c r="I253" s="39"/>
      <c r="J253" s="40"/>
      <c r="K253" s="40"/>
      <c r="L253" s="39"/>
      <c r="M253" s="41" t="str">
        <f aca="false">IF($A253="","",IF(K253=_xlfn.MAXIFS($K$5:$K$304,$A$5:$A$304,$A253),1,0))</f>
        <v/>
      </c>
      <c r="N253" s="41" t="str">
        <f aca="false">IF($A253="","",IF(M253=1,$A253&amp;"-ACT",""))</f>
        <v/>
      </c>
      <c r="O253" s="41" t="str">
        <f aca="false">IF($A253="","",IF(AND(COUNTIF('Base de Personas'!$B$7:$B$21,$A253)=0,COUNTIF($A$5:A253,$A253)=1),1,0))</f>
        <v/>
      </c>
      <c r="P253" s="41" t="str">
        <f aca="false">IF(O253=1,SUM($O$5:O253),"")</f>
        <v/>
      </c>
    </row>
    <row r="254" customFormat="false" ht="15" hidden="false" customHeight="false" outlineLevel="0" collapsed="false">
      <c r="A254" s="35"/>
      <c r="B254" s="36" t="str">
        <f aca="false">IF($A254="","",TRIM(SUBSTITUTE(SUBSTITUTE(SUBSTITUTE(SUBSTITUTE(SUBSTITUTE(SUBSTITUTE(UPPER(IFERROR(INDEX('Base de Personas'!$C7:C21,MATCH($A254,'Base de Personas'!$B7:B21,0)),IFERROR(INDEX($B$5:B253,MATCH($A254,$A$5:A253,0)),""))),"Á","A"),"É","E"),"Í","I"),"Ó","O"),"Ú","U"),"Ü","U")))</f>
        <v/>
      </c>
      <c r="C254" s="37" t="str">
        <f aca="false">IF($A254="","",TRIM(SUBSTITUTE(SUBSTITUTE(SUBSTITUTE(SUBSTITUTE(SUBSTITUTE(SUBSTITUTE(UPPER(IFERROR(INDEX('Base de Personas'!$D7:D21,MATCH($A254,'Base de Personas'!$B7:B21,0)),IFERROR(INDEX($C$5:C253,MATCH($A254,$A$5:A253,0)),""))),"Á","A"),"É","E"),"Í","I"),"Ó","O"),"Ú","U"),"Ü","U")))</f>
        <v/>
      </c>
      <c r="D254" s="36" t="str">
        <f aca="false">IF($A254="","",TRIM(SUBSTITUTE(SUBSTITUTE(SUBSTITUTE(SUBSTITUTE(SUBSTITUTE(SUBSTITUTE(UPPER(IFERROR(INDEX('Base de Personas'!$E7:E21,MATCH($A254,'Base de Personas'!$B7:B21,0)),IFERROR(INDEX($D$5:D253,MATCH($A254,$A$5:A253,0)),""))),"Á","A"),"É","E"),"Í","I"),"Ó","O"),"Ú","U"),"Ü","U")))</f>
        <v/>
      </c>
      <c r="E254" s="36" t="str">
        <f aca="false">IF($A254="","",TRIM(SUBSTITUTE(SUBSTITUTE(SUBSTITUTE(SUBSTITUTE(SUBSTITUTE(SUBSTITUTE(UPPER(IFERROR(INDEX('Base de Personas'!$F7:F21,MATCH($A254,'Base de Personas'!$B7:B21,0)),IFERROR(INDEX($E$5:E253,MATCH($A254,$A$5:A253,0)),""))),"Á","A"),"É","E"),"Í","I"),"Ó","O"),"Ú","U"),"Ü","U")))</f>
        <v/>
      </c>
      <c r="F254" s="36" t="str">
        <f aca="false">IF($A254="","",TRIM(SUBSTITUTE(SUBSTITUTE(SUBSTITUTE(SUBSTITUTE(SUBSTITUTE(SUBSTITUTE(UPPER(IFERROR(INDEX('Base de Personas'!$G7:G21,MATCH($A254,'Base de Personas'!$B7:B21,0)),IFERROR(INDEX($F$5:F253,MATCH($A254,$A$5:A253,0)),""))),"Á","A"),"É","E"),"Í","I"),"Ó","O"),"Ú","U"),"Ü","U")))</f>
        <v/>
      </c>
      <c r="G254" s="37" t="str">
        <f aca="false">IF($A254="","",TRIM(SUBSTITUTE(SUBSTITUTE(SUBSTITUTE(SUBSTITUTE(SUBSTITUTE(SUBSTITUTE(UPPER(IFERROR(INDEX('Base de Personas'!$H7:H21,MATCH($A254,'Base de Personas'!$B7:B21,0)),IFERROR(INDEX($G$5:G253,MATCH($A254,$A$5:A253,0)),""))),"Á","A"),"É","E"),"Í","I"),"Ó","O"),"Ú","U"),"Ü","U")))</f>
        <v/>
      </c>
      <c r="H254" s="38" t="str">
        <f aca="false">IF($A254="","",IFERROR(INDEX('Base de Personas'!$I$7:$I$21,MATCH($A254,'Base de Personas'!$B$7:$B$21,0)),IFERROR(INDEX($H$5:H253,MATCH($A254,$A$5:A253,0)),"")))</f>
        <v/>
      </c>
      <c r="I254" s="39"/>
      <c r="J254" s="40"/>
      <c r="K254" s="40"/>
      <c r="L254" s="39"/>
      <c r="M254" s="41" t="str">
        <f aca="false">IF($A254="","",IF(K254=_xlfn.MAXIFS($K$5:$K$304,$A$5:$A$304,$A254),1,0))</f>
        <v/>
      </c>
      <c r="N254" s="41" t="str">
        <f aca="false">IF($A254="","",IF(M254=1,$A254&amp;"-ACT",""))</f>
        <v/>
      </c>
      <c r="O254" s="41" t="str">
        <f aca="false">IF($A254="","",IF(AND(COUNTIF('Base de Personas'!$B$7:$B$21,$A254)=0,COUNTIF($A$5:A254,$A254)=1),1,0))</f>
        <v/>
      </c>
      <c r="P254" s="41" t="str">
        <f aca="false">IF(O254=1,SUM($O$5:O254),"")</f>
        <v/>
      </c>
    </row>
    <row r="255" customFormat="false" ht="15" hidden="false" customHeight="false" outlineLevel="0" collapsed="false">
      <c r="A255" s="35"/>
      <c r="B255" s="36" t="str">
        <f aca="false">IF($A255="","",TRIM(SUBSTITUTE(SUBSTITUTE(SUBSTITUTE(SUBSTITUTE(SUBSTITUTE(SUBSTITUTE(UPPER(IFERROR(INDEX('Base de Personas'!$C7:C21,MATCH($A255,'Base de Personas'!$B7:B21,0)),IFERROR(INDEX($B$5:B254,MATCH($A255,$A$5:A254,0)),""))),"Á","A"),"É","E"),"Í","I"),"Ó","O"),"Ú","U"),"Ü","U")))</f>
        <v/>
      </c>
      <c r="C255" s="37" t="str">
        <f aca="false">IF($A255="","",TRIM(SUBSTITUTE(SUBSTITUTE(SUBSTITUTE(SUBSTITUTE(SUBSTITUTE(SUBSTITUTE(UPPER(IFERROR(INDEX('Base de Personas'!$D7:D21,MATCH($A255,'Base de Personas'!$B7:B21,0)),IFERROR(INDEX($C$5:C254,MATCH($A255,$A$5:A254,0)),""))),"Á","A"),"É","E"),"Í","I"),"Ó","O"),"Ú","U"),"Ü","U")))</f>
        <v/>
      </c>
      <c r="D255" s="36" t="str">
        <f aca="false">IF($A255="","",TRIM(SUBSTITUTE(SUBSTITUTE(SUBSTITUTE(SUBSTITUTE(SUBSTITUTE(SUBSTITUTE(UPPER(IFERROR(INDEX('Base de Personas'!$E7:E21,MATCH($A255,'Base de Personas'!$B7:B21,0)),IFERROR(INDEX($D$5:D254,MATCH($A255,$A$5:A254,0)),""))),"Á","A"),"É","E"),"Í","I"),"Ó","O"),"Ú","U"),"Ü","U")))</f>
        <v/>
      </c>
      <c r="E255" s="36" t="str">
        <f aca="false">IF($A255="","",TRIM(SUBSTITUTE(SUBSTITUTE(SUBSTITUTE(SUBSTITUTE(SUBSTITUTE(SUBSTITUTE(UPPER(IFERROR(INDEX('Base de Personas'!$F7:F21,MATCH($A255,'Base de Personas'!$B7:B21,0)),IFERROR(INDEX($E$5:E254,MATCH($A255,$A$5:A254,0)),""))),"Á","A"),"É","E"),"Í","I"),"Ó","O"),"Ú","U"),"Ü","U")))</f>
        <v/>
      </c>
      <c r="F255" s="36" t="str">
        <f aca="false">IF($A255="","",TRIM(SUBSTITUTE(SUBSTITUTE(SUBSTITUTE(SUBSTITUTE(SUBSTITUTE(SUBSTITUTE(UPPER(IFERROR(INDEX('Base de Personas'!$G7:G21,MATCH($A255,'Base de Personas'!$B7:B21,0)),IFERROR(INDEX($F$5:F254,MATCH($A255,$A$5:A254,0)),""))),"Á","A"),"É","E"),"Í","I"),"Ó","O"),"Ú","U"),"Ü","U")))</f>
        <v/>
      </c>
      <c r="G255" s="37" t="str">
        <f aca="false">IF($A255="","",TRIM(SUBSTITUTE(SUBSTITUTE(SUBSTITUTE(SUBSTITUTE(SUBSTITUTE(SUBSTITUTE(UPPER(IFERROR(INDEX('Base de Personas'!$H7:H21,MATCH($A255,'Base de Personas'!$B7:B21,0)),IFERROR(INDEX($G$5:G254,MATCH($A255,$A$5:A254,0)),""))),"Á","A"),"É","E"),"Í","I"),"Ó","O"),"Ú","U"),"Ü","U")))</f>
        <v/>
      </c>
      <c r="H255" s="38" t="str">
        <f aca="false">IF($A255="","",IFERROR(INDEX('Base de Personas'!$I$7:$I$21,MATCH($A255,'Base de Personas'!$B$7:$B$21,0)),IFERROR(INDEX($H$5:H254,MATCH($A255,$A$5:A254,0)),"")))</f>
        <v/>
      </c>
      <c r="I255" s="39"/>
      <c r="J255" s="40"/>
      <c r="K255" s="40"/>
      <c r="L255" s="39"/>
      <c r="M255" s="41" t="str">
        <f aca="false">IF($A255="","",IF(K255=_xlfn.MAXIFS($K$5:$K$304,$A$5:$A$304,$A255),1,0))</f>
        <v/>
      </c>
      <c r="N255" s="41" t="str">
        <f aca="false">IF($A255="","",IF(M255=1,$A255&amp;"-ACT",""))</f>
        <v/>
      </c>
      <c r="O255" s="41" t="str">
        <f aca="false">IF($A255="","",IF(AND(COUNTIF('Base de Personas'!$B$7:$B$21,$A255)=0,COUNTIF($A$5:A255,$A255)=1),1,0))</f>
        <v/>
      </c>
      <c r="P255" s="41" t="str">
        <f aca="false">IF(O255=1,SUM($O$5:O255),"")</f>
        <v/>
      </c>
    </row>
    <row r="256" customFormat="false" ht="15" hidden="false" customHeight="false" outlineLevel="0" collapsed="false">
      <c r="A256" s="35"/>
      <c r="B256" s="36" t="str">
        <f aca="false">IF($A256="","",TRIM(SUBSTITUTE(SUBSTITUTE(SUBSTITUTE(SUBSTITUTE(SUBSTITUTE(SUBSTITUTE(UPPER(IFERROR(INDEX('Base de Personas'!$C7:C21,MATCH($A256,'Base de Personas'!$B7:B21,0)),IFERROR(INDEX($B$5:B255,MATCH($A256,$A$5:A255,0)),""))),"Á","A"),"É","E"),"Í","I"),"Ó","O"),"Ú","U"),"Ü","U")))</f>
        <v/>
      </c>
      <c r="C256" s="37" t="str">
        <f aca="false">IF($A256="","",TRIM(SUBSTITUTE(SUBSTITUTE(SUBSTITUTE(SUBSTITUTE(SUBSTITUTE(SUBSTITUTE(UPPER(IFERROR(INDEX('Base de Personas'!$D7:D21,MATCH($A256,'Base de Personas'!$B7:B21,0)),IFERROR(INDEX($C$5:C255,MATCH($A256,$A$5:A255,0)),""))),"Á","A"),"É","E"),"Í","I"),"Ó","O"),"Ú","U"),"Ü","U")))</f>
        <v/>
      </c>
      <c r="D256" s="36" t="str">
        <f aca="false">IF($A256="","",TRIM(SUBSTITUTE(SUBSTITUTE(SUBSTITUTE(SUBSTITUTE(SUBSTITUTE(SUBSTITUTE(UPPER(IFERROR(INDEX('Base de Personas'!$E7:E21,MATCH($A256,'Base de Personas'!$B7:B21,0)),IFERROR(INDEX($D$5:D255,MATCH($A256,$A$5:A255,0)),""))),"Á","A"),"É","E"),"Í","I"),"Ó","O"),"Ú","U"),"Ü","U")))</f>
        <v/>
      </c>
      <c r="E256" s="36" t="str">
        <f aca="false">IF($A256="","",TRIM(SUBSTITUTE(SUBSTITUTE(SUBSTITUTE(SUBSTITUTE(SUBSTITUTE(SUBSTITUTE(UPPER(IFERROR(INDEX('Base de Personas'!$F7:F21,MATCH($A256,'Base de Personas'!$B7:B21,0)),IFERROR(INDEX($E$5:E255,MATCH($A256,$A$5:A255,0)),""))),"Á","A"),"É","E"),"Í","I"),"Ó","O"),"Ú","U"),"Ü","U")))</f>
        <v/>
      </c>
      <c r="F256" s="36" t="str">
        <f aca="false">IF($A256="","",TRIM(SUBSTITUTE(SUBSTITUTE(SUBSTITUTE(SUBSTITUTE(SUBSTITUTE(SUBSTITUTE(UPPER(IFERROR(INDEX('Base de Personas'!$G7:G21,MATCH($A256,'Base de Personas'!$B7:B21,0)),IFERROR(INDEX($F$5:F255,MATCH($A256,$A$5:A255,0)),""))),"Á","A"),"É","E"),"Í","I"),"Ó","O"),"Ú","U"),"Ü","U")))</f>
        <v/>
      </c>
      <c r="G256" s="37" t="str">
        <f aca="false">IF($A256="","",TRIM(SUBSTITUTE(SUBSTITUTE(SUBSTITUTE(SUBSTITUTE(SUBSTITUTE(SUBSTITUTE(UPPER(IFERROR(INDEX('Base de Personas'!$H7:H21,MATCH($A256,'Base de Personas'!$B7:B21,0)),IFERROR(INDEX($G$5:G255,MATCH($A256,$A$5:A255,0)),""))),"Á","A"),"É","E"),"Í","I"),"Ó","O"),"Ú","U"),"Ü","U")))</f>
        <v/>
      </c>
      <c r="H256" s="38" t="str">
        <f aca="false">IF($A256="","",IFERROR(INDEX('Base de Personas'!$I$7:$I$21,MATCH($A256,'Base de Personas'!$B$7:$B$21,0)),IFERROR(INDEX($H$5:H255,MATCH($A256,$A$5:A255,0)),"")))</f>
        <v/>
      </c>
      <c r="I256" s="39"/>
      <c r="J256" s="40"/>
      <c r="K256" s="40"/>
      <c r="L256" s="39"/>
      <c r="M256" s="41" t="str">
        <f aca="false">IF($A256="","",IF(K256=_xlfn.MAXIFS($K$5:$K$304,$A$5:$A$304,$A256),1,0))</f>
        <v/>
      </c>
      <c r="N256" s="41" t="str">
        <f aca="false">IF($A256="","",IF(M256=1,$A256&amp;"-ACT",""))</f>
        <v/>
      </c>
      <c r="O256" s="41" t="str">
        <f aca="false">IF($A256="","",IF(AND(COUNTIF('Base de Personas'!$B$7:$B$21,$A256)=0,COUNTIF($A$5:A256,$A256)=1),1,0))</f>
        <v/>
      </c>
      <c r="P256" s="41" t="str">
        <f aca="false">IF(O256=1,SUM($O$5:O256),"")</f>
        <v/>
      </c>
    </row>
    <row r="257" customFormat="false" ht="15" hidden="false" customHeight="false" outlineLevel="0" collapsed="false">
      <c r="A257" s="35"/>
      <c r="B257" s="36" t="str">
        <f aca="false">IF($A257="","",TRIM(SUBSTITUTE(SUBSTITUTE(SUBSTITUTE(SUBSTITUTE(SUBSTITUTE(SUBSTITUTE(UPPER(IFERROR(INDEX('Base de Personas'!$C7:C21,MATCH($A257,'Base de Personas'!$B7:B21,0)),IFERROR(INDEX($B$5:B256,MATCH($A257,$A$5:A256,0)),""))),"Á","A"),"É","E"),"Í","I"),"Ó","O"),"Ú","U"),"Ü","U")))</f>
        <v/>
      </c>
      <c r="C257" s="37" t="str">
        <f aca="false">IF($A257="","",TRIM(SUBSTITUTE(SUBSTITUTE(SUBSTITUTE(SUBSTITUTE(SUBSTITUTE(SUBSTITUTE(UPPER(IFERROR(INDEX('Base de Personas'!$D7:D21,MATCH($A257,'Base de Personas'!$B7:B21,0)),IFERROR(INDEX($C$5:C256,MATCH($A257,$A$5:A256,0)),""))),"Á","A"),"É","E"),"Í","I"),"Ó","O"),"Ú","U"),"Ü","U")))</f>
        <v/>
      </c>
      <c r="D257" s="36" t="str">
        <f aca="false">IF($A257="","",TRIM(SUBSTITUTE(SUBSTITUTE(SUBSTITUTE(SUBSTITUTE(SUBSTITUTE(SUBSTITUTE(UPPER(IFERROR(INDEX('Base de Personas'!$E7:E21,MATCH($A257,'Base de Personas'!$B7:B21,0)),IFERROR(INDEX($D$5:D256,MATCH($A257,$A$5:A256,0)),""))),"Á","A"),"É","E"),"Í","I"),"Ó","O"),"Ú","U"),"Ü","U")))</f>
        <v/>
      </c>
      <c r="E257" s="36" t="str">
        <f aca="false">IF($A257="","",TRIM(SUBSTITUTE(SUBSTITUTE(SUBSTITUTE(SUBSTITUTE(SUBSTITUTE(SUBSTITUTE(UPPER(IFERROR(INDEX('Base de Personas'!$F7:F21,MATCH($A257,'Base de Personas'!$B7:B21,0)),IFERROR(INDEX($E$5:E256,MATCH($A257,$A$5:A256,0)),""))),"Á","A"),"É","E"),"Í","I"),"Ó","O"),"Ú","U"),"Ü","U")))</f>
        <v/>
      </c>
      <c r="F257" s="36" t="str">
        <f aca="false">IF($A257="","",TRIM(SUBSTITUTE(SUBSTITUTE(SUBSTITUTE(SUBSTITUTE(SUBSTITUTE(SUBSTITUTE(UPPER(IFERROR(INDEX('Base de Personas'!$G7:G21,MATCH($A257,'Base de Personas'!$B7:B21,0)),IFERROR(INDEX($F$5:F256,MATCH($A257,$A$5:A256,0)),""))),"Á","A"),"É","E"),"Í","I"),"Ó","O"),"Ú","U"),"Ü","U")))</f>
        <v/>
      </c>
      <c r="G257" s="37" t="str">
        <f aca="false">IF($A257="","",TRIM(SUBSTITUTE(SUBSTITUTE(SUBSTITUTE(SUBSTITUTE(SUBSTITUTE(SUBSTITUTE(UPPER(IFERROR(INDEX('Base de Personas'!$H7:H21,MATCH($A257,'Base de Personas'!$B7:B21,0)),IFERROR(INDEX($G$5:G256,MATCH($A257,$A$5:A256,0)),""))),"Á","A"),"É","E"),"Í","I"),"Ó","O"),"Ú","U"),"Ü","U")))</f>
        <v/>
      </c>
      <c r="H257" s="38" t="str">
        <f aca="false">IF($A257="","",IFERROR(INDEX('Base de Personas'!$I$7:$I$21,MATCH($A257,'Base de Personas'!$B$7:$B$21,0)),IFERROR(INDEX($H$5:H256,MATCH($A257,$A$5:A256,0)),"")))</f>
        <v/>
      </c>
      <c r="I257" s="39"/>
      <c r="J257" s="40"/>
      <c r="K257" s="40"/>
      <c r="L257" s="39"/>
      <c r="M257" s="41" t="str">
        <f aca="false">IF($A257="","",IF(K257=_xlfn.MAXIFS($K$5:$K$304,$A$5:$A$304,$A257),1,0))</f>
        <v/>
      </c>
      <c r="N257" s="41" t="str">
        <f aca="false">IF($A257="","",IF(M257=1,$A257&amp;"-ACT",""))</f>
        <v/>
      </c>
      <c r="O257" s="41" t="str">
        <f aca="false">IF($A257="","",IF(AND(COUNTIF('Base de Personas'!$B$7:$B$21,$A257)=0,COUNTIF($A$5:A257,$A257)=1),1,0))</f>
        <v/>
      </c>
      <c r="P257" s="41" t="str">
        <f aca="false">IF(O257=1,SUM($O$5:O257),"")</f>
        <v/>
      </c>
    </row>
    <row r="258" customFormat="false" ht="15" hidden="false" customHeight="false" outlineLevel="0" collapsed="false">
      <c r="A258" s="35"/>
      <c r="B258" s="36" t="str">
        <f aca="false">IF($A258="","",TRIM(SUBSTITUTE(SUBSTITUTE(SUBSTITUTE(SUBSTITUTE(SUBSTITUTE(SUBSTITUTE(UPPER(IFERROR(INDEX('Base de Personas'!$C7:C21,MATCH($A258,'Base de Personas'!$B7:B21,0)),IFERROR(INDEX($B$5:B257,MATCH($A258,$A$5:A257,0)),""))),"Á","A"),"É","E"),"Í","I"),"Ó","O"),"Ú","U"),"Ü","U")))</f>
        <v/>
      </c>
      <c r="C258" s="37" t="str">
        <f aca="false">IF($A258="","",TRIM(SUBSTITUTE(SUBSTITUTE(SUBSTITUTE(SUBSTITUTE(SUBSTITUTE(SUBSTITUTE(UPPER(IFERROR(INDEX('Base de Personas'!$D7:D21,MATCH($A258,'Base de Personas'!$B7:B21,0)),IFERROR(INDEX($C$5:C257,MATCH($A258,$A$5:A257,0)),""))),"Á","A"),"É","E"),"Í","I"),"Ó","O"),"Ú","U"),"Ü","U")))</f>
        <v/>
      </c>
      <c r="D258" s="36" t="str">
        <f aca="false">IF($A258="","",TRIM(SUBSTITUTE(SUBSTITUTE(SUBSTITUTE(SUBSTITUTE(SUBSTITUTE(SUBSTITUTE(UPPER(IFERROR(INDEX('Base de Personas'!$E7:E21,MATCH($A258,'Base de Personas'!$B7:B21,0)),IFERROR(INDEX($D$5:D257,MATCH($A258,$A$5:A257,0)),""))),"Á","A"),"É","E"),"Í","I"),"Ó","O"),"Ú","U"),"Ü","U")))</f>
        <v/>
      </c>
      <c r="E258" s="36" t="str">
        <f aca="false">IF($A258="","",TRIM(SUBSTITUTE(SUBSTITUTE(SUBSTITUTE(SUBSTITUTE(SUBSTITUTE(SUBSTITUTE(UPPER(IFERROR(INDEX('Base de Personas'!$F7:F21,MATCH($A258,'Base de Personas'!$B7:B21,0)),IFERROR(INDEX($E$5:E257,MATCH($A258,$A$5:A257,0)),""))),"Á","A"),"É","E"),"Í","I"),"Ó","O"),"Ú","U"),"Ü","U")))</f>
        <v/>
      </c>
      <c r="F258" s="36" t="str">
        <f aca="false">IF($A258="","",TRIM(SUBSTITUTE(SUBSTITUTE(SUBSTITUTE(SUBSTITUTE(SUBSTITUTE(SUBSTITUTE(UPPER(IFERROR(INDEX('Base de Personas'!$G7:G21,MATCH($A258,'Base de Personas'!$B7:B21,0)),IFERROR(INDEX($F$5:F257,MATCH($A258,$A$5:A257,0)),""))),"Á","A"),"É","E"),"Í","I"),"Ó","O"),"Ú","U"),"Ü","U")))</f>
        <v/>
      </c>
      <c r="G258" s="37" t="str">
        <f aca="false">IF($A258="","",TRIM(SUBSTITUTE(SUBSTITUTE(SUBSTITUTE(SUBSTITUTE(SUBSTITUTE(SUBSTITUTE(UPPER(IFERROR(INDEX('Base de Personas'!$H7:H21,MATCH($A258,'Base de Personas'!$B7:B21,0)),IFERROR(INDEX($G$5:G257,MATCH($A258,$A$5:A257,0)),""))),"Á","A"),"É","E"),"Í","I"),"Ó","O"),"Ú","U"),"Ü","U")))</f>
        <v/>
      </c>
      <c r="H258" s="38" t="str">
        <f aca="false">IF($A258="","",IFERROR(INDEX('Base de Personas'!$I$7:$I$21,MATCH($A258,'Base de Personas'!$B$7:$B$21,0)),IFERROR(INDEX($H$5:H257,MATCH($A258,$A$5:A257,0)),"")))</f>
        <v/>
      </c>
      <c r="I258" s="39"/>
      <c r="J258" s="40"/>
      <c r="K258" s="40"/>
      <c r="L258" s="39"/>
      <c r="M258" s="41" t="str">
        <f aca="false">IF($A258="","",IF(K258=_xlfn.MAXIFS($K$5:$K$304,$A$5:$A$304,$A258),1,0))</f>
        <v/>
      </c>
      <c r="N258" s="41" t="str">
        <f aca="false">IF($A258="","",IF(M258=1,$A258&amp;"-ACT",""))</f>
        <v/>
      </c>
      <c r="O258" s="41" t="str">
        <f aca="false">IF($A258="","",IF(AND(COUNTIF('Base de Personas'!$B$7:$B$21,$A258)=0,COUNTIF($A$5:A258,$A258)=1),1,0))</f>
        <v/>
      </c>
      <c r="P258" s="41" t="str">
        <f aca="false">IF(O258=1,SUM($O$5:O258),"")</f>
        <v/>
      </c>
    </row>
    <row r="259" customFormat="false" ht="15" hidden="false" customHeight="false" outlineLevel="0" collapsed="false">
      <c r="A259" s="35"/>
      <c r="B259" s="36" t="str">
        <f aca="false">IF($A259="","",TRIM(SUBSTITUTE(SUBSTITUTE(SUBSTITUTE(SUBSTITUTE(SUBSTITUTE(SUBSTITUTE(UPPER(IFERROR(INDEX('Base de Personas'!$C7:C21,MATCH($A259,'Base de Personas'!$B7:B21,0)),IFERROR(INDEX($B$5:B258,MATCH($A259,$A$5:A258,0)),""))),"Á","A"),"É","E"),"Í","I"),"Ó","O"),"Ú","U"),"Ü","U")))</f>
        <v/>
      </c>
      <c r="C259" s="37" t="str">
        <f aca="false">IF($A259="","",TRIM(SUBSTITUTE(SUBSTITUTE(SUBSTITUTE(SUBSTITUTE(SUBSTITUTE(SUBSTITUTE(UPPER(IFERROR(INDEX('Base de Personas'!$D7:D21,MATCH($A259,'Base de Personas'!$B7:B21,0)),IFERROR(INDEX($C$5:C258,MATCH($A259,$A$5:A258,0)),""))),"Á","A"),"É","E"),"Í","I"),"Ó","O"),"Ú","U"),"Ü","U")))</f>
        <v/>
      </c>
      <c r="D259" s="36" t="str">
        <f aca="false">IF($A259="","",TRIM(SUBSTITUTE(SUBSTITUTE(SUBSTITUTE(SUBSTITUTE(SUBSTITUTE(SUBSTITUTE(UPPER(IFERROR(INDEX('Base de Personas'!$E7:E21,MATCH($A259,'Base de Personas'!$B7:B21,0)),IFERROR(INDEX($D$5:D258,MATCH($A259,$A$5:A258,0)),""))),"Á","A"),"É","E"),"Í","I"),"Ó","O"),"Ú","U"),"Ü","U")))</f>
        <v/>
      </c>
      <c r="E259" s="36" t="str">
        <f aca="false">IF($A259="","",TRIM(SUBSTITUTE(SUBSTITUTE(SUBSTITUTE(SUBSTITUTE(SUBSTITUTE(SUBSTITUTE(UPPER(IFERROR(INDEX('Base de Personas'!$F7:F21,MATCH($A259,'Base de Personas'!$B7:B21,0)),IFERROR(INDEX($E$5:E258,MATCH($A259,$A$5:A258,0)),""))),"Á","A"),"É","E"),"Í","I"),"Ó","O"),"Ú","U"),"Ü","U")))</f>
        <v/>
      </c>
      <c r="F259" s="36" t="str">
        <f aca="false">IF($A259="","",TRIM(SUBSTITUTE(SUBSTITUTE(SUBSTITUTE(SUBSTITUTE(SUBSTITUTE(SUBSTITUTE(UPPER(IFERROR(INDEX('Base de Personas'!$G7:G21,MATCH($A259,'Base de Personas'!$B7:B21,0)),IFERROR(INDEX($F$5:F258,MATCH($A259,$A$5:A258,0)),""))),"Á","A"),"É","E"),"Í","I"),"Ó","O"),"Ú","U"),"Ü","U")))</f>
        <v/>
      </c>
      <c r="G259" s="37" t="str">
        <f aca="false">IF($A259="","",TRIM(SUBSTITUTE(SUBSTITUTE(SUBSTITUTE(SUBSTITUTE(SUBSTITUTE(SUBSTITUTE(UPPER(IFERROR(INDEX('Base de Personas'!$H7:H21,MATCH($A259,'Base de Personas'!$B7:B21,0)),IFERROR(INDEX($G$5:G258,MATCH($A259,$A$5:A258,0)),""))),"Á","A"),"É","E"),"Í","I"),"Ó","O"),"Ú","U"),"Ü","U")))</f>
        <v/>
      </c>
      <c r="H259" s="38" t="str">
        <f aca="false">IF($A259="","",IFERROR(INDEX('Base de Personas'!$I$7:$I$21,MATCH($A259,'Base de Personas'!$B$7:$B$21,0)),IFERROR(INDEX($H$5:H258,MATCH($A259,$A$5:A258,0)),"")))</f>
        <v/>
      </c>
      <c r="I259" s="39"/>
      <c r="J259" s="40"/>
      <c r="K259" s="40"/>
      <c r="L259" s="39"/>
      <c r="M259" s="41" t="str">
        <f aca="false">IF($A259="","",IF(K259=_xlfn.MAXIFS($K$5:$K$304,$A$5:$A$304,$A259),1,0))</f>
        <v/>
      </c>
      <c r="N259" s="41" t="str">
        <f aca="false">IF($A259="","",IF(M259=1,$A259&amp;"-ACT",""))</f>
        <v/>
      </c>
      <c r="O259" s="41" t="str">
        <f aca="false">IF($A259="","",IF(AND(COUNTIF('Base de Personas'!$B$7:$B$21,$A259)=0,COUNTIF($A$5:A259,$A259)=1),1,0))</f>
        <v/>
      </c>
      <c r="P259" s="41" t="str">
        <f aca="false">IF(O259=1,SUM($O$5:O259),"")</f>
        <v/>
      </c>
    </row>
    <row r="260" customFormat="false" ht="15" hidden="false" customHeight="false" outlineLevel="0" collapsed="false">
      <c r="A260" s="35"/>
      <c r="B260" s="36" t="str">
        <f aca="false">IF($A260="","",TRIM(SUBSTITUTE(SUBSTITUTE(SUBSTITUTE(SUBSTITUTE(SUBSTITUTE(SUBSTITUTE(UPPER(IFERROR(INDEX('Base de Personas'!$C7:C21,MATCH($A260,'Base de Personas'!$B7:B21,0)),IFERROR(INDEX($B$5:B259,MATCH($A260,$A$5:A259,0)),""))),"Á","A"),"É","E"),"Í","I"),"Ó","O"),"Ú","U"),"Ü","U")))</f>
        <v/>
      </c>
      <c r="C260" s="37" t="str">
        <f aca="false">IF($A260="","",TRIM(SUBSTITUTE(SUBSTITUTE(SUBSTITUTE(SUBSTITUTE(SUBSTITUTE(SUBSTITUTE(UPPER(IFERROR(INDEX('Base de Personas'!$D7:D21,MATCH($A260,'Base de Personas'!$B7:B21,0)),IFERROR(INDEX($C$5:C259,MATCH($A260,$A$5:A259,0)),""))),"Á","A"),"É","E"),"Í","I"),"Ó","O"),"Ú","U"),"Ü","U")))</f>
        <v/>
      </c>
      <c r="D260" s="36" t="str">
        <f aca="false">IF($A260="","",TRIM(SUBSTITUTE(SUBSTITUTE(SUBSTITUTE(SUBSTITUTE(SUBSTITUTE(SUBSTITUTE(UPPER(IFERROR(INDEX('Base de Personas'!$E7:E21,MATCH($A260,'Base de Personas'!$B7:B21,0)),IFERROR(INDEX($D$5:D259,MATCH($A260,$A$5:A259,0)),""))),"Á","A"),"É","E"),"Í","I"),"Ó","O"),"Ú","U"),"Ü","U")))</f>
        <v/>
      </c>
      <c r="E260" s="36" t="str">
        <f aca="false">IF($A260="","",TRIM(SUBSTITUTE(SUBSTITUTE(SUBSTITUTE(SUBSTITUTE(SUBSTITUTE(SUBSTITUTE(UPPER(IFERROR(INDEX('Base de Personas'!$F7:F21,MATCH($A260,'Base de Personas'!$B7:B21,0)),IFERROR(INDEX($E$5:E259,MATCH($A260,$A$5:A259,0)),""))),"Á","A"),"É","E"),"Í","I"),"Ó","O"),"Ú","U"),"Ü","U")))</f>
        <v/>
      </c>
      <c r="F260" s="36" t="str">
        <f aca="false">IF($A260="","",TRIM(SUBSTITUTE(SUBSTITUTE(SUBSTITUTE(SUBSTITUTE(SUBSTITUTE(SUBSTITUTE(UPPER(IFERROR(INDEX('Base de Personas'!$G7:G21,MATCH($A260,'Base de Personas'!$B7:B21,0)),IFERROR(INDEX($F$5:F259,MATCH($A260,$A$5:A259,0)),""))),"Á","A"),"É","E"),"Í","I"),"Ó","O"),"Ú","U"),"Ü","U")))</f>
        <v/>
      </c>
      <c r="G260" s="37" t="str">
        <f aca="false">IF($A260="","",TRIM(SUBSTITUTE(SUBSTITUTE(SUBSTITUTE(SUBSTITUTE(SUBSTITUTE(SUBSTITUTE(UPPER(IFERROR(INDEX('Base de Personas'!$H7:H21,MATCH($A260,'Base de Personas'!$B7:B21,0)),IFERROR(INDEX($G$5:G259,MATCH($A260,$A$5:A259,0)),""))),"Á","A"),"É","E"),"Í","I"),"Ó","O"),"Ú","U"),"Ü","U")))</f>
        <v/>
      </c>
      <c r="H260" s="38" t="str">
        <f aca="false">IF($A260="","",IFERROR(INDEX('Base de Personas'!$I$7:$I$21,MATCH($A260,'Base de Personas'!$B$7:$B$21,0)),IFERROR(INDEX($H$5:H259,MATCH($A260,$A$5:A259,0)),"")))</f>
        <v/>
      </c>
      <c r="I260" s="39"/>
      <c r="J260" s="40"/>
      <c r="K260" s="40"/>
      <c r="L260" s="39"/>
      <c r="M260" s="41" t="str">
        <f aca="false">IF($A260="","",IF(K260=_xlfn.MAXIFS($K$5:$K$304,$A$5:$A$304,$A260),1,0))</f>
        <v/>
      </c>
      <c r="N260" s="41" t="str">
        <f aca="false">IF($A260="","",IF(M260=1,$A260&amp;"-ACT",""))</f>
        <v/>
      </c>
      <c r="O260" s="41" t="str">
        <f aca="false">IF($A260="","",IF(AND(COUNTIF('Base de Personas'!$B$7:$B$21,$A260)=0,COUNTIF($A$5:A260,$A260)=1),1,0))</f>
        <v/>
      </c>
      <c r="P260" s="41" t="str">
        <f aca="false">IF(O260=1,SUM($O$5:O260),"")</f>
        <v/>
      </c>
    </row>
    <row r="261" customFormat="false" ht="15" hidden="false" customHeight="false" outlineLevel="0" collapsed="false">
      <c r="A261" s="35"/>
      <c r="B261" s="36" t="str">
        <f aca="false">IF($A261="","",TRIM(SUBSTITUTE(SUBSTITUTE(SUBSTITUTE(SUBSTITUTE(SUBSTITUTE(SUBSTITUTE(UPPER(IFERROR(INDEX('Base de Personas'!$C7:C21,MATCH($A261,'Base de Personas'!$B7:B21,0)),IFERROR(INDEX($B$5:B260,MATCH($A261,$A$5:A260,0)),""))),"Á","A"),"É","E"),"Í","I"),"Ó","O"),"Ú","U"),"Ü","U")))</f>
        <v/>
      </c>
      <c r="C261" s="37" t="str">
        <f aca="false">IF($A261="","",TRIM(SUBSTITUTE(SUBSTITUTE(SUBSTITUTE(SUBSTITUTE(SUBSTITUTE(SUBSTITUTE(UPPER(IFERROR(INDEX('Base de Personas'!$D7:D21,MATCH($A261,'Base de Personas'!$B7:B21,0)),IFERROR(INDEX($C$5:C260,MATCH($A261,$A$5:A260,0)),""))),"Á","A"),"É","E"),"Í","I"),"Ó","O"),"Ú","U"),"Ü","U")))</f>
        <v/>
      </c>
      <c r="D261" s="36" t="str">
        <f aca="false">IF($A261="","",TRIM(SUBSTITUTE(SUBSTITUTE(SUBSTITUTE(SUBSTITUTE(SUBSTITUTE(SUBSTITUTE(UPPER(IFERROR(INDEX('Base de Personas'!$E7:E21,MATCH($A261,'Base de Personas'!$B7:B21,0)),IFERROR(INDEX($D$5:D260,MATCH($A261,$A$5:A260,0)),""))),"Á","A"),"É","E"),"Í","I"),"Ó","O"),"Ú","U"),"Ü","U")))</f>
        <v/>
      </c>
      <c r="E261" s="36" t="str">
        <f aca="false">IF($A261="","",TRIM(SUBSTITUTE(SUBSTITUTE(SUBSTITUTE(SUBSTITUTE(SUBSTITUTE(SUBSTITUTE(UPPER(IFERROR(INDEX('Base de Personas'!$F7:F21,MATCH($A261,'Base de Personas'!$B7:B21,0)),IFERROR(INDEX($E$5:E260,MATCH($A261,$A$5:A260,0)),""))),"Á","A"),"É","E"),"Í","I"),"Ó","O"),"Ú","U"),"Ü","U")))</f>
        <v/>
      </c>
      <c r="F261" s="36" t="str">
        <f aca="false">IF($A261="","",TRIM(SUBSTITUTE(SUBSTITUTE(SUBSTITUTE(SUBSTITUTE(SUBSTITUTE(SUBSTITUTE(UPPER(IFERROR(INDEX('Base de Personas'!$G7:G21,MATCH($A261,'Base de Personas'!$B7:B21,0)),IFERROR(INDEX($F$5:F260,MATCH($A261,$A$5:A260,0)),""))),"Á","A"),"É","E"),"Í","I"),"Ó","O"),"Ú","U"),"Ü","U")))</f>
        <v/>
      </c>
      <c r="G261" s="37" t="str">
        <f aca="false">IF($A261="","",TRIM(SUBSTITUTE(SUBSTITUTE(SUBSTITUTE(SUBSTITUTE(SUBSTITUTE(SUBSTITUTE(UPPER(IFERROR(INDEX('Base de Personas'!$H7:H21,MATCH($A261,'Base de Personas'!$B7:B21,0)),IFERROR(INDEX($G$5:G260,MATCH($A261,$A$5:A260,0)),""))),"Á","A"),"É","E"),"Í","I"),"Ó","O"),"Ú","U"),"Ü","U")))</f>
        <v/>
      </c>
      <c r="H261" s="38" t="str">
        <f aca="false">IF($A261="","",IFERROR(INDEX('Base de Personas'!$I$7:$I$21,MATCH($A261,'Base de Personas'!$B$7:$B$21,0)),IFERROR(INDEX($H$5:H260,MATCH($A261,$A$5:A260,0)),"")))</f>
        <v/>
      </c>
      <c r="I261" s="39"/>
      <c r="J261" s="40"/>
      <c r="K261" s="40"/>
      <c r="L261" s="39"/>
      <c r="M261" s="41" t="str">
        <f aca="false">IF($A261="","",IF(K261=_xlfn.MAXIFS($K$5:$K$304,$A$5:$A$304,$A261),1,0))</f>
        <v/>
      </c>
      <c r="N261" s="41" t="str">
        <f aca="false">IF($A261="","",IF(M261=1,$A261&amp;"-ACT",""))</f>
        <v/>
      </c>
      <c r="O261" s="41" t="str">
        <f aca="false">IF($A261="","",IF(AND(COUNTIF('Base de Personas'!$B$7:$B$21,$A261)=0,COUNTIF($A$5:A261,$A261)=1),1,0))</f>
        <v/>
      </c>
      <c r="P261" s="41" t="str">
        <f aca="false">IF(O261=1,SUM($O$5:O261),"")</f>
        <v/>
      </c>
    </row>
    <row r="262" customFormat="false" ht="15" hidden="false" customHeight="false" outlineLevel="0" collapsed="false">
      <c r="A262" s="35"/>
      <c r="B262" s="36" t="str">
        <f aca="false">IF($A262="","",TRIM(SUBSTITUTE(SUBSTITUTE(SUBSTITUTE(SUBSTITUTE(SUBSTITUTE(SUBSTITUTE(UPPER(IFERROR(INDEX('Base de Personas'!$C7:C21,MATCH($A262,'Base de Personas'!$B7:B21,0)),IFERROR(INDEX($B$5:B261,MATCH($A262,$A$5:A261,0)),""))),"Á","A"),"É","E"),"Í","I"),"Ó","O"),"Ú","U"),"Ü","U")))</f>
        <v/>
      </c>
      <c r="C262" s="37" t="str">
        <f aca="false">IF($A262="","",TRIM(SUBSTITUTE(SUBSTITUTE(SUBSTITUTE(SUBSTITUTE(SUBSTITUTE(SUBSTITUTE(UPPER(IFERROR(INDEX('Base de Personas'!$D7:D21,MATCH($A262,'Base de Personas'!$B7:B21,0)),IFERROR(INDEX($C$5:C261,MATCH($A262,$A$5:A261,0)),""))),"Á","A"),"É","E"),"Í","I"),"Ó","O"),"Ú","U"),"Ü","U")))</f>
        <v/>
      </c>
      <c r="D262" s="36" t="str">
        <f aca="false">IF($A262="","",TRIM(SUBSTITUTE(SUBSTITUTE(SUBSTITUTE(SUBSTITUTE(SUBSTITUTE(SUBSTITUTE(UPPER(IFERROR(INDEX('Base de Personas'!$E7:E21,MATCH($A262,'Base de Personas'!$B7:B21,0)),IFERROR(INDEX($D$5:D261,MATCH($A262,$A$5:A261,0)),""))),"Á","A"),"É","E"),"Í","I"),"Ó","O"),"Ú","U"),"Ü","U")))</f>
        <v/>
      </c>
      <c r="E262" s="36" t="str">
        <f aca="false">IF($A262="","",TRIM(SUBSTITUTE(SUBSTITUTE(SUBSTITUTE(SUBSTITUTE(SUBSTITUTE(SUBSTITUTE(UPPER(IFERROR(INDEX('Base de Personas'!$F7:F21,MATCH($A262,'Base de Personas'!$B7:B21,0)),IFERROR(INDEX($E$5:E261,MATCH($A262,$A$5:A261,0)),""))),"Á","A"),"É","E"),"Í","I"),"Ó","O"),"Ú","U"),"Ü","U")))</f>
        <v/>
      </c>
      <c r="F262" s="36" t="str">
        <f aca="false">IF($A262="","",TRIM(SUBSTITUTE(SUBSTITUTE(SUBSTITUTE(SUBSTITUTE(SUBSTITUTE(SUBSTITUTE(UPPER(IFERROR(INDEX('Base de Personas'!$G7:G21,MATCH($A262,'Base de Personas'!$B7:B21,0)),IFERROR(INDEX($F$5:F261,MATCH($A262,$A$5:A261,0)),""))),"Á","A"),"É","E"),"Í","I"),"Ó","O"),"Ú","U"),"Ü","U")))</f>
        <v/>
      </c>
      <c r="G262" s="37" t="str">
        <f aca="false">IF($A262="","",TRIM(SUBSTITUTE(SUBSTITUTE(SUBSTITUTE(SUBSTITUTE(SUBSTITUTE(SUBSTITUTE(UPPER(IFERROR(INDEX('Base de Personas'!$H7:H21,MATCH($A262,'Base de Personas'!$B7:B21,0)),IFERROR(INDEX($G$5:G261,MATCH($A262,$A$5:A261,0)),""))),"Á","A"),"É","E"),"Í","I"),"Ó","O"),"Ú","U"),"Ü","U")))</f>
        <v/>
      </c>
      <c r="H262" s="38" t="str">
        <f aca="false">IF($A262="","",IFERROR(INDEX('Base de Personas'!$I$7:$I$21,MATCH($A262,'Base de Personas'!$B$7:$B$21,0)),IFERROR(INDEX($H$5:H261,MATCH($A262,$A$5:A261,0)),"")))</f>
        <v/>
      </c>
      <c r="I262" s="39"/>
      <c r="J262" s="40"/>
      <c r="K262" s="40"/>
      <c r="L262" s="39"/>
      <c r="M262" s="41" t="str">
        <f aca="false">IF($A262="","",IF(K262=_xlfn.MAXIFS($K$5:$K$304,$A$5:$A$304,$A262),1,0))</f>
        <v/>
      </c>
      <c r="N262" s="41" t="str">
        <f aca="false">IF($A262="","",IF(M262=1,$A262&amp;"-ACT",""))</f>
        <v/>
      </c>
      <c r="O262" s="41" t="str">
        <f aca="false">IF($A262="","",IF(AND(COUNTIF('Base de Personas'!$B$7:$B$21,$A262)=0,COUNTIF($A$5:A262,$A262)=1),1,0))</f>
        <v/>
      </c>
      <c r="P262" s="41" t="str">
        <f aca="false">IF(O262=1,SUM($O$5:O262),"")</f>
        <v/>
      </c>
    </row>
    <row r="263" customFormat="false" ht="15" hidden="false" customHeight="false" outlineLevel="0" collapsed="false">
      <c r="A263" s="35"/>
      <c r="B263" s="36" t="str">
        <f aca="false">IF($A263="","",TRIM(SUBSTITUTE(SUBSTITUTE(SUBSTITUTE(SUBSTITUTE(SUBSTITUTE(SUBSTITUTE(UPPER(IFERROR(INDEX('Base de Personas'!$C7:C21,MATCH($A263,'Base de Personas'!$B7:B21,0)),IFERROR(INDEX($B$5:B262,MATCH($A263,$A$5:A262,0)),""))),"Á","A"),"É","E"),"Í","I"),"Ó","O"),"Ú","U"),"Ü","U")))</f>
        <v/>
      </c>
      <c r="C263" s="37" t="str">
        <f aca="false">IF($A263="","",TRIM(SUBSTITUTE(SUBSTITUTE(SUBSTITUTE(SUBSTITUTE(SUBSTITUTE(SUBSTITUTE(UPPER(IFERROR(INDEX('Base de Personas'!$D7:D21,MATCH($A263,'Base de Personas'!$B7:B21,0)),IFERROR(INDEX($C$5:C262,MATCH($A263,$A$5:A262,0)),""))),"Á","A"),"É","E"),"Í","I"),"Ó","O"),"Ú","U"),"Ü","U")))</f>
        <v/>
      </c>
      <c r="D263" s="36" t="str">
        <f aca="false">IF($A263="","",TRIM(SUBSTITUTE(SUBSTITUTE(SUBSTITUTE(SUBSTITUTE(SUBSTITUTE(SUBSTITUTE(UPPER(IFERROR(INDEX('Base de Personas'!$E7:E21,MATCH($A263,'Base de Personas'!$B7:B21,0)),IFERROR(INDEX($D$5:D262,MATCH($A263,$A$5:A262,0)),""))),"Á","A"),"É","E"),"Í","I"),"Ó","O"),"Ú","U"),"Ü","U")))</f>
        <v/>
      </c>
      <c r="E263" s="36" t="str">
        <f aca="false">IF($A263="","",TRIM(SUBSTITUTE(SUBSTITUTE(SUBSTITUTE(SUBSTITUTE(SUBSTITUTE(SUBSTITUTE(UPPER(IFERROR(INDEX('Base de Personas'!$F7:F21,MATCH($A263,'Base de Personas'!$B7:B21,0)),IFERROR(INDEX($E$5:E262,MATCH($A263,$A$5:A262,0)),""))),"Á","A"),"É","E"),"Í","I"),"Ó","O"),"Ú","U"),"Ü","U")))</f>
        <v/>
      </c>
      <c r="F263" s="36" t="str">
        <f aca="false">IF($A263="","",TRIM(SUBSTITUTE(SUBSTITUTE(SUBSTITUTE(SUBSTITUTE(SUBSTITUTE(SUBSTITUTE(UPPER(IFERROR(INDEX('Base de Personas'!$G7:G21,MATCH($A263,'Base de Personas'!$B7:B21,0)),IFERROR(INDEX($F$5:F262,MATCH($A263,$A$5:A262,0)),""))),"Á","A"),"É","E"),"Í","I"),"Ó","O"),"Ú","U"),"Ü","U")))</f>
        <v/>
      </c>
      <c r="G263" s="37" t="str">
        <f aca="false">IF($A263="","",TRIM(SUBSTITUTE(SUBSTITUTE(SUBSTITUTE(SUBSTITUTE(SUBSTITUTE(SUBSTITUTE(UPPER(IFERROR(INDEX('Base de Personas'!$H7:H21,MATCH($A263,'Base de Personas'!$B7:B21,0)),IFERROR(INDEX($G$5:G262,MATCH($A263,$A$5:A262,0)),""))),"Á","A"),"É","E"),"Í","I"),"Ó","O"),"Ú","U"),"Ü","U")))</f>
        <v/>
      </c>
      <c r="H263" s="38" t="str">
        <f aca="false">IF($A263="","",IFERROR(INDEX('Base de Personas'!$I$7:$I$21,MATCH($A263,'Base de Personas'!$B$7:$B$21,0)),IFERROR(INDEX($H$5:H262,MATCH($A263,$A$5:A262,0)),"")))</f>
        <v/>
      </c>
      <c r="I263" s="39"/>
      <c r="J263" s="40"/>
      <c r="K263" s="40"/>
      <c r="L263" s="39"/>
      <c r="M263" s="41" t="str">
        <f aca="false">IF($A263="","",IF(K263=_xlfn.MAXIFS($K$5:$K$304,$A$5:$A$304,$A263),1,0))</f>
        <v/>
      </c>
      <c r="N263" s="41" t="str">
        <f aca="false">IF($A263="","",IF(M263=1,$A263&amp;"-ACT",""))</f>
        <v/>
      </c>
      <c r="O263" s="41" t="str">
        <f aca="false">IF($A263="","",IF(AND(COUNTIF('Base de Personas'!$B$7:$B$21,$A263)=0,COUNTIF($A$5:A263,$A263)=1),1,0))</f>
        <v/>
      </c>
      <c r="P263" s="41" t="str">
        <f aca="false">IF(O263=1,SUM($O$5:O263),"")</f>
        <v/>
      </c>
    </row>
    <row r="264" customFormat="false" ht="15" hidden="false" customHeight="false" outlineLevel="0" collapsed="false">
      <c r="A264" s="35"/>
      <c r="B264" s="36" t="str">
        <f aca="false">IF($A264="","",TRIM(SUBSTITUTE(SUBSTITUTE(SUBSTITUTE(SUBSTITUTE(SUBSTITUTE(SUBSTITUTE(UPPER(IFERROR(INDEX('Base de Personas'!$C7:C21,MATCH($A264,'Base de Personas'!$B7:B21,0)),IFERROR(INDEX($B$5:B263,MATCH($A264,$A$5:A263,0)),""))),"Á","A"),"É","E"),"Í","I"),"Ó","O"),"Ú","U"),"Ü","U")))</f>
        <v/>
      </c>
      <c r="C264" s="37" t="str">
        <f aca="false">IF($A264="","",TRIM(SUBSTITUTE(SUBSTITUTE(SUBSTITUTE(SUBSTITUTE(SUBSTITUTE(SUBSTITUTE(UPPER(IFERROR(INDEX('Base de Personas'!$D7:D21,MATCH($A264,'Base de Personas'!$B7:B21,0)),IFERROR(INDEX($C$5:C263,MATCH($A264,$A$5:A263,0)),""))),"Á","A"),"É","E"),"Í","I"),"Ó","O"),"Ú","U"),"Ü","U")))</f>
        <v/>
      </c>
      <c r="D264" s="36" t="str">
        <f aca="false">IF($A264="","",TRIM(SUBSTITUTE(SUBSTITUTE(SUBSTITUTE(SUBSTITUTE(SUBSTITUTE(SUBSTITUTE(UPPER(IFERROR(INDEX('Base de Personas'!$E7:E21,MATCH($A264,'Base de Personas'!$B7:B21,0)),IFERROR(INDEX($D$5:D263,MATCH($A264,$A$5:A263,0)),""))),"Á","A"),"É","E"),"Í","I"),"Ó","O"),"Ú","U"),"Ü","U")))</f>
        <v/>
      </c>
      <c r="E264" s="36" t="str">
        <f aca="false">IF($A264="","",TRIM(SUBSTITUTE(SUBSTITUTE(SUBSTITUTE(SUBSTITUTE(SUBSTITUTE(SUBSTITUTE(UPPER(IFERROR(INDEX('Base de Personas'!$F7:F21,MATCH($A264,'Base de Personas'!$B7:B21,0)),IFERROR(INDEX($E$5:E263,MATCH($A264,$A$5:A263,0)),""))),"Á","A"),"É","E"),"Í","I"),"Ó","O"),"Ú","U"),"Ü","U")))</f>
        <v/>
      </c>
      <c r="F264" s="36" t="str">
        <f aca="false">IF($A264="","",TRIM(SUBSTITUTE(SUBSTITUTE(SUBSTITUTE(SUBSTITUTE(SUBSTITUTE(SUBSTITUTE(UPPER(IFERROR(INDEX('Base de Personas'!$G7:G21,MATCH($A264,'Base de Personas'!$B7:B21,0)),IFERROR(INDEX($F$5:F263,MATCH($A264,$A$5:A263,0)),""))),"Á","A"),"É","E"),"Í","I"),"Ó","O"),"Ú","U"),"Ü","U")))</f>
        <v/>
      </c>
      <c r="G264" s="37" t="str">
        <f aca="false">IF($A264="","",TRIM(SUBSTITUTE(SUBSTITUTE(SUBSTITUTE(SUBSTITUTE(SUBSTITUTE(SUBSTITUTE(UPPER(IFERROR(INDEX('Base de Personas'!$H7:H21,MATCH($A264,'Base de Personas'!$B7:B21,0)),IFERROR(INDEX($G$5:G263,MATCH($A264,$A$5:A263,0)),""))),"Á","A"),"É","E"),"Í","I"),"Ó","O"),"Ú","U"),"Ü","U")))</f>
        <v/>
      </c>
      <c r="H264" s="38" t="str">
        <f aca="false">IF($A264="","",IFERROR(INDEX('Base de Personas'!$I$7:$I$21,MATCH($A264,'Base de Personas'!$B$7:$B$21,0)),IFERROR(INDEX($H$5:H263,MATCH($A264,$A$5:A263,0)),"")))</f>
        <v/>
      </c>
      <c r="I264" s="39"/>
      <c r="J264" s="40"/>
      <c r="K264" s="40"/>
      <c r="L264" s="39"/>
      <c r="M264" s="41" t="str">
        <f aca="false">IF($A264="","",IF(K264=_xlfn.MAXIFS($K$5:$K$304,$A$5:$A$304,$A264),1,0))</f>
        <v/>
      </c>
      <c r="N264" s="41" t="str">
        <f aca="false">IF($A264="","",IF(M264=1,$A264&amp;"-ACT",""))</f>
        <v/>
      </c>
      <c r="O264" s="41" t="str">
        <f aca="false">IF($A264="","",IF(AND(COUNTIF('Base de Personas'!$B$7:$B$21,$A264)=0,COUNTIF($A$5:A264,$A264)=1),1,0))</f>
        <v/>
      </c>
      <c r="P264" s="41" t="str">
        <f aca="false">IF(O264=1,SUM($O$5:O264),"")</f>
        <v/>
      </c>
    </row>
    <row r="265" customFormat="false" ht="15" hidden="false" customHeight="false" outlineLevel="0" collapsed="false">
      <c r="A265" s="35"/>
      <c r="B265" s="36" t="str">
        <f aca="false">IF($A265="","",TRIM(SUBSTITUTE(SUBSTITUTE(SUBSTITUTE(SUBSTITUTE(SUBSTITUTE(SUBSTITUTE(UPPER(IFERROR(INDEX('Base de Personas'!$C7:C21,MATCH($A265,'Base de Personas'!$B7:B21,0)),IFERROR(INDEX($B$5:B264,MATCH($A265,$A$5:A264,0)),""))),"Á","A"),"É","E"),"Í","I"),"Ó","O"),"Ú","U"),"Ü","U")))</f>
        <v/>
      </c>
      <c r="C265" s="37" t="str">
        <f aca="false">IF($A265="","",TRIM(SUBSTITUTE(SUBSTITUTE(SUBSTITUTE(SUBSTITUTE(SUBSTITUTE(SUBSTITUTE(UPPER(IFERROR(INDEX('Base de Personas'!$D7:D21,MATCH($A265,'Base de Personas'!$B7:B21,0)),IFERROR(INDEX($C$5:C264,MATCH($A265,$A$5:A264,0)),""))),"Á","A"),"É","E"),"Í","I"),"Ó","O"),"Ú","U"),"Ü","U")))</f>
        <v/>
      </c>
      <c r="D265" s="36" t="str">
        <f aca="false">IF($A265="","",TRIM(SUBSTITUTE(SUBSTITUTE(SUBSTITUTE(SUBSTITUTE(SUBSTITUTE(SUBSTITUTE(UPPER(IFERROR(INDEX('Base de Personas'!$E7:E21,MATCH($A265,'Base de Personas'!$B7:B21,0)),IFERROR(INDEX($D$5:D264,MATCH($A265,$A$5:A264,0)),""))),"Á","A"),"É","E"),"Í","I"),"Ó","O"),"Ú","U"),"Ü","U")))</f>
        <v/>
      </c>
      <c r="E265" s="36" t="str">
        <f aca="false">IF($A265="","",TRIM(SUBSTITUTE(SUBSTITUTE(SUBSTITUTE(SUBSTITUTE(SUBSTITUTE(SUBSTITUTE(UPPER(IFERROR(INDEX('Base de Personas'!$F7:F21,MATCH($A265,'Base de Personas'!$B7:B21,0)),IFERROR(INDEX($E$5:E264,MATCH($A265,$A$5:A264,0)),""))),"Á","A"),"É","E"),"Í","I"),"Ó","O"),"Ú","U"),"Ü","U")))</f>
        <v/>
      </c>
      <c r="F265" s="36" t="str">
        <f aca="false">IF($A265="","",TRIM(SUBSTITUTE(SUBSTITUTE(SUBSTITUTE(SUBSTITUTE(SUBSTITUTE(SUBSTITUTE(UPPER(IFERROR(INDEX('Base de Personas'!$G7:G21,MATCH($A265,'Base de Personas'!$B7:B21,0)),IFERROR(INDEX($F$5:F264,MATCH($A265,$A$5:A264,0)),""))),"Á","A"),"É","E"),"Í","I"),"Ó","O"),"Ú","U"),"Ü","U")))</f>
        <v/>
      </c>
      <c r="G265" s="37" t="str">
        <f aca="false">IF($A265="","",TRIM(SUBSTITUTE(SUBSTITUTE(SUBSTITUTE(SUBSTITUTE(SUBSTITUTE(SUBSTITUTE(UPPER(IFERROR(INDEX('Base de Personas'!$H7:H21,MATCH($A265,'Base de Personas'!$B7:B21,0)),IFERROR(INDEX($G$5:G264,MATCH($A265,$A$5:A264,0)),""))),"Á","A"),"É","E"),"Í","I"),"Ó","O"),"Ú","U"),"Ü","U")))</f>
        <v/>
      </c>
      <c r="H265" s="38" t="str">
        <f aca="false">IF($A265="","",IFERROR(INDEX('Base de Personas'!$I$7:$I$21,MATCH($A265,'Base de Personas'!$B$7:$B$21,0)),IFERROR(INDEX($H$5:H264,MATCH($A265,$A$5:A264,0)),"")))</f>
        <v/>
      </c>
      <c r="I265" s="39"/>
      <c r="J265" s="40"/>
      <c r="K265" s="40"/>
      <c r="L265" s="39"/>
      <c r="M265" s="41" t="str">
        <f aca="false">IF($A265="","",IF(K265=_xlfn.MAXIFS($K$5:$K$304,$A$5:$A$304,$A265),1,0))</f>
        <v/>
      </c>
      <c r="N265" s="41" t="str">
        <f aca="false">IF($A265="","",IF(M265=1,$A265&amp;"-ACT",""))</f>
        <v/>
      </c>
      <c r="O265" s="41" t="str">
        <f aca="false">IF($A265="","",IF(AND(COUNTIF('Base de Personas'!$B$7:$B$21,$A265)=0,COUNTIF($A$5:A265,$A265)=1),1,0))</f>
        <v/>
      </c>
      <c r="P265" s="41" t="str">
        <f aca="false">IF(O265=1,SUM($O$5:O265),"")</f>
        <v/>
      </c>
    </row>
    <row r="266" customFormat="false" ht="15" hidden="false" customHeight="false" outlineLevel="0" collapsed="false">
      <c r="A266" s="35"/>
      <c r="B266" s="36" t="str">
        <f aca="false">IF($A266="","",TRIM(SUBSTITUTE(SUBSTITUTE(SUBSTITUTE(SUBSTITUTE(SUBSTITUTE(SUBSTITUTE(UPPER(IFERROR(INDEX('Base de Personas'!$C7:C21,MATCH($A266,'Base de Personas'!$B7:B21,0)),IFERROR(INDEX($B$5:B265,MATCH($A266,$A$5:A265,0)),""))),"Á","A"),"É","E"),"Í","I"),"Ó","O"),"Ú","U"),"Ü","U")))</f>
        <v/>
      </c>
      <c r="C266" s="37" t="str">
        <f aca="false">IF($A266="","",TRIM(SUBSTITUTE(SUBSTITUTE(SUBSTITUTE(SUBSTITUTE(SUBSTITUTE(SUBSTITUTE(UPPER(IFERROR(INDEX('Base de Personas'!$D7:D21,MATCH($A266,'Base de Personas'!$B7:B21,0)),IFERROR(INDEX($C$5:C265,MATCH($A266,$A$5:A265,0)),""))),"Á","A"),"É","E"),"Í","I"),"Ó","O"),"Ú","U"),"Ü","U")))</f>
        <v/>
      </c>
      <c r="D266" s="36" t="str">
        <f aca="false">IF($A266="","",TRIM(SUBSTITUTE(SUBSTITUTE(SUBSTITUTE(SUBSTITUTE(SUBSTITUTE(SUBSTITUTE(UPPER(IFERROR(INDEX('Base de Personas'!$E7:E21,MATCH($A266,'Base de Personas'!$B7:B21,0)),IFERROR(INDEX($D$5:D265,MATCH($A266,$A$5:A265,0)),""))),"Á","A"),"É","E"),"Í","I"),"Ó","O"),"Ú","U"),"Ü","U")))</f>
        <v/>
      </c>
      <c r="E266" s="36" t="str">
        <f aca="false">IF($A266="","",TRIM(SUBSTITUTE(SUBSTITUTE(SUBSTITUTE(SUBSTITUTE(SUBSTITUTE(SUBSTITUTE(UPPER(IFERROR(INDEX('Base de Personas'!$F7:F21,MATCH($A266,'Base de Personas'!$B7:B21,0)),IFERROR(INDEX($E$5:E265,MATCH($A266,$A$5:A265,0)),""))),"Á","A"),"É","E"),"Í","I"),"Ó","O"),"Ú","U"),"Ü","U")))</f>
        <v/>
      </c>
      <c r="F266" s="36" t="str">
        <f aca="false">IF($A266="","",TRIM(SUBSTITUTE(SUBSTITUTE(SUBSTITUTE(SUBSTITUTE(SUBSTITUTE(SUBSTITUTE(UPPER(IFERROR(INDEX('Base de Personas'!$G7:G21,MATCH($A266,'Base de Personas'!$B7:B21,0)),IFERROR(INDEX($F$5:F265,MATCH($A266,$A$5:A265,0)),""))),"Á","A"),"É","E"),"Í","I"),"Ó","O"),"Ú","U"),"Ü","U")))</f>
        <v/>
      </c>
      <c r="G266" s="37" t="str">
        <f aca="false">IF($A266="","",TRIM(SUBSTITUTE(SUBSTITUTE(SUBSTITUTE(SUBSTITUTE(SUBSTITUTE(SUBSTITUTE(UPPER(IFERROR(INDEX('Base de Personas'!$H7:H21,MATCH($A266,'Base de Personas'!$B7:B21,0)),IFERROR(INDEX($G$5:G265,MATCH($A266,$A$5:A265,0)),""))),"Á","A"),"É","E"),"Í","I"),"Ó","O"),"Ú","U"),"Ü","U")))</f>
        <v/>
      </c>
      <c r="H266" s="38" t="str">
        <f aca="false">IF($A266="","",IFERROR(INDEX('Base de Personas'!$I$7:$I$21,MATCH($A266,'Base de Personas'!$B$7:$B$21,0)),IFERROR(INDEX($H$5:H265,MATCH($A266,$A$5:A265,0)),"")))</f>
        <v/>
      </c>
      <c r="I266" s="39"/>
      <c r="J266" s="40"/>
      <c r="K266" s="40"/>
      <c r="L266" s="39"/>
      <c r="M266" s="41" t="str">
        <f aca="false">IF($A266="","",IF(K266=_xlfn.MAXIFS($K$5:$K$304,$A$5:$A$304,$A266),1,0))</f>
        <v/>
      </c>
      <c r="N266" s="41" t="str">
        <f aca="false">IF($A266="","",IF(M266=1,$A266&amp;"-ACT",""))</f>
        <v/>
      </c>
      <c r="O266" s="41" t="str">
        <f aca="false">IF($A266="","",IF(AND(COUNTIF('Base de Personas'!$B$7:$B$21,$A266)=0,COUNTIF($A$5:A266,$A266)=1),1,0))</f>
        <v/>
      </c>
      <c r="P266" s="41" t="str">
        <f aca="false">IF(O266=1,SUM($O$5:O266),"")</f>
        <v/>
      </c>
    </row>
    <row r="267" customFormat="false" ht="15" hidden="false" customHeight="false" outlineLevel="0" collapsed="false">
      <c r="A267" s="35"/>
      <c r="B267" s="36" t="str">
        <f aca="false">IF($A267="","",TRIM(SUBSTITUTE(SUBSTITUTE(SUBSTITUTE(SUBSTITUTE(SUBSTITUTE(SUBSTITUTE(UPPER(IFERROR(INDEX('Base de Personas'!$C7:C21,MATCH($A267,'Base de Personas'!$B7:B21,0)),IFERROR(INDEX($B$5:B266,MATCH($A267,$A$5:A266,0)),""))),"Á","A"),"É","E"),"Í","I"),"Ó","O"),"Ú","U"),"Ü","U")))</f>
        <v/>
      </c>
      <c r="C267" s="37" t="str">
        <f aca="false">IF($A267="","",TRIM(SUBSTITUTE(SUBSTITUTE(SUBSTITUTE(SUBSTITUTE(SUBSTITUTE(SUBSTITUTE(UPPER(IFERROR(INDEX('Base de Personas'!$D7:D21,MATCH($A267,'Base de Personas'!$B7:B21,0)),IFERROR(INDEX($C$5:C266,MATCH($A267,$A$5:A266,0)),""))),"Á","A"),"É","E"),"Í","I"),"Ó","O"),"Ú","U"),"Ü","U")))</f>
        <v/>
      </c>
      <c r="D267" s="36" t="str">
        <f aca="false">IF($A267="","",TRIM(SUBSTITUTE(SUBSTITUTE(SUBSTITUTE(SUBSTITUTE(SUBSTITUTE(SUBSTITUTE(UPPER(IFERROR(INDEX('Base de Personas'!$E7:E21,MATCH($A267,'Base de Personas'!$B7:B21,0)),IFERROR(INDEX($D$5:D266,MATCH($A267,$A$5:A266,0)),""))),"Á","A"),"É","E"),"Í","I"),"Ó","O"),"Ú","U"),"Ü","U")))</f>
        <v/>
      </c>
      <c r="E267" s="36" t="str">
        <f aca="false">IF($A267="","",TRIM(SUBSTITUTE(SUBSTITUTE(SUBSTITUTE(SUBSTITUTE(SUBSTITUTE(SUBSTITUTE(UPPER(IFERROR(INDEX('Base de Personas'!$F7:F21,MATCH($A267,'Base de Personas'!$B7:B21,0)),IFERROR(INDEX($E$5:E266,MATCH($A267,$A$5:A266,0)),""))),"Á","A"),"É","E"),"Í","I"),"Ó","O"),"Ú","U"),"Ü","U")))</f>
        <v/>
      </c>
      <c r="F267" s="36" t="str">
        <f aca="false">IF($A267="","",TRIM(SUBSTITUTE(SUBSTITUTE(SUBSTITUTE(SUBSTITUTE(SUBSTITUTE(SUBSTITUTE(UPPER(IFERROR(INDEX('Base de Personas'!$G7:G21,MATCH($A267,'Base de Personas'!$B7:B21,0)),IFERROR(INDEX($F$5:F266,MATCH($A267,$A$5:A266,0)),""))),"Á","A"),"É","E"),"Í","I"),"Ó","O"),"Ú","U"),"Ü","U")))</f>
        <v/>
      </c>
      <c r="G267" s="37" t="str">
        <f aca="false">IF($A267="","",TRIM(SUBSTITUTE(SUBSTITUTE(SUBSTITUTE(SUBSTITUTE(SUBSTITUTE(SUBSTITUTE(UPPER(IFERROR(INDEX('Base de Personas'!$H7:H21,MATCH($A267,'Base de Personas'!$B7:B21,0)),IFERROR(INDEX($G$5:G266,MATCH($A267,$A$5:A266,0)),""))),"Á","A"),"É","E"),"Í","I"),"Ó","O"),"Ú","U"),"Ü","U")))</f>
        <v/>
      </c>
      <c r="H267" s="38" t="str">
        <f aca="false">IF($A267="","",IFERROR(INDEX('Base de Personas'!$I$7:$I$21,MATCH($A267,'Base de Personas'!$B$7:$B$21,0)),IFERROR(INDEX($H$5:H266,MATCH($A267,$A$5:A266,0)),"")))</f>
        <v/>
      </c>
      <c r="I267" s="39"/>
      <c r="J267" s="40"/>
      <c r="K267" s="40"/>
      <c r="L267" s="39"/>
      <c r="M267" s="41" t="str">
        <f aca="false">IF($A267="","",IF(K267=_xlfn.MAXIFS($K$5:$K$304,$A$5:$A$304,$A267),1,0))</f>
        <v/>
      </c>
      <c r="N267" s="41" t="str">
        <f aca="false">IF($A267="","",IF(M267=1,$A267&amp;"-ACT",""))</f>
        <v/>
      </c>
      <c r="O267" s="41" t="str">
        <f aca="false">IF($A267="","",IF(AND(COUNTIF('Base de Personas'!$B$7:$B$21,$A267)=0,COUNTIF($A$5:A267,$A267)=1),1,0))</f>
        <v/>
      </c>
      <c r="P267" s="41" t="str">
        <f aca="false">IF(O267=1,SUM($O$5:O267),"")</f>
        <v/>
      </c>
    </row>
    <row r="268" customFormat="false" ht="15" hidden="false" customHeight="false" outlineLevel="0" collapsed="false">
      <c r="A268" s="35"/>
      <c r="B268" s="36" t="str">
        <f aca="false">IF($A268="","",TRIM(SUBSTITUTE(SUBSTITUTE(SUBSTITUTE(SUBSTITUTE(SUBSTITUTE(SUBSTITUTE(UPPER(IFERROR(INDEX('Base de Personas'!$C7:C21,MATCH($A268,'Base de Personas'!$B7:B21,0)),IFERROR(INDEX($B$5:B267,MATCH($A268,$A$5:A267,0)),""))),"Á","A"),"É","E"),"Í","I"),"Ó","O"),"Ú","U"),"Ü","U")))</f>
        <v/>
      </c>
      <c r="C268" s="37" t="str">
        <f aca="false">IF($A268="","",TRIM(SUBSTITUTE(SUBSTITUTE(SUBSTITUTE(SUBSTITUTE(SUBSTITUTE(SUBSTITUTE(UPPER(IFERROR(INDEX('Base de Personas'!$D7:D21,MATCH($A268,'Base de Personas'!$B7:B21,0)),IFERROR(INDEX($C$5:C267,MATCH($A268,$A$5:A267,0)),""))),"Á","A"),"É","E"),"Í","I"),"Ó","O"),"Ú","U"),"Ü","U")))</f>
        <v/>
      </c>
      <c r="D268" s="36" t="str">
        <f aca="false">IF($A268="","",TRIM(SUBSTITUTE(SUBSTITUTE(SUBSTITUTE(SUBSTITUTE(SUBSTITUTE(SUBSTITUTE(UPPER(IFERROR(INDEX('Base de Personas'!$E7:E21,MATCH($A268,'Base de Personas'!$B7:B21,0)),IFERROR(INDEX($D$5:D267,MATCH($A268,$A$5:A267,0)),""))),"Á","A"),"É","E"),"Í","I"),"Ó","O"),"Ú","U"),"Ü","U")))</f>
        <v/>
      </c>
      <c r="E268" s="36" t="str">
        <f aca="false">IF($A268="","",TRIM(SUBSTITUTE(SUBSTITUTE(SUBSTITUTE(SUBSTITUTE(SUBSTITUTE(SUBSTITUTE(UPPER(IFERROR(INDEX('Base de Personas'!$F7:F21,MATCH($A268,'Base de Personas'!$B7:B21,0)),IFERROR(INDEX($E$5:E267,MATCH($A268,$A$5:A267,0)),""))),"Á","A"),"É","E"),"Í","I"),"Ó","O"),"Ú","U"),"Ü","U")))</f>
        <v/>
      </c>
      <c r="F268" s="36" t="str">
        <f aca="false">IF($A268="","",TRIM(SUBSTITUTE(SUBSTITUTE(SUBSTITUTE(SUBSTITUTE(SUBSTITUTE(SUBSTITUTE(UPPER(IFERROR(INDEX('Base de Personas'!$G7:G21,MATCH($A268,'Base de Personas'!$B7:B21,0)),IFERROR(INDEX($F$5:F267,MATCH($A268,$A$5:A267,0)),""))),"Á","A"),"É","E"),"Í","I"),"Ó","O"),"Ú","U"),"Ü","U")))</f>
        <v/>
      </c>
      <c r="G268" s="37" t="str">
        <f aca="false">IF($A268="","",TRIM(SUBSTITUTE(SUBSTITUTE(SUBSTITUTE(SUBSTITUTE(SUBSTITUTE(SUBSTITUTE(UPPER(IFERROR(INDEX('Base de Personas'!$H7:H21,MATCH($A268,'Base de Personas'!$B7:B21,0)),IFERROR(INDEX($G$5:G267,MATCH($A268,$A$5:A267,0)),""))),"Á","A"),"É","E"),"Í","I"),"Ó","O"),"Ú","U"),"Ü","U")))</f>
        <v/>
      </c>
      <c r="H268" s="38" t="str">
        <f aca="false">IF($A268="","",IFERROR(INDEX('Base de Personas'!$I$7:$I$21,MATCH($A268,'Base de Personas'!$B$7:$B$21,0)),IFERROR(INDEX($H$5:H267,MATCH($A268,$A$5:A267,0)),"")))</f>
        <v/>
      </c>
      <c r="I268" s="39"/>
      <c r="J268" s="40"/>
      <c r="K268" s="40"/>
      <c r="L268" s="39"/>
      <c r="M268" s="41" t="str">
        <f aca="false">IF($A268="","",IF(K268=_xlfn.MAXIFS($K$5:$K$304,$A$5:$A$304,$A268),1,0))</f>
        <v/>
      </c>
      <c r="N268" s="41" t="str">
        <f aca="false">IF($A268="","",IF(M268=1,$A268&amp;"-ACT",""))</f>
        <v/>
      </c>
      <c r="O268" s="41" t="str">
        <f aca="false">IF($A268="","",IF(AND(COUNTIF('Base de Personas'!$B$7:$B$21,$A268)=0,COUNTIF($A$5:A268,$A268)=1),1,0))</f>
        <v/>
      </c>
      <c r="P268" s="41" t="str">
        <f aca="false">IF(O268=1,SUM($O$5:O268),"")</f>
        <v/>
      </c>
    </row>
    <row r="269" customFormat="false" ht="15" hidden="false" customHeight="false" outlineLevel="0" collapsed="false">
      <c r="A269" s="35"/>
      <c r="B269" s="36" t="str">
        <f aca="false">IF($A269="","",TRIM(SUBSTITUTE(SUBSTITUTE(SUBSTITUTE(SUBSTITUTE(SUBSTITUTE(SUBSTITUTE(UPPER(IFERROR(INDEX('Base de Personas'!$C7:C21,MATCH($A269,'Base de Personas'!$B7:B21,0)),IFERROR(INDEX($B$5:B268,MATCH($A269,$A$5:A268,0)),""))),"Á","A"),"É","E"),"Í","I"),"Ó","O"),"Ú","U"),"Ü","U")))</f>
        <v/>
      </c>
      <c r="C269" s="37" t="str">
        <f aca="false">IF($A269="","",TRIM(SUBSTITUTE(SUBSTITUTE(SUBSTITUTE(SUBSTITUTE(SUBSTITUTE(SUBSTITUTE(UPPER(IFERROR(INDEX('Base de Personas'!$D7:D21,MATCH($A269,'Base de Personas'!$B7:B21,0)),IFERROR(INDEX($C$5:C268,MATCH($A269,$A$5:A268,0)),""))),"Á","A"),"É","E"),"Í","I"),"Ó","O"),"Ú","U"),"Ü","U")))</f>
        <v/>
      </c>
      <c r="D269" s="36" t="str">
        <f aca="false">IF($A269="","",TRIM(SUBSTITUTE(SUBSTITUTE(SUBSTITUTE(SUBSTITUTE(SUBSTITUTE(SUBSTITUTE(UPPER(IFERROR(INDEX('Base de Personas'!$E7:E21,MATCH($A269,'Base de Personas'!$B7:B21,0)),IFERROR(INDEX($D$5:D268,MATCH($A269,$A$5:A268,0)),""))),"Á","A"),"É","E"),"Í","I"),"Ó","O"),"Ú","U"),"Ü","U")))</f>
        <v/>
      </c>
      <c r="E269" s="36" t="str">
        <f aca="false">IF($A269="","",TRIM(SUBSTITUTE(SUBSTITUTE(SUBSTITUTE(SUBSTITUTE(SUBSTITUTE(SUBSTITUTE(UPPER(IFERROR(INDEX('Base de Personas'!$F7:F21,MATCH($A269,'Base de Personas'!$B7:B21,0)),IFERROR(INDEX($E$5:E268,MATCH($A269,$A$5:A268,0)),""))),"Á","A"),"É","E"),"Í","I"),"Ó","O"),"Ú","U"),"Ü","U")))</f>
        <v/>
      </c>
      <c r="F269" s="36" t="str">
        <f aca="false">IF($A269="","",TRIM(SUBSTITUTE(SUBSTITUTE(SUBSTITUTE(SUBSTITUTE(SUBSTITUTE(SUBSTITUTE(UPPER(IFERROR(INDEX('Base de Personas'!$G7:G21,MATCH($A269,'Base de Personas'!$B7:B21,0)),IFERROR(INDEX($F$5:F268,MATCH($A269,$A$5:A268,0)),""))),"Á","A"),"É","E"),"Í","I"),"Ó","O"),"Ú","U"),"Ü","U")))</f>
        <v/>
      </c>
      <c r="G269" s="37" t="str">
        <f aca="false">IF($A269="","",TRIM(SUBSTITUTE(SUBSTITUTE(SUBSTITUTE(SUBSTITUTE(SUBSTITUTE(SUBSTITUTE(UPPER(IFERROR(INDEX('Base de Personas'!$H7:H21,MATCH($A269,'Base de Personas'!$B7:B21,0)),IFERROR(INDEX($G$5:G268,MATCH($A269,$A$5:A268,0)),""))),"Á","A"),"É","E"),"Í","I"),"Ó","O"),"Ú","U"),"Ü","U")))</f>
        <v/>
      </c>
      <c r="H269" s="38" t="str">
        <f aca="false">IF($A269="","",IFERROR(INDEX('Base de Personas'!$I$7:$I$21,MATCH($A269,'Base de Personas'!$B$7:$B$21,0)),IFERROR(INDEX($H$5:H268,MATCH($A269,$A$5:A268,0)),"")))</f>
        <v/>
      </c>
      <c r="I269" s="39"/>
      <c r="J269" s="40"/>
      <c r="K269" s="40"/>
      <c r="L269" s="39"/>
      <c r="M269" s="41" t="str">
        <f aca="false">IF($A269="","",IF(K269=_xlfn.MAXIFS($K$5:$K$304,$A$5:$A$304,$A269),1,0))</f>
        <v/>
      </c>
      <c r="N269" s="41" t="str">
        <f aca="false">IF($A269="","",IF(M269=1,$A269&amp;"-ACT",""))</f>
        <v/>
      </c>
      <c r="O269" s="41" t="str">
        <f aca="false">IF($A269="","",IF(AND(COUNTIF('Base de Personas'!$B$7:$B$21,$A269)=0,COUNTIF($A$5:A269,$A269)=1),1,0))</f>
        <v/>
      </c>
      <c r="P269" s="41" t="str">
        <f aca="false">IF(O269=1,SUM($O$5:O269),"")</f>
        <v/>
      </c>
    </row>
    <row r="270" customFormat="false" ht="15" hidden="false" customHeight="false" outlineLevel="0" collapsed="false">
      <c r="A270" s="35"/>
      <c r="B270" s="36" t="str">
        <f aca="false">IF($A270="","",TRIM(SUBSTITUTE(SUBSTITUTE(SUBSTITUTE(SUBSTITUTE(SUBSTITUTE(SUBSTITUTE(UPPER(IFERROR(INDEX('Base de Personas'!$C7:C21,MATCH($A270,'Base de Personas'!$B7:B21,0)),IFERROR(INDEX($B$5:B269,MATCH($A270,$A$5:A269,0)),""))),"Á","A"),"É","E"),"Í","I"),"Ó","O"),"Ú","U"),"Ü","U")))</f>
        <v/>
      </c>
      <c r="C270" s="37" t="str">
        <f aca="false">IF($A270="","",TRIM(SUBSTITUTE(SUBSTITUTE(SUBSTITUTE(SUBSTITUTE(SUBSTITUTE(SUBSTITUTE(UPPER(IFERROR(INDEX('Base de Personas'!$D7:D21,MATCH($A270,'Base de Personas'!$B7:B21,0)),IFERROR(INDEX($C$5:C269,MATCH($A270,$A$5:A269,0)),""))),"Á","A"),"É","E"),"Í","I"),"Ó","O"),"Ú","U"),"Ü","U")))</f>
        <v/>
      </c>
      <c r="D270" s="36" t="str">
        <f aca="false">IF($A270="","",TRIM(SUBSTITUTE(SUBSTITUTE(SUBSTITUTE(SUBSTITUTE(SUBSTITUTE(SUBSTITUTE(UPPER(IFERROR(INDEX('Base de Personas'!$E7:E21,MATCH($A270,'Base de Personas'!$B7:B21,0)),IFERROR(INDEX($D$5:D269,MATCH($A270,$A$5:A269,0)),""))),"Á","A"),"É","E"),"Í","I"),"Ó","O"),"Ú","U"),"Ü","U")))</f>
        <v/>
      </c>
      <c r="E270" s="36" t="str">
        <f aca="false">IF($A270="","",TRIM(SUBSTITUTE(SUBSTITUTE(SUBSTITUTE(SUBSTITUTE(SUBSTITUTE(SUBSTITUTE(UPPER(IFERROR(INDEX('Base de Personas'!$F7:F21,MATCH($A270,'Base de Personas'!$B7:B21,0)),IFERROR(INDEX($E$5:E269,MATCH($A270,$A$5:A269,0)),""))),"Á","A"),"É","E"),"Í","I"),"Ó","O"),"Ú","U"),"Ü","U")))</f>
        <v/>
      </c>
      <c r="F270" s="36" t="str">
        <f aca="false">IF($A270="","",TRIM(SUBSTITUTE(SUBSTITUTE(SUBSTITUTE(SUBSTITUTE(SUBSTITUTE(SUBSTITUTE(UPPER(IFERROR(INDEX('Base de Personas'!$G7:G21,MATCH($A270,'Base de Personas'!$B7:B21,0)),IFERROR(INDEX($F$5:F269,MATCH($A270,$A$5:A269,0)),""))),"Á","A"),"É","E"),"Í","I"),"Ó","O"),"Ú","U"),"Ü","U")))</f>
        <v/>
      </c>
      <c r="G270" s="37" t="str">
        <f aca="false">IF($A270="","",TRIM(SUBSTITUTE(SUBSTITUTE(SUBSTITUTE(SUBSTITUTE(SUBSTITUTE(SUBSTITUTE(UPPER(IFERROR(INDEX('Base de Personas'!$H7:H21,MATCH($A270,'Base de Personas'!$B7:B21,0)),IFERROR(INDEX($G$5:G269,MATCH($A270,$A$5:A269,0)),""))),"Á","A"),"É","E"),"Í","I"),"Ó","O"),"Ú","U"),"Ü","U")))</f>
        <v/>
      </c>
      <c r="H270" s="38" t="str">
        <f aca="false">IF($A270="","",IFERROR(INDEX('Base de Personas'!$I$7:$I$21,MATCH($A270,'Base de Personas'!$B$7:$B$21,0)),IFERROR(INDEX($H$5:H269,MATCH($A270,$A$5:A269,0)),"")))</f>
        <v/>
      </c>
      <c r="I270" s="39"/>
      <c r="J270" s="40"/>
      <c r="K270" s="40"/>
      <c r="L270" s="39"/>
      <c r="M270" s="41" t="str">
        <f aca="false">IF($A270="","",IF(K270=_xlfn.MAXIFS($K$5:$K$304,$A$5:$A$304,$A270),1,0))</f>
        <v/>
      </c>
      <c r="N270" s="41" t="str">
        <f aca="false">IF($A270="","",IF(M270=1,$A270&amp;"-ACT",""))</f>
        <v/>
      </c>
      <c r="O270" s="41" t="str">
        <f aca="false">IF($A270="","",IF(AND(COUNTIF('Base de Personas'!$B$7:$B$21,$A270)=0,COUNTIF($A$5:A270,$A270)=1),1,0))</f>
        <v/>
      </c>
      <c r="P270" s="41" t="str">
        <f aca="false">IF(O270=1,SUM($O$5:O270),"")</f>
        <v/>
      </c>
    </row>
    <row r="271" customFormat="false" ht="15" hidden="false" customHeight="false" outlineLevel="0" collapsed="false">
      <c r="A271" s="35"/>
      <c r="B271" s="36" t="str">
        <f aca="false">IF($A271="","",TRIM(SUBSTITUTE(SUBSTITUTE(SUBSTITUTE(SUBSTITUTE(SUBSTITUTE(SUBSTITUTE(UPPER(IFERROR(INDEX('Base de Personas'!$C7:C21,MATCH($A271,'Base de Personas'!$B7:B21,0)),IFERROR(INDEX($B$5:B270,MATCH($A271,$A$5:A270,0)),""))),"Á","A"),"É","E"),"Í","I"),"Ó","O"),"Ú","U"),"Ü","U")))</f>
        <v/>
      </c>
      <c r="C271" s="37" t="str">
        <f aca="false">IF($A271="","",TRIM(SUBSTITUTE(SUBSTITUTE(SUBSTITUTE(SUBSTITUTE(SUBSTITUTE(SUBSTITUTE(UPPER(IFERROR(INDEX('Base de Personas'!$D7:D21,MATCH($A271,'Base de Personas'!$B7:B21,0)),IFERROR(INDEX($C$5:C270,MATCH($A271,$A$5:A270,0)),""))),"Á","A"),"É","E"),"Í","I"),"Ó","O"),"Ú","U"),"Ü","U")))</f>
        <v/>
      </c>
      <c r="D271" s="36" t="str">
        <f aca="false">IF($A271="","",TRIM(SUBSTITUTE(SUBSTITUTE(SUBSTITUTE(SUBSTITUTE(SUBSTITUTE(SUBSTITUTE(UPPER(IFERROR(INDEX('Base de Personas'!$E7:E21,MATCH($A271,'Base de Personas'!$B7:B21,0)),IFERROR(INDEX($D$5:D270,MATCH($A271,$A$5:A270,0)),""))),"Á","A"),"É","E"),"Í","I"),"Ó","O"),"Ú","U"),"Ü","U")))</f>
        <v/>
      </c>
      <c r="E271" s="36" t="str">
        <f aca="false">IF($A271="","",TRIM(SUBSTITUTE(SUBSTITUTE(SUBSTITUTE(SUBSTITUTE(SUBSTITUTE(SUBSTITUTE(UPPER(IFERROR(INDEX('Base de Personas'!$F7:F21,MATCH($A271,'Base de Personas'!$B7:B21,0)),IFERROR(INDEX($E$5:E270,MATCH($A271,$A$5:A270,0)),""))),"Á","A"),"É","E"),"Í","I"),"Ó","O"),"Ú","U"),"Ü","U")))</f>
        <v/>
      </c>
      <c r="F271" s="36" t="str">
        <f aca="false">IF($A271="","",TRIM(SUBSTITUTE(SUBSTITUTE(SUBSTITUTE(SUBSTITUTE(SUBSTITUTE(SUBSTITUTE(UPPER(IFERROR(INDEX('Base de Personas'!$G7:G21,MATCH($A271,'Base de Personas'!$B7:B21,0)),IFERROR(INDEX($F$5:F270,MATCH($A271,$A$5:A270,0)),""))),"Á","A"),"É","E"),"Í","I"),"Ó","O"),"Ú","U"),"Ü","U")))</f>
        <v/>
      </c>
      <c r="G271" s="37" t="str">
        <f aca="false">IF($A271="","",TRIM(SUBSTITUTE(SUBSTITUTE(SUBSTITUTE(SUBSTITUTE(SUBSTITUTE(SUBSTITUTE(UPPER(IFERROR(INDEX('Base de Personas'!$H7:H21,MATCH($A271,'Base de Personas'!$B7:B21,0)),IFERROR(INDEX($G$5:G270,MATCH($A271,$A$5:A270,0)),""))),"Á","A"),"É","E"),"Í","I"),"Ó","O"),"Ú","U"),"Ü","U")))</f>
        <v/>
      </c>
      <c r="H271" s="38" t="str">
        <f aca="false">IF($A271="","",IFERROR(INDEX('Base de Personas'!$I$7:$I$21,MATCH($A271,'Base de Personas'!$B$7:$B$21,0)),IFERROR(INDEX($H$5:H270,MATCH($A271,$A$5:A270,0)),"")))</f>
        <v/>
      </c>
      <c r="I271" s="39"/>
      <c r="J271" s="40"/>
      <c r="K271" s="40"/>
      <c r="L271" s="39"/>
      <c r="M271" s="41" t="str">
        <f aca="false">IF($A271="","",IF(K271=_xlfn.MAXIFS($K$5:$K$304,$A$5:$A$304,$A271),1,0))</f>
        <v/>
      </c>
      <c r="N271" s="41" t="str">
        <f aca="false">IF($A271="","",IF(M271=1,$A271&amp;"-ACT",""))</f>
        <v/>
      </c>
      <c r="O271" s="41" t="str">
        <f aca="false">IF($A271="","",IF(AND(COUNTIF('Base de Personas'!$B$7:$B$21,$A271)=0,COUNTIF($A$5:A271,$A271)=1),1,0))</f>
        <v/>
      </c>
      <c r="P271" s="41" t="str">
        <f aca="false">IF(O271=1,SUM($O$5:O271),"")</f>
        <v/>
      </c>
    </row>
    <row r="272" customFormat="false" ht="15" hidden="false" customHeight="false" outlineLevel="0" collapsed="false">
      <c r="A272" s="35"/>
      <c r="B272" s="36" t="str">
        <f aca="false">IF($A272="","",TRIM(SUBSTITUTE(SUBSTITUTE(SUBSTITUTE(SUBSTITUTE(SUBSTITUTE(SUBSTITUTE(UPPER(IFERROR(INDEX('Base de Personas'!$C7:C21,MATCH($A272,'Base de Personas'!$B7:B21,0)),IFERROR(INDEX($B$5:B271,MATCH($A272,$A$5:A271,0)),""))),"Á","A"),"É","E"),"Í","I"),"Ó","O"),"Ú","U"),"Ü","U")))</f>
        <v/>
      </c>
      <c r="C272" s="37" t="str">
        <f aca="false">IF($A272="","",TRIM(SUBSTITUTE(SUBSTITUTE(SUBSTITUTE(SUBSTITUTE(SUBSTITUTE(SUBSTITUTE(UPPER(IFERROR(INDEX('Base de Personas'!$D7:D21,MATCH($A272,'Base de Personas'!$B7:B21,0)),IFERROR(INDEX($C$5:C271,MATCH($A272,$A$5:A271,0)),""))),"Á","A"),"É","E"),"Í","I"),"Ó","O"),"Ú","U"),"Ü","U")))</f>
        <v/>
      </c>
      <c r="D272" s="36" t="str">
        <f aca="false">IF($A272="","",TRIM(SUBSTITUTE(SUBSTITUTE(SUBSTITUTE(SUBSTITUTE(SUBSTITUTE(SUBSTITUTE(UPPER(IFERROR(INDEX('Base de Personas'!$E7:E21,MATCH($A272,'Base de Personas'!$B7:B21,0)),IFERROR(INDEX($D$5:D271,MATCH($A272,$A$5:A271,0)),""))),"Á","A"),"É","E"),"Í","I"),"Ó","O"),"Ú","U"),"Ü","U")))</f>
        <v/>
      </c>
      <c r="E272" s="36" t="str">
        <f aca="false">IF($A272="","",TRIM(SUBSTITUTE(SUBSTITUTE(SUBSTITUTE(SUBSTITUTE(SUBSTITUTE(SUBSTITUTE(UPPER(IFERROR(INDEX('Base de Personas'!$F7:F21,MATCH($A272,'Base de Personas'!$B7:B21,0)),IFERROR(INDEX($E$5:E271,MATCH($A272,$A$5:A271,0)),""))),"Á","A"),"É","E"),"Í","I"),"Ó","O"),"Ú","U"),"Ü","U")))</f>
        <v/>
      </c>
      <c r="F272" s="36" t="str">
        <f aca="false">IF($A272="","",TRIM(SUBSTITUTE(SUBSTITUTE(SUBSTITUTE(SUBSTITUTE(SUBSTITUTE(SUBSTITUTE(UPPER(IFERROR(INDEX('Base de Personas'!$G7:G21,MATCH($A272,'Base de Personas'!$B7:B21,0)),IFERROR(INDEX($F$5:F271,MATCH($A272,$A$5:A271,0)),""))),"Á","A"),"É","E"),"Í","I"),"Ó","O"),"Ú","U"),"Ü","U")))</f>
        <v/>
      </c>
      <c r="G272" s="37" t="str">
        <f aca="false">IF($A272="","",TRIM(SUBSTITUTE(SUBSTITUTE(SUBSTITUTE(SUBSTITUTE(SUBSTITUTE(SUBSTITUTE(UPPER(IFERROR(INDEX('Base de Personas'!$H7:H21,MATCH($A272,'Base de Personas'!$B7:B21,0)),IFERROR(INDEX($G$5:G271,MATCH($A272,$A$5:A271,0)),""))),"Á","A"),"É","E"),"Í","I"),"Ó","O"),"Ú","U"),"Ü","U")))</f>
        <v/>
      </c>
      <c r="H272" s="38" t="str">
        <f aca="false">IF($A272="","",IFERROR(INDEX('Base de Personas'!$I$7:$I$21,MATCH($A272,'Base de Personas'!$B$7:$B$21,0)),IFERROR(INDEX($H$5:H271,MATCH($A272,$A$5:A271,0)),"")))</f>
        <v/>
      </c>
      <c r="I272" s="39"/>
      <c r="J272" s="40"/>
      <c r="K272" s="40"/>
      <c r="L272" s="39"/>
      <c r="M272" s="41" t="str">
        <f aca="false">IF($A272="","",IF(K272=_xlfn.MAXIFS($K$5:$K$304,$A$5:$A$304,$A272),1,0))</f>
        <v/>
      </c>
      <c r="N272" s="41" t="str">
        <f aca="false">IF($A272="","",IF(M272=1,$A272&amp;"-ACT",""))</f>
        <v/>
      </c>
      <c r="O272" s="41" t="str">
        <f aca="false">IF($A272="","",IF(AND(COUNTIF('Base de Personas'!$B$7:$B$21,$A272)=0,COUNTIF($A$5:A272,$A272)=1),1,0))</f>
        <v/>
      </c>
      <c r="P272" s="41" t="str">
        <f aca="false">IF(O272=1,SUM($O$5:O272),"")</f>
        <v/>
      </c>
    </row>
    <row r="273" customFormat="false" ht="15" hidden="false" customHeight="false" outlineLevel="0" collapsed="false">
      <c r="A273" s="35"/>
      <c r="B273" s="36" t="str">
        <f aca="false">IF($A273="","",TRIM(SUBSTITUTE(SUBSTITUTE(SUBSTITUTE(SUBSTITUTE(SUBSTITUTE(SUBSTITUTE(UPPER(IFERROR(INDEX('Base de Personas'!$C7:C21,MATCH($A273,'Base de Personas'!$B7:B21,0)),IFERROR(INDEX($B$5:B272,MATCH($A273,$A$5:A272,0)),""))),"Á","A"),"É","E"),"Í","I"),"Ó","O"),"Ú","U"),"Ü","U")))</f>
        <v/>
      </c>
      <c r="C273" s="37" t="str">
        <f aca="false">IF($A273="","",TRIM(SUBSTITUTE(SUBSTITUTE(SUBSTITUTE(SUBSTITUTE(SUBSTITUTE(SUBSTITUTE(UPPER(IFERROR(INDEX('Base de Personas'!$D7:D21,MATCH($A273,'Base de Personas'!$B7:B21,0)),IFERROR(INDEX($C$5:C272,MATCH($A273,$A$5:A272,0)),""))),"Á","A"),"É","E"),"Í","I"),"Ó","O"),"Ú","U"),"Ü","U")))</f>
        <v/>
      </c>
      <c r="D273" s="36" t="str">
        <f aca="false">IF($A273="","",TRIM(SUBSTITUTE(SUBSTITUTE(SUBSTITUTE(SUBSTITUTE(SUBSTITUTE(SUBSTITUTE(UPPER(IFERROR(INDEX('Base de Personas'!$E7:E21,MATCH($A273,'Base de Personas'!$B7:B21,0)),IFERROR(INDEX($D$5:D272,MATCH($A273,$A$5:A272,0)),""))),"Á","A"),"É","E"),"Í","I"),"Ó","O"),"Ú","U"),"Ü","U")))</f>
        <v/>
      </c>
      <c r="E273" s="36" t="str">
        <f aca="false">IF($A273="","",TRIM(SUBSTITUTE(SUBSTITUTE(SUBSTITUTE(SUBSTITUTE(SUBSTITUTE(SUBSTITUTE(UPPER(IFERROR(INDEX('Base de Personas'!$F7:F21,MATCH($A273,'Base de Personas'!$B7:B21,0)),IFERROR(INDEX($E$5:E272,MATCH($A273,$A$5:A272,0)),""))),"Á","A"),"É","E"),"Í","I"),"Ó","O"),"Ú","U"),"Ü","U")))</f>
        <v/>
      </c>
      <c r="F273" s="36" t="str">
        <f aca="false">IF($A273="","",TRIM(SUBSTITUTE(SUBSTITUTE(SUBSTITUTE(SUBSTITUTE(SUBSTITUTE(SUBSTITUTE(UPPER(IFERROR(INDEX('Base de Personas'!$G7:G21,MATCH($A273,'Base de Personas'!$B7:B21,0)),IFERROR(INDEX($F$5:F272,MATCH($A273,$A$5:A272,0)),""))),"Á","A"),"É","E"),"Í","I"),"Ó","O"),"Ú","U"),"Ü","U")))</f>
        <v/>
      </c>
      <c r="G273" s="37" t="str">
        <f aca="false">IF($A273="","",TRIM(SUBSTITUTE(SUBSTITUTE(SUBSTITUTE(SUBSTITUTE(SUBSTITUTE(SUBSTITUTE(UPPER(IFERROR(INDEX('Base de Personas'!$H7:H21,MATCH($A273,'Base de Personas'!$B7:B21,0)),IFERROR(INDEX($G$5:G272,MATCH($A273,$A$5:A272,0)),""))),"Á","A"),"É","E"),"Í","I"),"Ó","O"),"Ú","U"),"Ü","U")))</f>
        <v/>
      </c>
      <c r="H273" s="38" t="str">
        <f aca="false">IF($A273="","",IFERROR(INDEX('Base de Personas'!$I$7:$I$21,MATCH($A273,'Base de Personas'!$B$7:$B$21,0)),IFERROR(INDEX($H$5:H272,MATCH($A273,$A$5:A272,0)),"")))</f>
        <v/>
      </c>
      <c r="I273" s="39"/>
      <c r="J273" s="40"/>
      <c r="K273" s="40"/>
      <c r="L273" s="39"/>
      <c r="M273" s="41" t="str">
        <f aca="false">IF($A273="","",IF(K273=_xlfn.MAXIFS($K$5:$K$304,$A$5:$A$304,$A273),1,0))</f>
        <v/>
      </c>
      <c r="N273" s="41" t="str">
        <f aca="false">IF($A273="","",IF(M273=1,$A273&amp;"-ACT",""))</f>
        <v/>
      </c>
      <c r="O273" s="41" t="str">
        <f aca="false">IF($A273="","",IF(AND(COUNTIF('Base de Personas'!$B$7:$B$21,$A273)=0,COUNTIF($A$5:A273,$A273)=1),1,0))</f>
        <v/>
      </c>
      <c r="P273" s="41" t="str">
        <f aca="false">IF(O273=1,SUM($O$5:O273),"")</f>
        <v/>
      </c>
    </row>
    <row r="274" customFormat="false" ht="15" hidden="false" customHeight="false" outlineLevel="0" collapsed="false">
      <c r="A274" s="35"/>
      <c r="B274" s="36" t="str">
        <f aca="false">IF($A274="","",TRIM(SUBSTITUTE(SUBSTITUTE(SUBSTITUTE(SUBSTITUTE(SUBSTITUTE(SUBSTITUTE(UPPER(IFERROR(INDEX('Base de Personas'!$C7:C21,MATCH($A274,'Base de Personas'!$B7:B21,0)),IFERROR(INDEX($B$5:B273,MATCH($A274,$A$5:A273,0)),""))),"Á","A"),"É","E"),"Í","I"),"Ó","O"),"Ú","U"),"Ü","U")))</f>
        <v/>
      </c>
      <c r="C274" s="37" t="str">
        <f aca="false">IF($A274="","",TRIM(SUBSTITUTE(SUBSTITUTE(SUBSTITUTE(SUBSTITUTE(SUBSTITUTE(SUBSTITUTE(UPPER(IFERROR(INDEX('Base de Personas'!$D7:D21,MATCH($A274,'Base de Personas'!$B7:B21,0)),IFERROR(INDEX($C$5:C273,MATCH($A274,$A$5:A273,0)),""))),"Á","A"),"É","E"),"Í","I"),"Ó","O"),"Ú","U"),"Ü","U")))</f>
        <v/>
      </c>
      <c r="D274" s="36" t="str">
        <f aca="false">IF($A274="","",TRIM(SUBSTITUTE(SUBSTITUTE(SUBSTITUTE(SUBSTITUTE(SUBSTITUTE(SUBSTITUTE(UPPER(IFERROR(INDEX('Base de Personas'!$E7:E21,MATCH($A274,'Base de Personas'!$B7:B21,0)),IFERROR(INDEX($D$5:D273,MATCH($A274,$A$5:A273,0)),""))),"Á","A"),"É","E"),"Í","I"),"Ó","O"),"Ú","U"),"Ü","U")))</f>
        <v/>
      </c>
      <c r="E274" s="36" t="str">
        <f aca="false">IF($A274="","",TRIM(SUBSTITUTE(SUBSTITUTE(SUBSTITUTE(SUBSTITUTE(SUBSTITUTE(SUBSTITUTE(UPPER(IFERROR(INDEX('Base de Personas'!$F7:F21,MATCH($A274,'Base de Personas'!$B7:B21,0)),IFERROR(INDEX($E$5:E273,MATCH($A274,$A$5:A273,0)),""))),"Á","A"),"É","E"),"Í","I"),"Ó","O"),"Ú","U"),"Ü","U")))</f>
        <v/>
      </c>
      <c r="F274" s="36" t="str">
        <f aca="false">IF($A274="","",TRIM(SUBSTITUTE(SUBSTITUTE(SUBSTITUTE(SUBSTITUTE(SUBSTITUTE(SUBSTITUTE(UPPER(IFERROR(INDEX('Base de Personas'!$G7:G21,MATCH($A274,'Base de Personas'!$B7:B21,0)),IFERROR(INDEX($F$5:F273,MATCH($A274,$A$5:A273,0)),""))),"Á","A"),"É","E"),"Í","I"),"Ó","O"),"Ú","U"),"Ü","U")))</f>
        <v/>
      </c>
      <c r="G274" s="37" t="str">
        <f aca="false">IF($A274="","",TRIM(SUBSTITUTE(SUBSTITUTE(SUBSTITUTE(SUBSTITUTE(SUBSTITUTE(SUBSTITUTE(UPPER(IFERROR(INDEX('Base de Personas'!$H7:H21,MATCH($A274,'Base de Personas'!$B7:B21,0)),IFERROR(INDEX($G$5:G273,MATCH($A274,$A$5:A273,0)),""))),"Á","A"),"É","E"),"Í","I"),"Ó","O"),"Ú","U"),"Ü","U")))</f>
        <v/>
      </c>
      <c r="H274" s="38" t="str">
        <f aca="false">IF($A274="","",IFERROR(INDEX('Base de Personas'!$I$7:$I$21,MATCH($A274,'Base de Personas'!$B$7:$B$21,0)),IFERROR(INDEX($H$5:H273,MATCH($A274,$A$5:A273,0)),"")))</f>
        <v/>
      </c>
      <c r="I274" s="39"/>
      <c r="J274" s="40"/>
      <c r="K274" s="40"/>
      <c r="L274" s="39"/>
      <c r="M274" s="41" t="str">
        <f aca="false">IF($A274="","",IF(K274=_xlfn.MAXIFS($K$5:$K$304,$A$5:$A$304,$A274),1,0))</f>
        <v/>
      </c>
      <c r="N274" s="41" t="str">
        <f aca="false">IF($A274="","",IF(M274=1,$A274&amp;"-ACT",""))</f>
        <v/>
      </c>
      <c r="O274" s="41" t="str">
        <f aca="false">IF($A274="","",IF(AND(COUNTIF('Base de Personas'!$B$7:$B$21,$A274)=0,COUNTIF($A$5:A274,$A274)=1),1,0))</f>
        <v/>
      </c>
      <c r="P274" s="41" t="str">
        <f aca="false">IF(O274=1,SUM($O$5:O274),"")</f>
        <v/>
      </c>
    </row>
    <row r="275" customFormat="false" ht="15" hidden="false" customHeight="false" outlineLevel="0" collapsed="false">
      <c r="A275" s="35"/>
      <c r="B275" s="36" t="str">
        <f aca="false">IF($A275="","",TRIM(SUBSTITUTE(SUBSTITUTE(SUBSTITUTE(SUBSTITUTE(SUBSTITUTE(SUBSTITUTE(UPPER(IFERROR(INDEX('Base de Personas'!$C7:C21,MATCH($A275,'Base de Personas'!$B7:B21,0)),IFERROR(INDEX($B$5:B274,MATCH($A275,$A$5:A274,0)),""))),"Á","A"),"É","E"),"Í","I"),"Ó","O"),"Ú","U"),"Ü","U")))</f>
        <v/>
      </c>
      <c r="C275" s="37" t="str">
        <f aca="false">IF($A275="","",TRIM(SUBSTITUTE(SUBSTITUTE(SUBSTITUTE(SUBSTITUTE(SUBSTITUTE(SUBSTITUTE(UPPER(IFERROR(INDEX('Base de Personas'!$D7:D21,MATCH($A275,'Base de Personas'!$B7:B21,0)),IFERROR(INDEX($C$5:C274,MATCH($A275,$A$5:A274,0)),""))),"Á","A"),"É","E"),"Í","I"),"Ó","O"),"Ú","U"),"Ü","U")))</f>
        <v/>
      </c>
      <c r="D275" s="36" t="str">
        <f aca="false">IF($A275="","",TRIM(SUBSTITUTE(SUBSTITUTE(SUBSTITUTE(SUBSTITUTE(SUBSTITUTE(SUBSTITUTE(UPPER(IFERROR(INDEX('Base de Personas'!$E7:E21,MATCH($A275,'Base de Personas'!$B7:B21,0)),IFERROR(INDEX($D$5:D274,MATCH($A275,$A$5:A274,0)),""))),"Á","A"),"É","E"),"Í","I"),"Ó","O"),"Ú","U"),"Ü","U")))</f>
        <v/>
      </c>
      <c r="E275" s="36" t="str">
        <f aca="false">IF($A275="","",TRIM(SUBSTITUTE(SUBSTITUTE(SUBSTITUTE(SUBSTITUTE(SUBSTITUTE(SUBSTITUTE(UPPER(IFERROR(INDEX('Base de Personas'!$F7:F21,MATCH($A275,'Base de Personas'!$B7:B21,0)),IFERROR(INDEX($E$5:E274,MATCH($A275,$A$5:A274,0)),""))),"Á","A"),"É","E"),"Í","I"),"Ó","O"),"Ú","U"),"Ü","U")))</f>
        <v/>
      </c>
      <c r="F275" s="36" t="str">
        <f aca="false">IF($A275="","",TRIM(SUBSTITUTE(SUBSTITUTE(SUBSTITUTE(SUBSTITUTE(SUBSTITUTE(SUBSTITUTE(UPPER(IFERROR(INDEX('Base de Personas'!$G7:G21,MATCH($A275,'Base de Personas'!$B7:B21,0)),IFERROR(INDEX($F$5:F274,MATCH($A275,$A$5:A274,0)),""))),"Á","A"),"É","E"),"Í","I"),"Ó","O"),"Ú","U"),"Ü","U")))</f>
        <v/>
      </c>
      <c r="G275" s="37" t="str">
        <f aca="false">IF($A275="","",TRIM(SUBSTITUTE(SUBSTITUTE(SUBSTITUTE(SUBSTITUTE(SUBSTITUTE(SUBSTITUTE(UPPER(IFERROR(INDEX('Base de Personas'!$H7:H21,MATCH($A275,'Base de Personas'!$B7:B21,0)),IFERROR(INDEX($G$5:G274,MATCH($A275,$A$5:A274,0)),""))),"Á","A"),"É","E"),"Í","I"),"Ó","O"),"Ú","U"),"Ü","U")))</f>
        <v/>
      </c>
      <c r="H275" s="38" t="str">
        <f aca="false">IF($A275="","",IFERROR(INDEX('Base de Personas'!$I$7:$I$21,MATCH($A275,'Base de Personas'!$B$7:$B$21,0)),IFERROR(INDEX($H$5:H274,MATCH($A275,$A$5:A274,0)),"")))</f>
        <v/>
      </c>
      <c r="I275" s="39"/>
      <c r="J275" s="40"/>
      <c r="K275" s="40"/>
      <c r="L275" s="39"/>
      <c r="M275" s="41" t="str">
        <f aca="false">IF($A275="","",IF(K275=_xlfn.MAXIFS($K$5:$K$304,$A$5:$A$304,$A275),1,0))</f>
        <v/>
      </c>
      <c r="N275" s="41" t="str">
        <f aca="false">IF($A275="","",IF(M275=1,$A275&amp;"-ACT",""))</f>
        <v/>
      </c>
      <c r="O275" s="41" t="str">
        <f aca="false">IF($A275="","",IF(AND(COUNTIF('Base de Personas'!$B$7:$B$21,$A275)=0,COUNTIF($A$5:A275,$A275)=1),1,0))</f>
        <v/>
      </c>
      <c r="P275" s="41" t="str">
        <f aca="false">IF(O275=1,SUM($O$5:O275),"")</f>
        <v/>
      </c>
    </row>
    <row r="276" customFormat="false" ht="15" hidden="false" customHeight="false" outlineLevel="0" collapsed="false">
      <c r="A276" s="35"/>
      <c r="B276" s="36" t="str">
        <f aca="false">IF($A276="","",TRIM(SUBSTITUTE(SUBSTITUTE(SUBSTITUTE(SUBSTITUTE(SUBSTITUTE(SUBSTITUTE(UPPER(IFERROR(INDEX('Base de Personas'!$C7:C21,MATCH($A276,'Base de Personas'!$B7:B21,0)),IFERROR(INDEX($B$5:B275,MATCH($A276,$A$5:A275,0)),""))),"Á","A"),"É","E"),"Í","I"),"Ó","O"),"Ú","U"),"Ü","U")))</f>
        <v/>
      </c>
      <c r="C276" s="37" t="str">
        <f aca="false">IF($A276="","",TRIM(SUBSTITUTE(SUBSTITUTE(SUBSTITUTE(SUBSTITUTE(SUBSTITUTE(SUBSTITUTE(UPPER(IFERROR(INDEX('Base de Personas'!$D7:D21,MATCH($A276,'Base de Personas'!$B7:B21,0)),IFERROR(INDEX($C$5:C275,MATCH($A276,$A$5:A275,0)),""))),"Á","A"),"É","E"),"Í","I"),"Ó","O"),"Ú","U"),"Ü","U")))</f>
        <v/>
      </c>
      <c r="D276" s="36" t="str">
        <f aca="false">IF($A276="","",TRIM(SUBSTITUTE(SUBSTITUTE(SUBSTITUTE(SUBSTITUTE(SUBSTITUTE(SUBSTITUTE(UPPER(IFERROR(INDEX('Base de Personas'!$E7:E21,MATCH($A276,'Base de Personas'!$B7:B21,0)),IFERROR(INDEX($D$5:D275,MATCH($A276,$A$5:A275,0)),""))),"Á","A"),"É","E"),"Í","I"),"Ó","O"),"Ú","U"),"Ü","U")))</f>
        <v/>
      </c>
      <c r="E276" s="36" t="str">
        <f aca="false">IF($A276="","",TRIM(SUBSTITUTE(SUBSTITUTE(SUBSTITUTE(SUBSTITUTE(SUBSTITUTE(SUBSTITUTE(UPPER(IFERROR(INDEX('Base de Personas'!$F7:F21,MATCH($A276,'Base de Personas'!$B7:B21,0)),IFERROR(INDEX($E$5:E275,MATCH($A276,$A$5:A275,0)),""))),"Á","A"),"É","E"),"Í","I"),"Ó","O"),"Ú","U"),"Ü","U")))</f>
        <v/>
      </c>
      <c r="F276" s="36" t="str">
        <f aca="false">IF($A276="","",TRIM(SUBSTITUTE(SUBSTITUTE(SUBSTITUTE(SUBSTITUTE(SUBSTITUTE(SUBSTITUTE(UPPER(IFERROR(INDEX('Base de Personas'!$G7:G21,MATCH($A276,'Base de Personas'!$B7:B21,0)),IFERROR(INDEX($F$5:F275,MATCH($A276,$A$5:A275,0)),""))),"Á","A"),"É","E"),"Í","I"),"Ó","O"),"Ú","U"),"Ü","U")))</f>
        <v/>
      </c>
      <c r="G276" s="37" t="str">
        <f aca="false">IF($A276="","",TRIM(SUBSTITUTE(SUBSTITUTE(SUBSTITUTE(SUBSTITUTE(SUBSTITUTE(SUBSTITUTE(UPPER(IFERROR(INDEX('Base de Personas'!$H7:H21,MATCH($A276,'Base de Personas'!$B7:B21,0)),IFERROR(INDEX($G$5:G275,MATCH($A276,$A$5:A275,0)),""))),"Á","A"),"É","E"),"Í","I"),"Ó","O"),"Ú","U"),"Ü","U")))</f>
        <v/>
      </c>
      <c r="H276" s="38" t="str">
        <f aca="false">IF($A276="","",IFERROR(INDEX('Base de Personas'!$I$7:$I$21,MATCH($A276,'Base de Personas'!$B$7:$B$21,0)),IFERROR(INDEX($H$5:H275,MATCH($A276,$A$5:A275,0)),"")))</f>
        <v/>
      </c>
      <c r="I276" s="39"/>
      <c r="J276" s="40"/>
      <c r="K276" s="40"/>
      <c r="L276" s="39"/>
      <c r="M276" s="41" t="str">
        <f aca="false">IF($A276="","",IF(K276=_xlfn.MAXIFS($K$5:$K$304,$A$5:$A$304,$A276),1,0))</f>
        <v/>
      </c>
      <c r="N276" s="41" t="str">
        <f aca="false">IF($A276="","",IF(M276=1,$A276&amp;"-ACT",""))</f>
        <v/>
      </c>
      <c r="O276" s="41" t="str">
        <f aca="false">IF($A276="","",IF(AND(COUNTIF('Base de Personas'!$B$7:$B$21,$A276)=0,COUNTIF($A$5:A276,$A276)=1),1,0))</f>
        <v/>
      </c>
      <c r="P276" s="41" t="str">
        <f aca="false">IF(O276=1,SUM($O$5:O276),"")</f>
        <v/>
      </c>
    </row>
    <row r="277" customFormat="false" ht="15" hidden="false" customHeight="false" outlineLevel="0" collapsed="false">
      <c r="A277" s="35"/>
      <c r="B277" s="36" t="str">
        <f aca="false">IF($A277="","",TRIM(SUBSTITUTE(SUBSTITUTE(SUBSTITUTE(SUBSTITUTE(SUBSTITUTE(SUBSTITUTE(UPPER(IFERROR(INDEX('Base de Personas'!$C7:C21,MATCH($A277,'Base de Personas'!$B7:B21,0)),IFERROR(INDEX($B$5:B276,MATCH($A277,$A$5:A276,0)),""))),"Á","A"),"É","E"),"Í","I"),"Ó","O"),"Ú","U"),"Ü","U")))</f>
        <v/>
      </c>
      <c r="C277" s="37" t="str">
        <f aca="false">IF($A277="","",TRIM(SUBSTITUTE(SUBSTITUTE(SUBSTITUTE(SUBSTITUTE(SUBSTITUTE(SUBSTITUTE(UPPER(IFERROR(INDEX('Base de Personas'!$D7:D21,MATCH($A277,'Base de Personas'!$B7:B21,0)),IFERROR(INDEX($C$5:C276,MATCH($A277,$A$5:A276,0)),""))),"Á","A"),"É","E"),"Í","I"),"Ó","O"),"Ú","U"),"Ü","U")))</f>
        <v/>
      </c>
      <c r="D277" s="36" t="str">
        <f aca="false">IF($A277="","",TRIM(SUBSTITUTE(SUBSTITUTE(SUBSTITUTE(SUBSTITUTE(SUBSTITUTE(SUBSTITUTE(UPPER(IFERROR(INDEX('Base de Personas'!$E7:E21,MATCH($A277,'Base de Personas'!$B7:B21,0)),IFERROR(INDEX($D$5:D276,MATCH($A277,$A$5:A276,0)),""))),"Á","A"),"É","E"),"Í","I"),"Ó","O"),"Ú","U"),"Ü","U")))</f>
        <v/>
      </c>
      <c r="E277" s="36" t="str">
        <f aca="false">IF($A277="","",TRIM(SUBSTITUTE(SUBSTITUTE(SUBSTITUTE(SUBSTITUTE(SUBSTITUTE(SUBSTITUTE(UPPER(IFERROR(INDEX('Base de Personas'!$F7:F21,MATCH($A277,'Base de Personas'!$B7:B21,0)),IFERROR(INDEX($E$5:E276,MATCH($A277,$A$5:A276,0)),""))),"Á","A"),"É","E"),"Í","I"),"Ó","O"),"Ú","U"),"Ü","U")))</f>
        <v/>
      </c>
      <c r="F277" s="36" t="str">
        <f aca="false">IF($A277="","",TRIM(SUBSTITUTE(SUBSTITUTE(SUBSTITUTE(SUBSTITUTE(SUBSTITUTE(SUBSTITUTE(UPPER(IFERROR(INDEX('Base de Personas'!$G7:G21,MATCH($A277,'Base de Personas'!$B7:B21,0)),IFERROR(INDEX($F$5:F276,MATCH($A277,$A$5:A276,0)),""))),"Á","A"),"É","E"),"Í","I"),"Ó","O"),"Ú","U"),"Ü","U")))</f>
        <v/>
      </c>
      <c r="G277" s="37" t="str">
        <f aca="false">IF($A277="","",TRIM(SUBSTITUTE(SUBSTITUTE(SUBSTITUTE(SUBSTITUTE(SUBSTITUTE(SUBSTITUTE(UPPER(IFERROR(INDEX('Base de Personas'!$H7:H21,MATCH($A277,'Base de Personas'!$B7:B21,0)),IFERROR(INDEX($G$5:G276,MATCH($A277,$A$5:A276,0)),""))),"Á","A"),"É","E"),"Í","I"),"Ó","O"),"Ú","U"),"Ü","U")))</f>
        <v/>
      </c>
      <c r="H277" s="38" t="str">
        <f aca="false">IF($A277="","",IFERROR(INDEX('Base de Personas'!$I$7:$I$21,MATCH($A277,'Base de Personas'!$B$7:$B$21,0)),IFERROR(INDEX($H$5:H276,MATCH($A277,$A$5:A276,0)),"")))</f>
        <v/>
      </c>
      <c r="I277" s="39"/>
      <c r="J277" s="40"/>
      <c r="K277" s="40"/>
      <c r="L277" s="39"/>
      <c r="M277" s="41" t="str">
        <f aca="false">IF($A277="","",IF(K277=_xlfn.MAXIFS($K$5:$K$304,$A$5:$A$304,$A277),1,0))</f>
        <v/>
      </c>
      <c r="N277" s="41" t="str">
        <f aca="false">IF($A277="","",IF(M277=1,$A277&amp;"-ACT",""))</f>
        <v/>
      </c>
      <c r="O277" s="41" t="str">
        <f aca="false">IF($A277="","",IF(AND(COUNTIF('Base de Personas'!$B$7:$B$21,$A277)=0,COUNTIF($A$5:A277,$A277)=1),1,0))</f>
        <v/>
      </c>
      <c r="P277" s="41" t="str">
        <f aca="false">IF(O277=1,SUM($O$5:O277),"")</f>
        <v/>
      </c>
    </row>
    <row r="278" customFormat="false" ht="15" hidden="false" customHeight="false" outlineLevel="0" collapsed="false">
      <c r="A278" s="35"/>
      <c r="B278" s="36" t="str">
        <f aca="false">IF($A278="","",TRIM(SUBSTITUTE(SUBSTITUTE(SUBSTITUTE(SUBSTITUTE(SUBSTITUTE(SUBSTITUTE(UPPER(IFERROR(INDEX('Base de Personas'!$C7:C21,MATCH($A278,'Base de Personas'!$B7:B21,0)),IFERROR(INDEX($B$5:B277,MATCH($A278,$A$5:A277,0)),""))),"Á","A"),"É","E"),"Í","I"),"Ó","O"),"Ú","U"),"Ü","U")))</f>
        <v/>
      </c>
      <c r="C278" s="37" t="str">
        <f aca="false">IF($A278="","",TRIM(SUBSTITUTE(SUBSTITUTE(SUBSTITUTE(SUBSTITUTE(SUBSTITUTE(SUBSTITUTE(UPPER(IFERROR(INDEX('Base de Personas'!$D7:D21,MATCH($A278,'Base de Personas'!$B7:B21,0)),IFERROR(INDEX($C$5:C277,MATCH($A278,$A$5:A277,0)),""))),"Á","A"),"É","E"),"Í","I"),"Ó","O"),"Ú","U"),"Ü","U")))</f>
        <v/>
      </c>
      <c r="D278" s="36" t="str">
        <f aca="false">IF($A278="","",TRIM(SUBSTITUTE(SUBSTITUTE(SUBSTITUTE(SUBSTITUTE(SUBSTITUTE(SUBSTITUTE(UPPER(IFERROR(INDEX('Base de Personas'!$E7:E21,MATCH($A278,'Base de Personas'!$B7:B21,0)),IFERROR(INDEX($D$5:D277,MATCH($A278,$A$5:A277,0)),""))),"Á","A"),"É","E"),"Í","I"),"Ó","O"),"Ú","U"),"Ü","U")))</f>
        <v/>
      </c>
      <c r="E278" s="36" t="str">
        <f aca="false">IF($A278="","",TRIM(SUBSTITUTE(SUBSTITUTE(SUBSTITUTE(SUBSTITUTE(SUBSTITUTE(SUBSTITUTE(UPPER(IFERROR(INDEX('Base de Personas'!$F7:F21,MATCH($A278,'Base de Personas'!$B7:B21,0)),IFERROR(INDEX($E$5:E277,MATCH($A278,$A$5:A277,0)),""))),"Á","A"),"É","E"),"Í","I"),"Ó","O"),"Ú","U"),"Ü","U")))</f>
        <v/>
      </c>
      <c r="F278" s="36" t="str">
        <f aca="false">IF($A278="","",TRIM(SUBSTITUTE(SUBSTITUTE(SUBSTITUTE(SUBSTITUTE(SUBSTITUTE(SUBSTITUTE(UPPER(IFERROR(INDEX('Base de Personas'!$G7:G21,MATCH($A278,'Base de Personas'!$B7:B21,0)),IFERROR(INDEX($F$5:F277,MATCH($A278,$A$5:A277,0)),""))),"Á","A"),"É","E"),"Í","I"),"Ó","O"),"Ú","U"),"Ü","U")))</f>
        <v/>
      </c>
      <c r="G278" s="37" t="str">
        <f aca="false">IF($A278="","",TRIM(SUBSTITUTE(SUBSTITUTE(SUBSTITUTE(SUBSTITUTE(SUBSTITUTE(SUBSTITUTE(UPPER(IFERROR(INDEX('Base de Personas'!$H7:H21,MATCH($A278,'Base de Personas'!$B7:B21,0)),IFERROR(INDEX($G$5:G277,MATCH($A278,$A$5:A277,0)),""))),"Á","A"),"É","E"),"Í","I"),"Ó","O"),"Ú","U"),"Ü","U")))</f>
        <v/>
      </c>
      <c r="H278" s="38" t="str">
        <f aca="false">IF($A278="","",IFERROR(INDEX('Base de Personas'!$I$7:$I$21,MATCH($A278,'Base de Personas'!$B$7:$B$21,0)),IFERROR(INDEX($H$5:H277,MATCH($A278,$A$5:A277,0)),"")))</f>
        <v/>
      </c>
      <c r="I278" s="39"/>
      <c r="J278" s="40"/>
      <c r="K278" s="40"/>
      <c r="L278" s="39"/>
      <c r="M278" s="41" t="str">
        <f aca="false">IF($A278="","",IF(K278=_xlfn.MAXIFS($K$5:$K$304,$A$5:$A$304,$A278),1,0))</f>
        <v/>
      </c>
      <c r="N278" s="41" t="str">
        <f aca="false">IF($A278="","",IF(M278=1,$A278&amp;"-ACT",""))</f>
        <v/>
      </c>
      <c r="O278" s="41" t="str">
        <f aca="false">IF($A278="","",IF(AND(COUNTIF('Base de Personas'!$B$7:$B$21,$A278)=0,COUNTIF($A$5:A278,$A278)=1),1,0))</f>
        <v/>
      </c>
      <c r="P278" s="41" t="str">
        <f aca="false">IF(O278=1,SUM($O$5:O278),"")</f>
        <v/>
      </c>
    </row>
    <row r="279" customFormat="false" ht="15" hidden="false" customHeight="false" outlineLevel="0" collapsed="false">
      <c r="A279" s="35"/>
      <c r="B279" s="36" t="str">
        <f aca="false">IF($A279="","",TRIM(SUBSTITUTE(SUBSTITUTE(SUBSTITUTE(SUBSTITUTE(SUBSTITUTE(SUBSTITUTE(UPPER(IFERROR(INDEX('Base de Personas'!$C7:C21,MATCH($A279,'Base de Personas'!$B7:B21,0)),IFERROR(INDEX($B$5:B278,MATCH($A279,$A$5:A278,0)),""))),"Á","A"),"É","E"),"Í","I"),"Ó","O"),"Ú","U"),"Ü","U")))</f>
        <v/>
      </c>
      <c r="C279" s="37" t="str">
        <f aca="false">IF($A279="","",TRIM(SUBSTITUTE(SUBSTITUTE(SUBSTITUTE(SUBSTITUTE(SUBSTITUTE(SUBSTITUTE(UPPER(IFERROR(INDEX('Base de Personas'!$D7:D21,MATCH($A279,'Base de Personas'!$B7:B21,0)),IFERROR(INDEX($C$5:C278,MATCH($A279,$A$5:A278,0)),""))),"Á","A"),"É","E"),"Í","I"),"Ó","O"),"Ú","U"),"Ü","U")))</f>
        <v/>
      </c>
      <c r="D279" s="36" t="str">
        <f aca="false">IF($A279="","",TRIM(SUBSTITUTE(SUBSTITUTE(SUBSTITUTE(SUBSTITUTE(SUBSTITUTE(SUBSTITUTE(UPPER(IFERROR(INDEX('Base de Personas'!$E7:E21,MATCH($A279,'Base de Personas'!$B7:B21,0)),IFERROR(INDEX($D$5:D278,MATCH($A279,$A$5:A278,0)),""))),"Á","A"),"É","E"),"Í","I"),"Ó","O"),"Ú","U"),"Ü","U")))</f>
        <v/>
      </c>
      <c r="E279" s="36" t="str">
        <f aca="false">IF($A279="","",TRIM(SUBSTITUTE(SUBSTITUTE(SUBSTITUTE(SUBSTITUTE(SUBSTITUTE(SUBSTITUTE(UPPER(IFERROR(INDEX('Base de Personas'!$F7:F21,MATCH($A279,'Base de Personas'!$B7:B21,0)),IFERROR(INDEX($E$5:E278,MATCH($A279,$A$5:A278,0)),""))),"Á","A"),"É","E"),"Í","I"),"Ó","O"),"Ú","U"),"Ü","U")))</f>
        <v/>
      </c>
      <c r="F279" s="36" t="str">
        <f aca="false">IF($A279="","",TRIM(SUBSTITUTE(SUBSTITUTE(SUBSTITUTE(SUBSTITUTE(SUBSTITUTE(SUBSTITUTE(UPPER(IFERROR(INDEX('Base de Personas'!$G7:G21,MATCH($A279,'Base de Personas'!$B7:B21,0)),IFERROR(INDEX($F$5:F278,MATCH($A279,$A$5:A278,0)),""))),"Á","A"),"É","E"),"Í","I"),"Ó","O"),"Ú","U"),"Ü","U")))</f>
        <v/>
      </c>
      <c r="G279" s="37" t="str">
        <f aca="false">IF($A279="","",TRIM(SUBSTITUTE(SUBSTITUTE(SUBSTITUTE(SUBSTITUTE(SUBSTITUTE(SUBSTITUTE(UPPER(IFERROR(INDEX('Base de Personas'!$H7:H21,MATCH($A279,'Base de Personas'!$B7:B21,0)),IFERROR(INDEX($G$5:G278,MATCH($A279,$A$5:A278,0)),""))),"Á","A"),"É","E"),"Í","I"),"Ó","O"),"Ú","U"),"Ü","U")))</f>
        <v/>
      </c>
      <c r="H279" s="38" t="str">
        <f aca="false">IF($A279="","",IFERROR(INDEX('Base de Personas'!$I$7:$I$21,MATCH($A279,'Base de Personas'!$B$7:$B$21,0)),IFERROR(INDEX($H$5:H278,MATCH($A279,$A$5:A278,0)),"")))</f>
        <v/>
      </c>
      <c r="I279" s="39"/>
      <c r="J279" s="40"/>
      <c r="K279" s="40"/>
      <c r="L279" s="39"/>
      <c r="M279" s="41" t="str">
        <f aca="false">IF($A279="","",IF(K279=_xlfn.MAXIFS($K$5:$K$304,$A$5:$A$304,$A279),1,0))</f>
        <v/>
      </c>
      <c r="N279" s="41" t="str">
        <f aca="false">IF($A279="","",IF(M279=1,$A279&amp;"-ACT",""))</f>
        <v/>
      </c>
      <c r="O279" s="41" t="str">
        <f aca="false">IF($A279="","",IF(AND(COUNTIF('Base de Personas'!$B$7:$B$21,$A279)=0,COUNTIF($A$5:A279,$A279)=1),1,0))</f>
        <v/>
      </c>
      <c r="P279" s="41" t="str">
        <f aca="false">IF(O279=1,SUM($O$5:O279),"")</f>
        <v/>
      </c>
    </row>
    <row r="280" customFormat="false" ht="15" hidden="false" customHeight="false" outlineLevel="0" collapsed="false">
      <c r="A280" s="35"/>
      <c r="B280" s="36" t="str">
        <f aca="false">IF($A280="","",TRIM(SUBSTITUTE(SUBSTITUTE(SUBSTITUTE(SUBSTITUTE(SUBSTITUTE(SUBSTITUTE(UPPER(IFERROR(INDEX('Base de Personas'!$C7:C21,MATCH($A280,'Base de Personas'!$B7:B21,0)),IFERROR(INDEX($B$5:B279,MATCH($A280,$A$5:A279,0)),""))),"Á","A"),"É","E"),"Í","I"),"Ó","O"),"Ú","U"),"Ü","U")))</f>
        <v/>
      </c>
      <c r="C280" s="37" t="str">
        <f aca="false">IF($A280="","",TRIM(SUBSTITUTE(SUBSTITUTE(SUBSTITUTE(SUBSTITUTE(SUBSTITUTE(SUBSTITUTE(UPPER(IFERROR(INDEX('Base de Personas'!$D7:D21,MATCH($A280,'Base de Personas'!$B7:B21,0)),IFERROR(INDEX($C$5:C279,MATCH($A280,$A$5:A279,0)),""))),"Á","A"),"É","E"),"Í","I"),"Ó","O"),"Ú","U"),"Ü","U")))</f>
        <v/>
      </c>
      <c r="D280" s="36" t="str">
        <f aca="false">IF($A280="","",TRIM(SUBSTITUTE(SUBSTITUTE(SUBSTITUTE(SUBSTITUTE(SUBSTITUTE(SUBSTITUTE(UPPER(IFERROR(INDEX('Base de Personas'!$E7:E21,MATCH($A280,'Base de Personas'!$B7:B21,0)),IFERROR(INDEX($D$5:D279,MATCH($A280,$A$5:A279,0)),""))),"Á","A"),"É","E"),"Í","I"),"Ó","O"),"Ú","U"),"Ü","U")))</f>
        <v/>
      </c>
      <c r="E280" s="36" t="str">
        <f aca="false">IF($A280="","",TRIM(SUBSTITUTE(SUBSTITUTE(SUBSTITUTE(SUBSTITUTE(SUBSTITUTE(SUBSTITUTE(UPPER(IFERROR(INDEX('Base de Personas'!$F7:F21,MATCH($A280,'Base de Personas'!$B7:B21,0)),IFERROR(INDEX($E$5:E279,MATCH($A280,$A$5:A279,0)),""))),"Á","A"),"É","E"),"Í","I"),"Ó","O"),"Ú","U"),"Ü","U")))</f>
        <v/>
      </c>
      <c r="F280" s="36" t="str">
        <f aca="false">IF($A280="","",TRIM(SUBSTITUTE(SUBSTITUTE(SUBSTITUTE(SUBSTITUTE(SUBSTITUTE(SUBSTITUTE(UPPER(IFERROR(INDEX('Base de Personas'!$G7:G21,MATCH($A280,'Base de Personas'!$B7:B21,0)),IFERROR(INDEX($F$5:F279,MATCH($A280,$A$5:A279,0)),""))),"Á","A"),"É","E"),"Í","I"),"Ó","O"),"Ú","U"),"Ü","U")))</f>
        <v/>
      </c>
      <c r="G280" s="37" t="str">
        <f aca="false">IF($A280="","",TRIM(SUBSTITUTE(SUBSTITUTE(SUBSTITUTE(SUBSTITUTE(SUBSTITUTE(SUBSTITUTE(UPPER(IFERROR(INDEX('Base de Personas'!$H7:H21,MATCH($A280,'Base de Personas'!$B7:B21,0)),IFERROR(INDEX($G$5:G279,MATCH($A280,$A$5:A279,0)),""))),"Á","A"),"É","E"),"Í","I"),"Ó","O"),"Ú","U"),"Ü","U")))</f>
        <v/>
      </c>
      <c r="H280" s="38" t="str">
        <f aca="false">IF($A280="","",IFERROR(INDEX('Base de Personas'!$I$7:$I$21,MATCH($A280,'Base de Personas'!$B$7:$B$21,0)),IFERROR(INDEX($H$5:H279,MATCH($A280,$A$5:A279,0)),"")))</f>
        <v/>
      </c>
      <c r="I280" s="39"/>
      <c r="J280" s="40"/>
      <c r="K280" s="40"/>
      <c r="L280" s="39"/>
      <c r="M280" s="41" t="str">
        <f aca="false">IF($A280="","",IF(K280=_xlfn.MAXIFS($K$5:$K$304,$A$5:$A$304,$A280),1,0))</f>
        <v/>
      </c>
      <c r="N280" s="41" t="str">
        <f aca="false">IF($A280="","",IF(M280=1,$A280&amp;"-ACT",""))</f>
        <v/>
      </c>
      <c r="O280" s="41" t="str">
        <f aca="false">IF($A280="","",IF(AND(COUNTIF('Base de Personas'!$B$7:$B$21,$A280)=0,COUNTIF($A$5:A280,$A280)=1),1,0))</f>
        <v/>
      </c>
      <c r="P280" s="41" t="str">
        <f aca="false">IF(O280=1,SUM($O$5:O280),"")</f>
        <v/>
      </c>
    </row>
    <row r="281" customFormat="false" ht="15" hidden="false" customHeight="false" outlineLevel="0" collapsed="false">
      <c r="A281" s="35"/>
      <c r="B281" s="36" t="str">
        <f aca="false">IF($A281="","",TRIM(SUBSTITUTE(SUBSTITUTE(SUBSTITUTE(SUBSTITUTE(SUBSTITUTE(SUBSTITUTE(UPPER(IFERROR(INDEX('Base de Personas'!$C7:C21,MATCH($A281,'Base de Personas'!$B7:B21,0)),IFERROR(INDEX($B$5:B280,MATCH($A281,$A$5:A280,0)),""))),"Á","A"),"É","E"),"Í","I"),"Ó","O"),"Ú","U"),"Ü","U")))</f>
        <v/>
      </c>
      <c r="C281" s="37" t="str">
        <f aca="false">IF($A281="","",TRIM(SUBSTITUTE(SUBSTITUTE(SUBSTITUTE(SUBSTITUTE(SUBSTITUTE(SUBSTITUTE(UPPER(IFERROR(INDEX('Base de Personas'!$D7:D21,MATCH($A281,'Base de Personas'!$B7:B21,0)),IFERROR(INDEX($C$5:C280,MATCH($A281,$A$5:A280,0)),""))),"Á","A"),"É","E"),"Í","I"),"Ó","O"),"Ú","U"),"Ü","U")))</f>
        <v/>
      </c>
      <c r="D281" s="36" t="str">
        <f aca="false">IF($A281="","",TRIM(SUBSTITUTE(SUBSTITUTE(SUBSTITUTE(SUBSTITUTE(SUBSTITUTE(SUBSTITUTE(UPPER(IFERROR(INDEX('Base de Personas'!$E7:E21,MATCH($A281,'Base de Personas'!$B7:B21,0)),IFERROR(INDEX($D$5:D280,MATCH($A281,$A$5:A280,0)),""))),"Á","A"),"É","E"),"Í","I"),"Ó","O"),"Ú","U"),"Ü","U")))</f>
        <v/>
      </c>
      <c r="E281" s="36" t="str">
        <f aca="false">IF($A281="","",TRIM(SUBSTITUTE(SUBSTITUTE(SUBSTITUTE(SUBSTITUTE(SUBSTITUTE(SUBSTITUTE(UPPER(IFERROR(INDEX('Base de Personas'!$F7:F21,MATCH($A281,'Base de Personas'!$B7:B21,0)),IFERROR(INDEX($E$5:E280,MATCH($A281,$A$5:A280,0)),""))),"Á","A"),"É","E"),"Í","I"),"Ó","O"),"Ú","U"),"Ü","U")))</f>
        <v/>
      </c>
      <c r="F281" s="36" t="str">
        <f aca="false">IF($A281="","",TRIM(SUBSTITUTE(SUBSTITUTE(SUBSTITUTE(SUBSTITUTE(SUBSTITUTE(SUBSTITUTE(UPPER(IFERROR(INDEX('Base de Personas'!$G7:G21,MATCH($A281,'Base de Personas'!$B7:B21,0)),IFERROR(INDEX($F$5:F280,MATCH($A281,$A$5:A280,0)),""))),"Á","A"),"É","E"),"Í","I"),"Ó","O"),"Ú","U"),"Ü","U")))</f>
        <v/>
      </c>
      <c r="G281" s="37" t="str">
        <f aca="false">IF($A281="","",TRIM(SUBSTITUTE(SUBSTITUTE(SUBSTITUTE(SUBSTITUTE(SUBSTITUTE(SUBSTITUTE(UPPER(IFERROR(INDEX('Base de Personas'!$H7:H21,MATCH($A281,'Base de Personas'!$B7:B21,0)),IFERROR(INDEX($G$5:G280,MATCH($A281,$A$5:A280,0)),""))),"Á","A"),"É","E"),"Í","I"),"Ó","O"),"Ú","U"),"Ü","U")))</f>
        <v/>
      </c>
      <c r="H281" s="38" t="str">
        <f aca="false">IF($A281="","",IFERROR(INDEX('Base de Personas'!$I$7:$I$21,MATCH($A281,'Base de Personas'!$B$7:$B$21,0)),IFERROR(INDEX($H$5:H280,MATCH($A281,$A$5:A280,0)),"")))</f>
        <v/>
      </c>
      <c r="I281" s="39"/>
      <c r="J281" s="40"/>
      <c r="K281" s="40"/>
      <c r="L281" s="39"/>
      <c r="M281" s="41" t="str">
        <f aca="false">IF($A281="","",IF(K281=_xlfn.MAXIFS($K$5:$K$304,$A$5:$A$304,$A281),1,0))</f>
        <v/>
      </c>
      <c r="N281" s="41" t="str">
        <f aca="false">IF($A281="","",IF(M281=1,$A281&amp;"-ACT",""))</f>
        <v/>
      </c>
      <c r="O281" s="41" t="str">
        <f aca="false">IF($A281="","",IF(AND(COUNTIF('Base de Personas'!$B$7:$B$21,$A281)=0,COUNTIF($A$5:A281,$A281)=1),1,0))</f>
        <v/>
      </c>
      <c r="P281" s="41" t="str">
        <f aca="false">IF(O281=1,SUM($O$5:O281),"")</f>
        <v/>
      </c>
    </row>
    <row r="282" customFormat="false" ht="15" hidden="false" customHeight="false" outlineLevel="0" collapsed="false">
      <c r="A282" s="35"/>
      <c r="B282" s="36" t="str">
        <f aca="false">IF($A282="","",TRIM(SUBSTITUTE(SUBSTITUTE(SUBSTITUTE(SUBSTITUTE(SUBSTITUTE(SUBSTITUTE(UPPER(IFERROR(INDEX('Base de Personas'!$C7:C21,MATCH($A282,'Base de Personas'!$B7:B21,0)),IFERROR(INDEX($B$5:B281,MATCH($A282,$A$5:A281,0)),""))),"Á","A"),"É","E"),"Í","I"),"Ó","O"),"Ú","U"),"Ü","U")))</f>
        <v/>
      </c>
      <c r="C282" s="37" t="str">
        <f aca="false">IF($A282="","",TRIM(SUBSTITUTE(SUBSTITUTE(SUBSTITUTE(SUBSTITUTE(SUBSTITUTE(SUBSTITUTE(UPPER(IFERROR(INDEX('Base de Personas'!$D7:D21,MATCH($A282,'Base de Personas'!$B7:B21,0)),IFERROR(INDEX($C$5:C281,MATCH($A282,$A$5:A281,0)),""))),"Á","A"),"É","E"),"Í","I"),"Ó","O"),"Ú","U"),"Ü","U")))</f>
        <v/>
      </c>
      <c r="D282" s="36" t="str">
        <f aca="false">IF($A282="","",TRIM(SUBSTITUTE(SUBSTITUTE(SUBSTITUTE(SUBSTITUTE(SUBSTITUTE(SUBSTITUTE(UPPER(IFERROR(INDEX('Base de Personas'!$E7:E21,MATCH($A282,'Base de Personas'!$B7:B21,0)),IFERROR(INDEX($D$5:D281,MATCH($A282,$A$5:A281,0)),""))),"Á","A"),"É","E"),"Í","I"),"Ó","O"),"Ú","U"),"Ü","U")))</f>
        <v/>
      </c>
      <c r="E282" s="36" t="str">
        <f aca="false">IF($A282="","",TRIM(SUBSTITUTE(SUBSTITUTE(SUBSTITUTE(SUBSTITUTE(SUBSTITUTE(SUBSTITUTE(UPPER(IFERROR(INDEX('Base de Personas'!$F7:F21,MATCH($A282,'Base de Personas'!$B7:B21,0)),IFERROR(INDEX($E$5:E281,MATCH($A282,$A$5:A281,0)),""))),"Á","A"),"É","E"),"Í","I"),"Ó","O"),"Ú","U"),"Ü","U")))</f>
        <v/>
      </c>
      <c r="F282" s="36" t="str">
        <f aca="false">IF($A282="","",TRIM(SUBSTITUTE(SUBSTITUTE(SUBSTITUTE(SUBSTITUTE(SUBSTITUTE(SUBSTITUTE(UPPER(IFERROR(INDEX('Base de Personas'!$G7:G21,MATCH($A282,'Base de Personas'!$B7:B21,0)),IFERROR(INDEX($F$5:F281,MATCH($A282,$A$5:A281,0)),""))),"Á","A"),"É","E"),"Í","I"),"Ó","O"),"Ú","U"),"Ü","U")))</f>
        <v/>
      </c>
      <c r="G282" s="37" t="str">
        <f aca="false">IF($A282="","",TRIM(SUBSTITUTE(SUBSTITUTE(SUBSTITUTE(SUBSTITUTE(SUBSTITUTE(SUBSTITUTE(UPPER(IFERROR(INDEX('Base de Personas'!$H7:H21,MATCH($A282,'Base de Personas'!$B7:B21,0)),IFERROR(INDEX($G$5:G281,MATCH($A282,$A$5:A281,0)),""))),"Á","A"),"É","E"),"Í","I"),"Ó","O"),"Ú","U"),"Ü","U")))</f>
        <v/>
      </c>
      <c r="H282" s="38" t="str">
        <f aca="false">IF($A282="","",IFERROR(INDEX('Base de Personas'!$I$7:$I$21,MATCH($A282,'Base de Personas'!$B$7:$B$21,0)),IFERROR(INDEX($H$5:H281,MATCH($A282,$A$5:A281,0)),"")))</f>
        <v/>
      </c>
      <c r="I282" s="39"/>
      <c r="J282" s="40"/>
      <c r="K282" s="40"/>
      <c r="L282" s="39"/>
      <c r="M282" s="41" t="str">
        <f aca="false">IF($A282="","",IF(K282=_xlfn.MAXIFS($K$5:$K$304,$A$5:$A$304,$A282),1,0))</f>
        <v/>
      </c>
      <c r="N282" s="41" t="str">
        <f aca="false">IF($A282="","",IF(M282=1,$A282&amp;"-ACT",""))</f>
        <v/>
      </c>
      <c r="O282" s="41" t="str">
        <f aca="false">IF($A282="","",IF(AND(COUNTIF('Base de Personas'!$B$7:$B$21,$A282)=0,COUNTIF($A$5:A282,$A282)=1),1,0))</f>
        <v/>
      </c>
      <c r="P282" s="41" t="str">
        <f aca="false">IF(O282=1,SUM($O$5:O282),"")</f>
        <v/>
      </c>
    </row>
    <row r="283" customFormat="false" ht="15" hidden="false" customHeight="false" outlineLevel="0" collapsed="false">
      <c r="A283" s="35"/>
      <c r="B283" s="36" t="str">
        <f aca="false">IF($A283="","",TRIM(SUBSTITUTE(SUBSTITUTE(SUBSTITUTE(SUBSTITUTE(SUBSTITUTE(SUBSTITUTE(UPPER(IFERROR(INDEX('Base de Personas'!$C7:C21,MATCH($A283,'Base de Personas'!$B7:B21,0)),IFERROR(INDEX($B$5:B282,MATCH($A283,$A$5:A282,0)),""))),"Á","A"),"É","E"),"Í","I"),"Ó","O"),"Ú","U"),"Ü","U")))</f>
        <v/>
      </c>
      <c r="C283" s="37" t="str">
        <f aca="false">IF($A283="","",TRIM(SUBSTITUTE(SUBSTITUTE(SUBSTITUTE(SUBSTITUTE(SUBSTITUTE(SUBSTITUTE(UPPER(IFERROR(INDEX('Base de Personas'!$D7:D21,MATCH($A283,'Base de Personas'!$B7:B21,0)),IFERROR(INDEX($C$5:C282,MATCH($A283,$A$5:A282,0)),""))),"Á","A"),"É","E"),"Í","I"),"Ó","O"),"Ú","U"),"Ü","U")))</f>
        <v/>
      </c>
      <c r="D283" s="36" t="str">
        <f aca="false">IF($A283="","",TRIM(SUBSTITUTE(SUBSTITUTE(SUBSTITUTE(SUBSTITUTE(SUBSTITUTE(SUBSTITUTE(UPPER(IFERROR(INDEX('Base de Personas'!$E7:E21,MATCH($A283,'Base de Personas'!$B7:B21,0)),IFERROR(INDEX($D$5:D282,MATCH($A283,$A$5:A282,0)),""))),"Á","A"),"É","E"),"Í","I"),"Ó","O"),"Ú","U"),"Ü","U")))</f>
        <v/>
      </c>
      <c r="E283" s="36" t="str">
        <f aca="false">IF($A283="","",TRIM(SUBSTITUTE(SUBSTITUTE(SUBSTITUTE(SUBSTITUTE(SUBSTITUTE(SUBSTITUTE(UPPER(IFERROR(INDEX('Base de Personas'!$F7:F21,MATCH($A283,'Base de Personas'!$B7:B21,0)),IFERROR(INDEX($E$5:E282,MATCH($A283,$A$5:A282,0)),""))),"Á","A"),"É","E"),"Í","I"),"Ó","O"),"Ú","U"),"Ü","U")))</f>
        <v/>
      </c>
      <c r="F283" s="36" t="str">
        <f aca="false">IF($A283="","",TRIM(SUBSTITUTE(SUBSTITUTE(SUBSTITUTE(SUBSTITUTE(SUBSTITUTE(SUBSTITUTE(UPPER(IFERROR(INDEX('Base de Personas'!$G7:G21,MATCH($A283,'Base de Personas'!$B7:B21,0)),IFERROR(INDEX($F$5:F282,MATCH($A283,$A$5:A282,0)),""))),"Á","A"),"É","E"),"Í","I"),"Ó","O"),"Ú","U"),"Ü","U")))</f>
        <v/>
      </c>
      <c r="G283" s="37" t="str">
        <f aca="false">IF($A283="","",TRIM(SUBSTITUTE(SUBSTITUTE(SUBSTITUTE(SUBSTITUTE(SUBSTITUTE(SUBSTITUTE(UPPER(IFERROR(INDEX('Base de Personas'!$H7:H21,MATCH($A283,'Base de Personas'!$B7:B21,0)),IFERROR(INDEX($G$5:G282,MATCH($A283,$A$5:A282,0)),""))),"Á","A"),"É","E"),"Í","I"),"Ó","O"),"Ú","U"),"Ü","U")))</f>
        <v/>
      </c>
      <c r="H283" s="38" t="str">
        <f aca="false">IF($A283="","",IFERROR(INDEX('Base de Personas'!$I$7:$I$21,MATCH($A283,'Base de Personas'!$B$7:$B$21,0)),IFERROR(INDEX($H$5:H282,MATCH($A283,$A$5:A282,0)),"")))</f>
        <v/>
      </c>
      <c r="I283" s="39"/>
      <c r="J283" s="40"/>
      <c r="K283" s="40"/>
      <c r="L283" s="39"/>
      <c r="M283" s="41" t="str">
        <f aca="false">IF($A283="","",IF(K283=_xlfn.MAXIFS($K$5:$K$304,$A$5:$A$304,$A283),1,0))</f>
        <v/>
      </c>
      <c r="N283" s="41" t="str">
        <f aca="false">IF($A283="","",IF(M283=1,$A283&amp;"-ACT",""))</f>
        <v/>
      </c>
      <c r="O283" s="41" t="str">
        <f aca="false">IF($A283="","",IF(AND(COUNTIF('Base de Personas'!$B$7:$B$21,$A283)=0,COUNTIF($A$5:A283,$A283)=1),1,0))</f>
        <v/>
      </c>
      <c r="P283" s="41" t="str">
        <f aca="false">IF(O283=1,SUM($O$5:O283),"")</f>
        <v/>
      </c>
    </row>
    <row r="284" customFormat="false" ht="15" hidden="false" customHeight="false" outlineLevel="0" collapsed="false">
      <c r="A284" s="35"/>
      <c r="B284" s="36" t="str">
        <f aca="false">IF($A284="","",TRIM(SUBSTITUTE(SUBSTITUTE(SUBSTITUTE(SUBSTITUTE(SUBSTITUTE(SUBSTITUTE(UPPER(IFERROR(INDEX('Base de Personas'!$C7:C21,MATCH($A284,'Base de Personas'!$B7:B21,0)),IFERROR(INDEX($B$5:B283,MATCH($A284,$A$5:A283,0)),""))),"Á","A"),"É","E"),"Í","I"),"Ó","O"),"Ú","U"),"Ü","U")))</f>
        <v/>
      </c>
      <c r="C284" s="37" t="str">
        <f aca="false">IF($A284="","",TRIM(SUBSTITUTE(SUBSTITUTE(SUBSTITUTE(SUBSTITUTE(SUBSTITUTE(SUBSTITUTE(UPPER(IFERROR(INDEX('Base de Personas'!$D7:D21,MATCH($A284,'Base de Personas'!$B7:B21,0)),IFERROR(INDEX($C$5:C283,MATCH($A284,$A$5:A283,0)),""))),"Á","A"),"É","E"),"Í","I"),"Ó","O"),"Ú","U"),"Ü","U")))</f>
        <v/>
      </c>
      <c r="D284" s="36" t="str">
        <f aca="false">IF($A284="","",TRIM(SUBSTITUTE(SUBSTITUTE(SUBSTITUTE(SUBSTITUTE(SUBSTITUTE(SUBSTITUTE(UPPER(IFERROR(INDEX('Base de Personas'!$E7:E21,MATCH($A284,'Base de Personas'!$B7:B21,0)),IFERROR(INDEX($D$5:D283,MATCH($A284,$A$5:A283,0)),""))),"Á","A"),"É","E"),"Í","I"),"Ó","O"),"Ú","U"),"Ü","U")))</f>
        <v/>
      </c>
      <c r="E284" s="36" t="str">
        <f aca="false">IF($A284="","",TRIM(SUBSTITUTE(SUBSTITUTE(SUBSTITUTE(SUBSTITUTE(SUBSTITUTE(SUBSTITUTE(UPPER(IFERROR(INDEX('Base de Personas'!$F7:F21,MATCH($A284,'Base de Personas'!$B7:B21,0)),IFERROR(INDEX($E$5:E283,MATCH($A284,$A$5:A283,0)),""))),"Á","A"),"É","E"),"Í","I"),"Ó","O"),"Ú","U"),"Ü","U")))</f>
        <v/>
      </c>
      <c r="F284" s="36" t="str">
        <f aca="false">IF($A284="","",TRIM(SUBSTITUTE(SUBSTITUTE(SUBSTITUTE(SUBSTITUTE(SUBSTITUTE(SUBSTITUTE(UPPER(IFERROR(INDEX('Base de Personas'!$G7:G21,MATCH($A284,'Base de Personas'!$B7:B21,0)),IFERROR(INDEX($F$5:F283,MATCH($A284,$A$5:A283,0)),""))),"Á","A"),"É","E"),"Í","I"),"Ó","O"),"Ú","U"),"Ü","U")))</f>
        <v/>
      </c>
      <c r="G284" s="37" t="str">
        <f aca="false">IF($A284="","",TRIM(SUBSTITUTE(SUBSTITUTE(SUBSTITUTE(SUBSTITUTE(SUBSTITUTE(SUBSTITUTE(UPPER(IFERROR(INDEX('Base de Personas'!$H7:H21,MATCH($A284,'Base de Personas'!$B7:B21,0)),IFERROR(INDEX($G$5:G283,MATCH($A284,$A$5:A283,0)),""))),"Á","A"),"É","E"),"Í","I"),"Ó","O"),"Ú","U"),"Ü","U")))</f>
        <v/>
      </c>
      <c r="H284" s="38" t="str">
        <f aca="false">IF($A284="","",IFERROR(INDEX('Base de Personas'!$I$7:$I$21,MATCH($A284,'Base de Personas'!$B$7:$B$21,0)),IFERROR(INDEX($H$5:H283,MATCH($A284,$A$5:A283,0)),"")))</f>
        <v/>
      </c>
      <c r="I284" s="39"/>
      <c r="J284" s="40"/>
      <c r="K284" s="40"/>
      <c r="L284" s="39"/>
      <c r="M284" s="41" t="str">
        <f aca="false">IF($A284="","",IF(K284=_xlfn.MAXIFS($K$5:$K$304,$A$5:$A$304,$A284),1,0))</f>
        <v/>
      </c>
      <c r="N284" s="41" t="str">
        <f aca="false">IF($A284="","",IF(M284=1,$A284&amp;"-ACT",""))</f>
        <v/>
      </c>
      <c r="O284" s="41" t="str">
        <f aca="false">IF($A284="","",IF(AND(COUNTIF('Base de Personas'!$B$7:$B$21,$A284)=0,COUNTIF($A$5:A284,$A284)=1),1,0))</f>
        <v/>
      </c>
      <c r="P284" s="41" t="str">
        <f aca="false">IF(O284=1,SUM($O$5:O284),"")</f>
        <v/>
      </c>
    </row>
    <row r="285" customFormat="false" ht="15" hidden="false" customHeight="false" outlineLevel="0" collapsed="false">
      <c r="A285" s="35"/>
      <c r="B285" s="36" t="str">
        <f aca="false">IF($A285="","",TRIM(SUBSTITUTE(SUBSTITUTE(SUBSTITUTE(SUBSTITUTE(SUBSTITUTE(SUBSTITUTE(UPPER(IFERROR(INDEX('Base de Personas'!$C7:C21,MATCH($A285,'Base de Personas'!$B7:B21,0)),IFERROR(INDEX($B$5:B284,MATCH($A285,$A$5:A284,0)),""))),"Á","A"),"É","E"),"Í","I"),"Ó","O"),"Ú","U"),"Ü","U")))</f>
        <v/>
      </c>
      <c r="C285" s="37" t="str">
        <f aca="false">IF($A285="","",TRIM(SUBSTITUTE(SUBSTITUTE(SUBSTITUTE(SUBSTITUTE(SUBSTITUTE(SUBSTITUTE(UPPER(IFERROR(INDEX('Base de Personas'!$D7:D21,MATCH($A285,'Base de Personas'!$B7:B21,0)),IFERROR(INDEX($C$5:C284,MATCH($A285,$A$5:A284,0)),""))),"Á","A"),"É","E"),"Í","I"),"Ó","O"),"Ú","U"),"Ü","U")))</f>
        <v/>
      </c>
      <c r="D285" s="36" t="str">
        <f aca="false">IF($A285="","",TRIM(SUBSTITUTE(SUBSTITUTE(SUBSTITUTE(SUBSTITUTE(SUBSTITUTE(SUBSTITUTE(UPPER(IFERROR(INDEX('Base de Personas'!$E7:E21,MATCH($A285,'Base de Personas'!$B7:B21,0)),IFERROR(INDEX($D$5:D284,MATCH($A285,$A$5:A284,0)),""))),"Á","A"),"É","E"),"Í","I"),"Ó","O"),"Ú","U"),"Ü","U")))</f>
        <v/>
      </c>
      <c r="E285" s="36" t="str">
        <f aca="false">IF($A285="","",TRIM(SUBSTITUTE(SUBSTITUTE(SUBSTITUTE(SUBSTITUTE(SUBSTITUTE(SUBSTITUTE(UPPER(IFERROR(INDEX('Base de Personas'!$F7:F21,MATCH($A285,'Base de Personas'!$B7:B21,0)),IFERROR(INDEX($E$5:E284,MATCH($A285,$A$5:A284,0)),""))),"Á","A"),"É","E"),"Í","I"),"Ó","O"),"Ú","U"),"Ü","U")))</f>
        <v/>
      </c>
      <c r="F285" s="36" t="str">
        <f aca="false">IF($A285="","",TRIM(SUBSTITUTE(SUBSTITUTE(SUBSTITUTE(SUBSTITUTE(SUBSTITUTE(SUBSTITUTE(UPPER(IFERROR(INDEX('Base de Personas'!$G7:G21,MATCH($A285,'Base de Personas'!$B7:B21,0)),IFERROR(INDEX($F$5:F284,MATCH($A285,$A$5:A284,0)),""))),"Á","A"),"É","E"),"Í","I"),"Ó","O"),"Ú","U"),"Ü","U")))</f>
        <v/>
      </c>
      <c r="G285" s="37" t="str">
        <f aca="false">IF($A285="","",TRIM(SUBSTITUTE(SUBSTITUTE(SUBSTITUTE(SUBSTITUTE(SUBSTITUTE(SUBSTITUTE(UPPER(IFERROR(INDEX('Base de Personas'!$H7:H21,MATCH($A285,'Base de Personas'!$B7:B21,0)),IFERROR(INDEX($G$5:G284,MATCH($A285,$A$5:A284,0)),""))),"Á","A"),"É","E"),"Í","I"),"Ó","O"),"Ú","U"),"Ü","U")))</f>
        <v/>
      </c>
      <c r="H285" s="38" t="str">
        <f aca="false">IF($A285="","",IFERROR(INDEX('Base de Personas'!$I$7:$I$21,MATCH($A285,'Base de Personas'!$B$7:$B$21,0)),IFERROR(INDEX($H$5:H284,MATCH($A285,$A$5:A284,0)),"")))</f>
        <v/>
      </c>
      <c r="I285" s="39"/>
      <c r="J285" s="40"/>
      <c r="K285" s="40"/>
      <c r="L285" s="39"/>
      <c r="M285" s="41" t="str">
        <f aca="false">IF($A285="","",IF(K285=_xlfn.MAXIFS($K$5:$K$304,$A$5:$A$304,$A285),1,0))</f>
        <v/>
      </c>
      <c r="N285" s="41" t="str">
        <f aca="false">IF($A285="","",IF(M285=1,$A285&amp;"-ACT",""))</f>
        <v/>
      </c>
      <c r="O285" s="41" t="str">
        <f aca="false">IF($A285="","",IF(AND(COUNTIF('Base de Personas'!$B$7:$B$21,$A285)=0,COUNTIF($A$5:A285,$A285)=1),1,0))</f>
        <v/>
      </c>
      <c r="P285" s="41" t="str">
        <f aca="false">IF(O285=1,SUM($O$5:O285),"")</f>
        <v/>
      </c>
    </row>
    <row r="286" customFormat="false" ht="15" hidden="false" customHeight="false" outlineLevel="0" collapsed="false">
      <c r="A286" s="35"/>
      <c r="B286" s="36" t="str">
        <f aca="false">IF($A286="","",TRIM(SUBSTITUTE(SUBSTITUTE(SUBSTITUTE(SUBSTITUTE(SUBSTITUTE(SUBSTITUTE(UPPER(IFERROR(INDEX('Base de Personas'!$C7:C21,MATCH($A286,'Base de Personas'!$B7:B21,0)),IFERROR(INDEX($B$5:B285,MATCH($A286,$A$5:A285,0)),""))),"Á","A"),"É","E"),"Í","I"),"Ó","O"),"Ú","U"),"Ü","U")))</f>
        <v/>
      </c>
      <c r="C286" s="37" t="str">
        <f aca="false">IF($A286="","",TRIM(SUBSTITUTE(SUBSTITUTE(SUBSTITUTE(SUBSTITUTE(SUBSTITUTE(SUBSTITUTE(UPPER(IFERROR(INDEX('Base de Personas'!$D7:D21,MATCH($A286,'Base de Personas'!$B7:B21,0)),IFERROR(INDEX($C$5:C285,MATCH($A286,$A$5:A285,0)),""))),"Á","A"),"É","E"),"Í","I"),"Ó","O"),"Ú","U"),"Ü","U")))</f>
        <v/>
      </c>
      <c r="D286" s="36" t="str">
        <f aca="false">IF($A286="","",TRIM(SUBSTITUTE(SUBSTITUTE(SUBSTITUTE(SUBSTITUTE(SUBSTITUTE(SUBSTITUTE(UPPER(IFERROR(INDEX('Base de Personas'!$E7:E21,MATCH($A286,'Base de Personas'!$B7:B21,0)),IFERROR(INDEX($D$5:D285,MATCH($A286,$A$5:A285,0)),""))),"Á","A"),"É","E"),"Í","I"),"Ó","O"),"Ú","U"),"Ü","U")))</f>
        <v/>
      </c>
      <c r="E286" s="36" t="str">
        <f aca="false">IF($A286="","",TRIM(SUBSTITUTE(SUBSTITUTE(SUBSTITUTE(SUBSTITUTE(SUBSTITUTE(SUBSTITUTE(UPPER(IFERROR(INDEX('Base de Personas'!$F7:F21,MATCH($A286,'Base de Personas'!$B7:B21,0)),IFERROR(INDEX($E$5:E285,MATCH($A286,$A$5:A285,0)),""))),"Á","A"),"É","E"),"Í","I"),"Ó","O"),"Ú","U"),"Ü","U")))</f>
        <v/>
      </c>
      <c r="F286" s="36" t="str">
        <f aca="false">IF($A286="","",TRIM(SUBSTITUTE(SUBSTITUTE(SUBSTITUTE(SUBSTITUTE(SUBSTITUTE(SUBSTITUTE(UPPER(IFERROR(INDEX('Base de Personas'!$G7:G21,MATCH($A286,'Base de Personas'!$B7:B21,0)),IFERROR(INDEX($F$5:F285,MATCH($A286,$A$5:A285,0)),""))),"Á","A"),"É","E"),"Í","I"),"Ó","O"),"Ú","U"),"Ü","U")))</f>
        <v/>
      </c>
      <c r="G286" s="37" t="str">
        <f aca="false">IF($A286="","",TRIM(SUBSTITUTE(SUBSTITUTE(SUBSTITUTE(SUBSTITUTE(SUBSTITUTE(SUBSTITUTE(UPPER(IFERROR(INDEX('Base de Personas'!$H7:H21,MATCH($A286,'Base de Personas'!$B7:B21,0)),IFERROR(INDEX($G$5:G285,MATCH($A286,$A$5:A285,0)),""))),"Á","A"),"É","E"),"Í","I"),"Ó","O"),"Ú","U"),"Ü","U")))</f>
        <v/>
      </c>
      <c r="H286" s="38" t="str">
        <f aca="false">IF($A286="","",IFERROR(INDEX('Base de Personas'!$I$7:$I$21,MATCH($A286,'Base de Personas'!$B$7:$B$21,0)),IFERROR(INDEX($H$5:H285,MATCH($A286,$A$5:A285,0)),"")))</f>
        <v/>
      </c>
      <c r="I286" s="39"/>
      <c r="J286" s="40"/>
      <c r="K286" s="40"/>
      <c r="L286" s="39"/>
      <c r="M286" s="41" t="str">
        <f aca="false">IF($A286="","",IF(K286=_xlfn.MAXIFS($K$5:$K$304,$A$5:$A$304,$A286),1,0))</f>
        <v/>
      </c>
      <c r="N286" s="41" t="str">
        <f aca="false">IF($A286="","",IF(M286=1,$A286&amp;"-ACT",""))</f>
        <v/>
      </c>
      <c r="O286" s="41" t="str">
        <f aca="false">IF($A286="","",IF(AND(COUNTIF('Base de Personas'!$B$7:$B$21,$A286)=0,COUNTIF($A$5:A286,$A286)=1),1,0))</f>
        <v/>
      </c>
      <c r="P286" s="41" t="str">
        <f aca="false">IF(O286=1,SUM($O$5:O286),"")</f>
        <v/>
      </c>
    </row>
    <row r="287" customFormat="false" ht="15" hidden="false" customHeight="false" outlineLevel="0" collapsed="false">
      <c r="A287" s="35"/>
      <c r="B287" s="36" t="str">
        <f aca="false">IF($A287="","",TRIM(SUBSTITUTE(SUBSTITUTE(SUBSTITUTE(SUBSTITUTE(SUBSTITUTE(SUBSTITUTE(UPPER(IFERROR(INDEX('Base de Personas'!$C7:C21,MATCH($A287,'Base de Personas'!$B7:B21,0)),IFERROR(INDEX($B$5:B286,MATCH($A287,$A$5:A286,0)),""))),"Á","A"),"É","E"),"Í","I"),"Ó","O"),"Ú","U"),"Ü","U")))</f>
        <v/>
      </c>
      <c r="C287" s="37" t="str">
        <f aca="false">IF($A287="","",TRIM(SUBSTITUTE(SUBSTITUTE(SUBSTITUTE(SUBSTITUTE(SUBSTITUTE(SUBSTITUTE(UPPER(IFERROR(INDEX('Base de Personas'!$D7:D21,MATCH($A287,'Base de Personas'!$B7:B21,0)),IFERROR(INDEX($C$5:C286,MATCH($A287,$A$5:A286,0)),""))),"Á","A"),"É","E"),"Í","I"),"Ó","O"),"Ú","U"),"Ü","U")))</f>
        <v/>
      </c>
      <c r="D287" s="36" t="str">
        <f aca="false">IF($A287="","",TRIM(SUBSTITUTE(SUBSTITUTE(SUBSTITUTE(SUBSTITUTE(SUBSTITUTE(SUBSTITUTE(UPPER(IFERROR(INDEX('Base de Personas'!$E7:E21,MATCH($A287,'Base de Personas'!$B7:B21,0)),IFERROR(INDEX($D$5:D286,MATCH($A287,$A$5:A286,0)),""))),"Á","A"),"É","E"),"Í","I"),"Ó","O"),"Ú","U"),"Ü","U")))</f>
        <v/>
      </c>
      <c r="E287" s="36" t="str">
        <f aca="false">IF($A287="","",TRIM(SUBSTITUTE(SUBSTITUTE(SUBSTITUTE(SUBSTITUTE(SUBSTITUTE(SUBSTITUTE(UPPER(IFERROR(INDEX('Base de Personas'!$F7:F21,MATCH($A287,'Base de Personas'!$B7:B21,0)),IFERROR(INDEX($E$5:E286,MATCH($A287,$A$5:A286,0)),""))),"Á","A"),"É","E"),"Í","I"),"Ó","O"),"Ú","U"),"Ü","U")))</f>
        <v/>
      </c>
      <c r="F287" s="36" t="str">
        <f aca="false">IF($A287="","",TRIM(SUBSTITUTE(SUBSTITUTE(SUBSTITUTE(SUBSTITUTE(SUBSTITUTE(SUBSTITUTE(UPPER(IFERROR(INDEX('Base de Personas'!$G7:G21,MATCH($A287,'Base de Personas'!$B7:B21,0)),IFERROR(INDEX($F$5:F286,MATCH($A287,$A$5:A286,0)),""))),"Á","A"),"É","E"),"Í","I"),"Ó","O"),"Ú","U"),"Ü","U")))</f>
        <v/>
      </c>
      <c r="G287" s="37" t="str">
        <f aca="false">IF($A287="","",TRIM(SUBSTITUTE(SUBSTITUTE(SUBSTITUTE(SUBSTITUTE(SUBSTITUTE(SUBSTITUTE(UPPER(IFERROR(INDEX('Base de Personas'!$H7:H21,MATCH($A287,'Base de Personas'!$B7:B21,0)),IFERROR(INDEX($G$5:G286,MATCH($A287,$A$5:A286,0)),""))),"Á","A"),"É","E"),"Í","I"),"Ó","O"),"Ú","U"),"Ü","U")))</f>
        <v/>
      </c>
      <c r="H287" s="38" t="str">
        <f aca="false">IF($A287="","",IFERROR(INDEX('Base de Personas'!$I$7:$I$21,MATCH($A287,'Base de Personas'!$B$7:$B$21,0)),IFERROR(INDEX($H$5:H286,MATCH($A287,$A$5:A286,0)),"")))</f>
        <v/>
      </c>
      <c r="I287" s="39"/>
      <c r="J287" s="40"/>
      <c r="K287" s="40"/>
      <c r="L287" s="39"/>
      <c r="M287" s="41" t="str">
        <f aca="false">IF($A287="","",IF(K287=_xlfn.MAXIFS($K$5:$K$304,$A$5:$A$304,$A287),1,0))</f>
        <v/>
      </c>
      <c r="N287" s="41" t="str">
        <f aca="false">IF($A287="","",IF(M287=1,$A287&amp;"-ACT",""))</f>
        <v/>
      </c>
      <c r="O287" s="41" t="str">
        <f aca="false">IF($A287="","",IF(AND(COUNTIF('Base de Personas'!$B$7:$B$21,$A287)=0,COUNTIF($A$5:A287,$A287)=1),1,0))</f>
        <v/>
      </c>
      <c r="P287" s="41" t="str">
        <f aca="false">IF(O287=1,SUM($O$5:O287),"")</f>
        <v/>
      </c>
    </row>
    <row r="288" customFormat="false" ht="15" hidden="false" customHeight="false" outlineLevel="0" collapsed="false">
      <c r="A288" s="35"/>
      <c r="B288" s="36" t="str">
        <f aca="false">IF($A288="","",TRIM(SUBSTITUTE(SUBSTITUTE(SUBSTITUTE(SUBSTITUTE(SUBSTITUTE(SUBSTITUTE(UPPER(IFERROR(INDEX('Base de Personas'!$C7:C21,MATCH($A288,'Base de Personas'!$B7:B21,0)),IFERROR(INDEX($B$5:B287,MATCH($A288,$A$5:A287,0)),""))),"Á","A"),"É","E"),"Í","I"),"Ó","O"),"Ú","U"),"Ü","U")))</f>
        <v/>
      </c>
      <c r="C288" s="37" t="str">
        <f aca="false">IF($A288="","",TRIM(SUBSTITUTE(SUBSTITUTE(SUBSTITUTE(SUBSTITUTE(SUBSTITUTE(SUBSTITUTE(UPPER(IFERROR(INDEX('Base de Personas'!$D7:D21,MATCH($A288,'Base de Personas'!$B7:B21,0)),IFERROR(INDEX($C$5:C287,MATCH($A288,$A$5:A287,0)),""))),"Á","A"),"É","E"),"Í","I"),"Ó","O"),"Ú","U"),"Ü","U")))</f>
        <v/>
      </c>
      <c r="D288" s="36" t="str">
        <f aca="false">IF($A288="","",TRIM(SUBSTITUTE(SUBSTITUTE(SUBSTITUTE(SUBSTITUTE(SUBSTITUTE(SUBSTITUTE(UPPER(IFERROR(INDEX('Base de Personas'!$E7:E21,MATCH($A288,'Base de Personas'!$B7:B21,0)),IFERROR(INDEX($D$5:D287,MATCH($A288,$A$5:A287,0)),""))),"Á","A"),"É","E"),"Í","I"),"Ó","O"),"Ú","U"),"Ü","U")))</f>
        <v/>
      </c>
      <c r="E288" s="36" t="str">
        <f aca="false">IF($A288="","",TRIM(SUBSTITUTE(SUBSTITUTE(SUBSTITUTE(SUBSTITUTE(SUBSTITUTE(SUBSTITUTE(UPPER(IFERROR(INDEX('Base de Personas'!$F7:F21,MATCH($A288,'Base de Personas'!$B7:B21,0)),IFERROR(INDEX($E$5:E287,MATCH($A288,$A$5:A287,0)),""))),"Á","A"),"É","E"),"Í","I"),"Ó","O"),"Ú","U"),"Ü","U")))</f>
        <v/>
      </c>
      <c r="F288" s="36" t="str">
        <f aca="false">IF($A288="","",TRIM(SUBSTITUTE(SUBSTITUTE(SUBSTITUTE(SUBSTITUTE(SUBSTITUTE(SUBSTITUTE(UPPER(IFERROR(INDEX('Base de Personas'!$G7:G21,MATCH($A288,'Base de Personas'!$B7:B21,0)),IFERROR(INDEX($F$5:F287,MATCH($A288,$A$5:A287,0)),""))),"Á","A"),"É","E"),"Í","I"),"Ó","O"),"Ú","U"),"Ü","U")))</f>
        <v/>
      </c>
      <c r="G288" s="37" t="str">
        <f aca="false">IF($A288="","",TRIM(SUBSTITUTE(SUBSTITUTE(SUBSTITUTE(SUBSTITUTE(SUBSTITUTE(SUBSTITUTE(UPPER(IFERROR(INDEX('Base de Personas'!$H7:H21,MATCH($A288,'Base de Personas'!$B7:B21,0)),IFERROR(INDEX($G$5:G287,MATCH($A288,$A$5:A287,0)),""))),"Á","A"),"É","E"),"Í","I"),"Ó","O"),"Ú","U"),"Ü","U")))</f>
        <v/>
      </c>
      <c r="H288" s="38" t="str">
        <f aca="false">IF($A288="","",IFERROR(INDEX('Base de Personas'!$I$7:$I$21,MATCH($A288,'Base de Personas'!$B$7:$B$21,0)),IFERROR(INDEX($H$5:H287,MATCH($A288,$A$5:A287,0)),"")))</f>
        <v/>
      </c>
      <c r="I288" s="39"/>
      <c r="J288" s="40"/>
      <c r="K288" s="40"/>
      <c r="L288" s="39"/>
      <c r="M288" s="41" t="str">
        <f aca="false">IF($A288="","",IF(K288=_xlfn.MAXIFS($K$5:$K$304,$A$5:$A$304,$A288),1,0))</f>
        <v/>
      </c>
      <c r="N288" s="41" t="str">
        <f aca="false">IF($A288="","",IF(M288=1,$A288&amp;"-ACT",""))</f>
        <v/>
      </c>
      <c r="O288" s="41" t="str">
        <f aca="false">IF($A288="","",IF(AND(COUNTIF('Base de Personas'!$B$7:$B$21,$A288)=0,COUNTIF($A$5:A288,$A288)=1),1,0))</f>
        <v/>
      </c>
      <c r="P288" s="41" t="str">
        <f aca="false">IF(O288=1,SUM($O$5:O288),"")</f>
        <v/>
      </c>
    </row>
    <row r="289" customFormat="false" ht="15" hidden="false" customHeight="false" outlineLevel="0" collapsed="false">
      <c r="A289" s="35"/>
      <c r="B289" s="36" t="str">
        <f aca="false">IF($A289="","",TRIM(SUBSTITUTE(SUBSTITUTE(SUBSTITUTE(SUBSTITUTE(SUBSTITUTE(SUBSTITUTE(UPPER(IFERROR(INDEX('Base de Personas'!$C7:C21,MATCH($A289,'Base de Personas'!$B7:B21,0)),IFERROR(INDEX($B$5:B288,MATCH($A289,$A$5:A288,0)),""))),"Á","A"),"É","E"),"Í","I"),"Ó","O"),"Ú","U"),"Ü","U")))</f>
        <v/>
      </c>
      <c r="C289" s="37" t="str">
        <f aca="false">IF($A289="","",TRIM(SUBSTITUTE(SUBSTITUTE(SUBSTITUTE(SUBSTITUTE(SUBSTITUTE(SUBSTITUTE(UPPER(IFERROR(INDEX('Base de Personas'!$D7:D21,MATCH($A289,'Base de Personas'!$B7:B21,0)),IFERROR(INDEX($C$5:C288,MATCH($A289,$A$5:A288,0)),""))),"Á","A"),"É","E"),"Í","I"),"Ó","O"),"Ú","U"),"Ü","U")))</f>
        <v/>
      </c>
      <c r="D289" s="36" t="str">
        <f aca="false">IF($A289="","",TRIM(SUBSTITUTE(SUBSTITUTE(SUBSTITUTE(SUBSTITUTE(SUBSTITUTE(SUBSTITUTE(UPPER(IFERROR(INDEX('Base de Personas'!$E7:E21,MATCH($A289,'Base de Personas'!$B7:B21,0)),IFERROR(INDEX($D$5:D288,MATCH($A289,$A$5:A288,0)),""))),"Á","A"),"É","E"),"Í","I"),"Ó","O"),"Ú","U"),"Ü","U")))</f>
        <v/>
      </c>
      <c r="E289" s="36" t="str">
        <f aca="false">IF($A289="","",TRIM(SUBSTITUTE(SUBSTITUTE(SUBSTITUTE(SUBSTITUTE(SUBSTITUTE(SUBSTITUTE(UPPER(IFERROR(INDEX('Base de Personas'!$F7:F21,MATCH($A289,'Base de Personas'!$B7:B21,0)),IFERROR(INDEX($E$5:E288,MATCH($A289,$A$5:A288,0)),""))),"Á","A"),"É","E"),"Í","I"),"Ó","O"),"Ú","U"),"Ü","U")))</f>
        <v/>
      </c>
      <c r="F289" s="36" t="str">
        <f aca="false">IF($A289="","",TRIM(SUBSTITUTE(SUBSTITUTE(SUBSTITUTE(SUBSTITUTE(SUBSTITUTE(SUBSTITUTE(UPPER(IFERROR(INDEX('Base de Personas'!$G7:G21,MATCH($A289,'Base de Personas'!$B7:B21,0)),IFERROR(INDEX($F$5:F288,MATCH($A289,$A$5:A288,0)),""))),"Á","A"),"É","E"),"Í","I"),"Ó","O"),"Ú","U"),"Ü","U")))</f>
        <v/>
      </c>
      <c r="G289" s="37" t="str">
        <f aca="false">IF($A289="","",TRIM(SUBSTITUTE(SUBSTITUTE(SUBSTITUTE(SUBSTITUTE(SUBSTITUTE(SUBSTITUTE(UPPER(IFERROR(INDEX('Base de Personas'!$H7:H21,MATCH($A289,'Base de Personas'!$B7:B21,0)),IFERROR(INDEX($G$5:G288,MATCH($A289,$A$5:A288,0)),""))),"Á","A"),"É","E"),"Í","I"),"Ó","O"),"Ú","U"),"Ü","U")))</f>
        <v/>
      </c>
      <c r="H289" s="38" t="str">
        <f aca="false">IF($A289="","",IFERROR(INDEX('Base de Personas'!$I$7:$I$21,MATCH($A289,'Base de Personas'!$B$7:$B$21,0)),IFERROR(INDEX($H$5:H288,MATCH($A289,$A$5:A288,0)),"")))</f>
        <v/>
      </c>
      <c r="I289" s="39"/>
      <c r="J289" s="40"/>
      <c r="K289" s="40"/>
      <c r="L289" s="39"/>
      <c r="M289" s="41" t="str">
        <f aca="false">IF($A289="","",IF(K289=_xlfn.MAXIFS($K$5:$K$304,$A$5:$A$304,$A289),1,0))</f>
        <v/>
      </c>
      <c r="N289" s="41" t="str">
        <f aca="false">IF($A289="","",IF(M289=1,$A289&amp;"-ACT",""))</f>
        <v/>
      </c>
      <c r="O289" s="41" t="str">
        <f aca="false">IF($A289="","",IF(AND(COUNTIF('Base de Personas'!$B$7:$B$21,$A289)=0,COUNTIF($A$5:A289,$A289)=1),1,0))</f>
        <v/>
      </c>
      <c r="P289" s="41" t="str">
        <f aca="false">IF(O289=1,SUM($O$5:O289),"")</f>
        <v/>
      </c>
    </row>
    <row r="290" customFormat="false" ht="15" hidden="false" customHeight="false" outlineLevel="0" collapsed="false">
      <c r="A290" s="35"/>
      <c r="B290" s="36" t="str">
        <f aca="false">IF($A290="","",TRIM(SUBSTITUTE(SUBSTITUTE(SUBSTITUTE(SUBSTITUTE(SUBSTITUTE(SUBSTITUTE(UPPER(IFERROR(INDEX('Base de Personas'!$C7:C21,MATCH($A290,'Base de Personas'!$B7:B21,0)),IFERROR(INDEX($B$5:B289,MATCH($A290,$A$5:A289,0)),""))),"Á","A"),"É","E"),"Í","I"),"Ó","O"),"Ú","U"),"Ü","U")))</f>
        <v/>
      </c>
      <c r="C290" s="37" t="str">
        <f aca="false">IF($A290="","",TRIM(SUBSTITUTE(SUBSTITUTE(SUBSTITUTE(SUBSTITUTE(SUBSTITUTE(SUBSTITUTE(UPPER(IFERROR(INDEX('Base de Personas'!$D7:D21,MATCH($A290,'Base de Personas'!$B7:B21,0)),IFERROR(INDEX($C$5:C289,MATCH($A290,$A$5:A289,0)),""))),"Á","A"),"É","E"),"Í","I"),"Ó","O"),"Ú","U"),"Ü","U")))</f>
        <v/>
      </c>
      <c r="D290" s="36" t="str">
        <f aca="false">IF($A290="","",TRIM(SUBSTITUTE(SUBSTITUTE(SUBSTITUTE(SUBSTITUTE(SUBSTITUTE(SUBSTITUTE(UPPER(IFERROR(INDEX('Base de Personas'!$E7:E21,MATCH($A290,'Base de Personas'!$B7:B21,0)),IFERROR(INDEX($D$5:D289,MATCH($A290,$A$5:A289,0)),""))),"Á","A"),"É","E"),"Í","I"),"Ó","O"),"Ú","U"),"Ü","U")))</f>
        <v/>
      </c>
      <c r="E290" s="36" t="str">
        <f aca="false">IF($A290="","",TRIM(SUBSTITUTE(SUBSTITUTE(SUBSTITUTE(SUBSTITUTE(SUBSTITUTE(SUBSTITUTE(UPPER(IFERROR(INDEX('Base de Personas'!$F7:F21,MATCH($A290,'Base de Personas'!$B7:B21,0)),IFERROR(INDEX($E$5:E289,MATCH($A290,$A$5:A289,0)),""))),"Á","A"),"É","E"),"Í","I"),"Ó","O"),"Ú","U"),"Ü","U")))</f>
        <v/>
      </c>
      <c r="F290" s="36" t="str">
        <f aca="false">IF($A290="","",TRIM(SUBSTITUTE(SUBSTITUTE(SUBSTITUTE(SUBSTITUTE(SUBSTITUTE(SUBSTITUTE(UPPER(IFERROR(INDEX('Base de Personas'!$G7:G21,MATCH($A290,'Base de Personas'!$B7:B21,0)),IFERROR(INDEX($F$5:F289,MATCH($A290,$A$5:A289,0)),""))),"Á","A"),"É","E"),"Í","I"),"Ó","O"),"Ú","U"),"Ü","U")))</f>
        <v/>
      </c>
      <c r="G290" s="37" t="str">
        <f aca="false">IF($A290="","",TRIM(SUBSTITUTE(SUBSTITUTE(SUBSTITUTE(SUBSTITUTE(SUBSTITUTE(SUBSTITUTE(UPPER(IFERROR(INDEX('Base de Personas'!$H7:H21,MATCH($A290,'Base de Personas'!$B7:B21,0)),IFERROR(INDEX($G$5:G289,MATCH($A290,$A$5:A289,0)),""))),"Á","A"),"É","E"),"Í","I"),"Ó","O"),"Ú","U"),"Ü","U")))</f>
        <v/>
      </c>
      <c r="H290" s="38" t="str">
        <f aca="false">IF($A290="","",IFERROR(INDEX('Base de Personas'!$I$7:$I$21,MATCH($A290,'Base de Personas'!$B$7:$B$21,0)),IFERROR(INDEX($H$5:H289,MATCH($A290,$A$5:A289,0)),"")))</f>
        <v/>
      </c>
      <c r="I290" s="39"/>
      <c r="J290" s="40"/>
      <c r="K290" s="40"/>
      <c r="L290" s="39"/>
      <c r="M290" s="41" t="str">
        <f aca="false">IF($A290="","",IF(K290=_xlfn.MAXIFS($K$5:$K$304,$A$5:$A$304,$A290),1,0))</f>
        <v/>
      </c>
      <c r="N290" s="41" t="str">
        <f aca="false">IF($A290="","",IF(M290=1,$A290&amp;"-ACT",""))</f>
        <v/>
      </c>
      <c r="O290" s="41" t="str">
        <f aca="false">IF($A290="","",IF(AND(COUNTIF('Base de Personas'!$B$7:$B$21,$A290)=0,COUNTIF($A$5:A290,$A290)=1),1,0))</f>
        <v/>
      </c>
      <c r="P290" s="41" t="str">
        <f aca="false">IF(O290=1,SUM($O$5:O290),"")</f>
        <v/>
      </c>
    </row>
    <row r="291" customFormat="false" ht="15" hidden="false" customHeight="false" outlineLevel="0" collapsed="false">
      <c r="A291" s="35"/>
      <c r="B291" s="36" t="str">
        <f aca="false">IF($A291="","",TRIM(SUBSTITUTE(SUBSTITUTE(SUBSTITUTE(SUBSTITUTE(SUBSTITUTE(SUBSTITUTE(UPPER(IFERROR(INDEX('Base de Personas'!$C7:C21,MATCH($A291,'Base de Personas'!$B7:B21,0)),IFERROR(INDEX($B$5:B290,MATCH($A291,$A$5:A290,0)),""))),"Á","A"),"É","E"),"Í","I"),"Ó","O"),"Ú","U"),"Ü","U")))</f>
        <v/>
      </c>
      <c r="C291" s="37" t="str">
        <f aca="false">IF($A291="","",TRIM(SUBSTITUTE(SUBSTITUTE(SUBSTITUTE(SUBSTITUTE(SUBSTITUTE(SUBSTITUTE(UPPER(IFERROR(INDEX('Base de Personas'!$D7:D21,MATCH($A291,'Base de Personas'!$B7:B21,0)),IFERROR(INDEX($C$5:C290,MATCH($A291,$A$5:A290,0)),""))),"Á","A"),"É","E"),"Í","I"),"Ó","O"),"Ú","U"),"Ü","U")))</f>
        <v/>
      </c>
      <c r="D291" s="36" t="str">
        <f aca="false">IF($A291="","",TRIM(SUBSTITUTE(SUBSTITUTE(SUBSTITUTE(SUBSTITUTE(SUBSTITUTE(SUBSTITUTE(UPPER(IFERROR(INDEX('Base de Personas'!$E7:E21,MATCH($A291,'Base de Personas'!$B7:B21,0)),IFERROR(INDEX($D$5:D290,MATCH($A291,$A$5:A290,0)),""))),"Á","A"),"É","E"),"Í","I"),"Ó","O"),"Ú","U"),"Ü","U")))</f>
        <v/>
      </c>
      <c r="E291" s="36" t="str">
        <f aca="false">IF($A291="","",TRIM(SUBSTITUTE(SUBSTITUTE(SUBSTITUTE(SUBSTITUTE(SUBSTITUTE(SUBSTITUTE(UPPER(IFERROR(INDEX('Base de Personas'!$F7:F21,MATCH($A291,'Base de Personas'!$B7:B21,0)),IFERROR(INDEX($E$5:E290,MATCH($A291,$A$5:A290,0)),""))),"Á","A"),"É","E"),"Í","I"),"Ó","O"),"Ú","U"),"Ü","U")))</f>
        <v/>
      </c>
      <c r="F291" s="36" t="str">
        <f aca="false">IF($A291="","",TRIM(SUBSTITUTE(SUBSTITUTE(SUBSTITUTE(SUBSTITUTE(SUBSTITUTE(SUBSTITUTE(UPPER(IFERROR(INDEX('Base de Personas'!$G7:G21,MATCH($A291,'Base de Personas'!$B7:B21,0)),IFERROR(INDEX($F$5:F290,MATCH($A291,$A$5:A290,0)),""))),"Á","A"),"É","E"),"Í","I"),"Ó","O"),"Ú","U"),"Ü","U")))</f>
        <v/>
      </c>
      <c r="G291" s="37" t="str">
        <f aca="false">IF($A291="","",TRIM(SUBSTITUTE(SUBSTITUTE(SUBSTITUTE(SUBSTITUTE(SUBSTITUTE(SUBSTITUTE(UPPER(IFERROR(INDEX('Base de Personas'!$H7:H21,MATCH($A291,'Base de Personas'!$B7:B21,0)),IFERROR(INDEX($G$5:G290,MATCH($A291,$A$5:A290,0)),""))),"Á","A"),"É","E"),"Í","I"),"Ó","O"),"Ú","U"),"Ü","U")))</f>
        <v/>
      </c>
      <c r="H291" s="38" t="str">
        <f aca="false">IF($A291="","",IFERROR(INDEX('Base de Personas'!$I$7:$I$21,MATCH($A291,'Base de Personas'!$B$7:$B$21,0)),IFERROR(INDEX($H$5:H290,MATCH($A291,$A$5:A290,0)),"")))</f>
        <v/>
      </c>
      <c r="I291" s="39"/>
      <c r="J291" s="40"/>
      <c r="K291" s="40"/>
      <c r="L291" s="39"/>
      <c r="M291" s="41" t="str">
        <f aca="false">IF($A291="","",IF(K291=_xlfn.MAXIFS($K$5:$K$304,$A$5:$A$304,$A291),1,0))</f>
        <v/>
      </c>
      <c r="N291" s="41" t="str">
        <f aca="false">IF($A291="","",IF(M291=1,$A291&amp;"-ACT",""))</f>
        <v/>
      </c>
      <c r="O291" s="41" t="str">
        <f aca="false">IF($A291="","",IF(AND(COUNTIF('Base de Personas'!$B$7:$B$21,$A291)=0,COUNTIF($A$5:A291,$A291)=1),1,0))</f>
        <v/>
      </c>
      <c r="P291" s="41" t="str">
        <f aca="false">IF(O291=1,SUM($O$5:O291),"")</f>
        <v/>
      </c>
    </row>
    <row r="292" customFormat="false" ht="15" hidden="false" customHeight="false" outlineLevel="0" collapsed="false">
      <c r="A292" s="35"/>
      <c r="B292" s="36" t="str">
        <f aca="false">IF($A292="","",TRIM(SUBSTITUTE(SUBSTITUTE(SUBSTITUTE(SUBSTITUTE(SUBSTITUTE(SUBSTITUTE(UPPER(IFERROR(INDEX('Base de Personas'!$C7:C21,MATCH($A292,'Base de Personas'!$B7:B21,0)),IFERROR(INDEX($B$5:B291,MATCH($A292,$A$5:A291,0)),""))),"Á","A"),"É","E"),"Í","I"),"Ó","O"),"Ú","U"),"Ü","U")))</f>
        <v/>
      </c>
      <c r="C292" s="37" t="str">
        <f aca="false">IF($A292="","",TRIM(SUBSTITUTE(SUBSTITUTE(SUBSTITUTE(SUBSTITUTE(SUBSTITUTE(SUBSTITUTE(UPPER(IFERROR(INDEX('Base de Personas'!$D7:D21,MATCH($A292,'Base de Personas'!$B7:B21,0)),IFERROR(INDEX($C$5:C291,MATCH($A292,$A$5:A291,0)),""))),"Á","A"),"É","E"),"Í","I"),"Ó","O"),"Ú","U"),"Ü","U")))</f>
        <v/>
      </c>
      <c r="D292" s="36" t="str">
        <f aca="false">IF($A292="","",TRIM(SUBSTITUTE(SUBSTITUTE(SUBSTITUTE(SUBSTITUTE(SUBSTITUTE(SUBSTITUTE(UPPER(IFERROR(INDEX('Base de Personas'!$E7:E21,MATCH($A292,'Base de Personas'!$B7:B21,0)),IFERROR(INDEX($D$5:D291,MATCH($A292,$A$5:A291,0)),""))),"Á","A"),"É","E"),"Í","I"),"Ó","O"),"Ú","U"),"Ü","U")))</f>
        <v/>
      </c>
      <c r="E292" s="36" t="str">
        <f aca="false">IF($A292="","",TRIM(SUBSTITUTE(SUBSTITUTE(SUBSTITUTE(SUBSTITUTE(SUBSTITUTE(SUBSTITUTE(UPPER(IFERROR(INDEX('Base de Personas'!$F7:F21,MATCH($A292,'Base de Personas'!$B7:B21,0)),IFERROR(INDEX($E$5:E291,MATCH($A292,$A$5:A291,0)),""))),"Á","A"),"É","E"),"Í","I"),"Ó","O"),"Ú","U"),"Ü","U")))</f>
        <v/>
      </c>
      <c r="F292" s="36" t="str">
        <f aca="false">IF($A292="","",TRIM(SUBSTITUTE(SUBSTITUTE(SUBSTITUTE(SUBSTITUTE(SUBSTITUTE(SUBSTITUTE(UPPER(IFERROR(INDEX('Base de Personas'!$G7:G21,MATCH($A292,'Base de Personas'!$B7:B21,0)),IFERROR(INDEX($F$5:F291,MATCH($A292,$A$5:A291,0)),""))),"Á","A"),"É","E"),"Í","I"),"Ó","O"),"Ú","U"),"Ü","U")))</f>
        <v/>
      </c>
      <c r="G292" s="37" t="str">
        <f aca="false">IF($A292="","",TRIM(SUBSTITUTE(SUBSTITUTE(SUBSTITUTE(SUBSTITUTE(SUBSTITUTE(SUBSTITUTE(UPPER(IFERROR(INDEX('Base de Personas'!$H7:H21,MATCH($A292,'Base de Personas'!$B7:B21,0)),IFERROR(INDEX($G$5:G291,MATCH($A292,$A$5:A291,0)),""))),"Á","A"),"É","E"),"Í","I"),"Ó","O"),"Ú","U"),"Ü","U")))</f>
        <v/>
      </c>
      <c r="H292" s="38" t="str">
        <f aca="false">IF($A292="","",IFERROR(INDEX('Base de Personas'!$I$7:$I$21,MATCH($A292,'Base de Personas'!$B$7:$B$21,0)),IFERROR(INDEX($H$5:H291,MATCH($A292,$A$5:A291,0)),"")))</f>
        <v/>
      </c>
      <c r="I292" s="39"/>
      <c r="J292" s="40"/>
      <c r="K292" s="40"/>
      <c r="L292" s="39"/>
      <c r="M292" s="41" t="str">
        <f aca="false">IF($A292="","",IF(K292=_xlfn.MAXIFS($K$5:$K$304,$A$5:$A$304,$A292),1,0))</f>
        <v/>
      </c>
      <c r="N292" s="41" t="str">
        <f aca="false">IF($A292="","",IF(M292=1,$A292&amp;"-ACT",""))</f>
        <v/>
      </c>
      <c r="O292" s="41" t="str">
        <f aca="false">IF($A292="","",IF(AND(COUNTIF('Base de Personas'!$B$7:$B$21,$A292)=0,COUNTIF($A$5:A292,$A292)=1),1,0))</f>
        <v/>
      </c>
      <c r="P292" s="41" t="str">
        <f aca="false">IF(O292=1,SUM($O$5:O292),"")</f>
        <v/>
      </c>
    </row>
    <row r="293" customFormat="false" ht="15" hidden="false" customHeight="false" outlineLevel="0" collapsed="false">
      <c r="A293" s="35"/>
      <c r="B293" s="36" t="str">
        <f aca="false">IF($A293="","",TRIM(SUBSTITUTE(SUBSTITUTE(SUBSTITUTE(SUBSTITUTE(SUBSTITUTE(SUBSTITUTE(UPPER(IFERROR(INDEX('Base de Personas'!$C7:C21,MATCH($A293,'Base de Personas'!$B7:B21,0)),IFERROR(INDEX($B$5:B292,MATCH($A293,$A$5:A292,0)),""))),"Á","A"),"É","E"),"Í","I"),"Ó","O"),"Ú","U"),"Ü","U")))</f>
        <v/>
      </c>
      <c r="C293" s="37" t="str">
        <f aca="false">IF($A293="","",TRIM(SUBSTITUTE(SUBSTITUTE(SUBSTITUTE(SUBSTITUTE(SUBSTITUTE(SUBSTITUTE(UPPER(IFERROR(INDEX('Base de Personas'!$D7:D21,MATCH($A293,'Base de Personas'!$B7:B21,0)),IFERROR(INDEX($C$5:C292,MATCH($A293,$A$5:A292,0)),""))),"Á","A"),"É","E"),"Í","I"),"Ó","O"),"Ú","U"),"Ü","U")))</f>
        <v/>
      </c>
      <c r="D293" s="36" t="str">
        <f aca="false">IF($A293="","",TRIM(SUBSTITUTE(SUBSTITUTE(SUBSTITUTE(SUBSTITUTE(SUBSTITUTE(SUBSTITUTE(UPPER(IFERROR(INDEX('Base de Personas'!$E7:E21,MATCH($A293,'Base de Personas'!$B7:B21,0)),IFERROR(INDEX($D$5:D292,MATCH($A293,$A$5:A292,0)),""))),"Á","A"),"É","E"),"Í","I"),"Ó","O"),"Ú","U"),"Ü","U")))</f>
        <v/>
      </c>
      <c r="E293" s="36" t="str">
        <f aca="false">IF($A293="","",TRIM(SUBSTITUTE(SUBSTITUTE(SUBSTITUTE(SUBSTITUTE(SUBSTITUTE(SUBSTITUTE(UPPER(IFERROR(INDEX('Base de Personas'!$F7:F21,MATCH($A293,'Base de Personas'!$B7:B21,0)),IFERROR(INDEX($E$5:E292,MATCH($A293,$A$5:A292,0)),""))),"Á","A"),"É","E"),"Í","I"),"Ó","O"),"Ú","U"),"Ü","U")))</f>
        <v/>
      </c>
      <c r="F293" s="36" t="str">
        <f aca="false">IF($A293="","",TRIM(SUBSTITUTE(SUBSTITUTE(SUBSTITUTE(SUBSTITUTE(SUBSTITUTE(SUBSTITUTE(UPPER(IFERROR(INDEX('Base de Personas'!$G7:G21,MATCH($A293,'Base de Personas'!$B7:B21,0)),IFERROR(INDEX($F$5:F292,MATCH($A293,$A$5:A292,0)),""))),"Á","A"),"É","E"),"Í","I"),"Ó","O"),"Ú","U"),"Ü","U")))</f>
        <v/>
      </c>
      <c r="G293" s="37" t="str">
        <f aca="false">IF($A293="","",TRIM(SUBSTITUTE(SUBSTITUTE(SUBSTITUTE(SUBSTITUTE(SUBSTITUTE(SUBSTITUTE(UPPER(IFERROR(INDEX('Base de Personas'!$H7:H21,MATCH($A293,'Base de Personas'!$B7:B21,0)),IFERROR(INDEX($G$5:G292,MATCH($A293,$A$5:A292,0)),""))),"Á","A"),"É","E"),"Í","I"),"Ó","O"),"Ú","U"),"Ü","U")))</f>
        <v/>
      </c>
      <c r="H293" s="38" t="str">
        <f aca="false">IF($A293="","",IFERROR(INDEX('Base de Personas'!$I$7:$I$21,MATCH($A293,'Base de Personas'!$B$7:$B$21,0)),IFERROR(INDEX($H$5:H292,MATCH($A293,$A$5:A292,0)),"")))</f>
        <v/>
      </c>
      <c r="I293" s="39"/>
      <c r="J293" s="40"/>
      <c r="K293" s="40"/>
      <c r="L293" s="39"/>
      <c r="M293" s="41" t="str">
        <f aca="false">IF($A293="","",IF(K293=_xlfn.MAXIFS($K$5:$K$304,$A$5:$A$304,$A293),1,0))</f>
        <v/>
      </c>
      <c r="N293" s="41" t="str">
        <f aca="false">IF($A293="","",IF(M293=1,$A293&amp;"-ACT",""))</f>
        <v/>
      </c>
      <c r="O293" s="41" t="str">
        <f aca="false">IF($A293="","",IF(AND(COUNTIF('Base de Personas'!$B$7:$B$21,$A293)=0,COUNTIF($A$5:A293,$A293)=1),1,0))</f>
        <v/>
      </c>
      <c r="P293" s="41" t="str">
        <f aca="false">IF(O293=1,SUM($O$5:O293),"")</f>
        <v/>
      </c>
    </row>
    <row r="294" customFormat="false" ht="15" hidden="false" customHeight="false" outlineLevel="0" collapsed="false">
      <c r="A294" s="35"/>
      <c r="B294" s="36" t="str">
        <f aca="false">IF($A294="","",TRIM(SUBSTITUTE(SUBSTITUTE(SUBSTITUTE(SUBSTITUTE(SUBSTITUTE(SUBSTITUTE(UPPER(IFERROR(INDEX('Base de Personas'!$C7:C21,MATCH($A294,'Base de Personas'!$B7:B21,0)),IFERROR(INDEX($B$5:B293,MATCH($A294,$A$5:A293,0)),""))),"Á","A"),"É","E"),"Í","I"),"Ó","O"),"Ú","U"),"Ü","U")))</f>
        <v/>
      </c>
      <c r="C294" s="37" t="str">
        <f aca="false">IF($A294="","",TRIM(SUBSTITUTE(SUBSTITUTE(SUBSTITUTE(SUBSTITUTE(SUBSTITUTE(SUBSTITUTE(UPPER(IFERROR(INDEX('Base de Personas'!$D7:D21,MATCH($A294,'Base de Personas'!$B7:B21,0)),IFERROR(INDEX($C$5:C293,MATCH($A294,$A$5:A293,0)),""))),"Á","A"),"É","E"),"Í","I"),"Ó","O"),"Ú","U"),"Ü","U")))</f>
        <v/>
      </c>
      <c r="D294" s="36" t="str">
        <f aca="false">IF($A294="","",TRIM(SUBSTITUTE(SUBSTITUTE(SUBSTITUTE(SUBSTITUTE(SUBSTITUTE(SUBSTITUTE(UPPER(IFERROR(INDEX('Base de Personas'!$E7:E21,MATCH($A294,'Base de Personas'!$B7:B21,0)),IFERROR(INDEX($D$5:D293,MATCH($A294,$A$5:A293,0)),""))),"Á","A"),"É","E"),"Í","I"),"Ó","O"),"Ú","U"),"Ü","U")))</f>
        <v/>
      </c>
      <c r="E294" s="36" t="str">
        <f aca="false">IF($A294="","",TRIM(SUBSTITUTE(SUBSTITUTE(SUBSTITUTE(SUBSTITUTE(SUBSTITUTE(SUBSTITUTE(UPPER(IFERROR(INDEX('Base de Personas'!$F7:F21,MATCH($A294,'Base de Personas'!$B7:B21,0)),IFERROR(INDEX($E$5:E293,MATCH($A294,$A$5:A293,0)),""))),"Á","A"),"É","E"),"Í","I"),"Ó","O"),"Ú","U"),"Ü","U")))</f>
        <v/>
      </c>
      <c r="F294" s="36" t="str">
        <f aca="false">IF($A294="","",TRIM(SUBSTITUTE(SUBSTITUTE(SUBSTITUTE(SUBSTITUTE(SUBSTITUTE(SUBSTITUTE(UPPER(IFERROR(INDEX('Base de Personas'!$G7:G21,MATCH($A294,'Base de Personas'!$B7:B21,0)),IFERROR(INDEX($F$5:F293,MATCH($A294,$A$5:A293,0)),""))),"Á","A"),"É","E"),"Í","I"),"Ó","O"),"Ú","U"),"Ü","U")))</f>
        <v/>
      </c>
      <c r="G294" s="37" t="str">
        <f aca="false">IF($A294="","",TRIM(SUBSTITUTE(SUBSTITUTE(SUBSTITUTE(SUBSTITUTE(SUBSTITUTE(SUBSTITUTE(UPPER(IFERROR(INDEX('Base de Personas'!$H7:H21,MATCH($A294,'Base de Personas'!$B7:B21,0)),IFERROR(INDEX($G$5:G293,MATCH($A294,$A$5:A293,0)),""))),"Á","A"),"É","E"),"Í","I"),"Ó","O"),"Ú","U"),"Ü","U")))</f>
        <v/>
      </c>
      <c r="H294" s="38" t="str">
        <f aca="false">IF($A294="","",IFERROR(INDEX('Base de Personas'!$I$7:$I$21,MATCH($A294,'Base de Personas'!$B$7:$B$21,0)),IFERROR(INDEX($H$5:H293,MATCH($A294,$A$5:A293,0)),"")))</f>
        <v/>
      </c>
      <c r="I294" s="39"/>
      <c r="J294" s="40"/>
      <c r="K294" s="40"/>
      <c r="L294" s="39"/>
      <c r="M294" s="41" t="str">
        <f aca="false">IF($A294="","",IF(K294=_xlfn.MAXIFS($K$5:$K$304,$A$5:$A$304,$A294),1,0))</f>
        <v/>
      </c>
      <c r="N294" s="41" t="str">
        <f aca="false">IF($A294="","",IF(M294=1,$A294&amp;"-ACT",""))</f>
        <v/>
      </c>
      <c r="O294" s="41" t="str">
        <f aca="false">IF($A294="","",IF(AND(COUNTIF('Base de Personas'!$B$7:$B$21,$A294)=0,COUNTIF($A$5:A294,$A294)=1),1,0))</f>
        <v/>
      </c>
      <c r="P294" s="41" t="str">
        <f aca="false">IF(O294=1,SUM($O$5:O294),"")</f>
        <v/>
      </c>
    </row>
    <row r="295" customFormat="false" ht="15" hidden="false" customHeight="false" outlineLevel="0" collapsed="false">
      <c r="A295" s="35"/>
      <c r="B295" s="36" t="str">
        <f aca="false">IF($A295="","",TRIM(SUBSTITUTE(SUBSTITUTE(SUBSTITUTE(SUBSTITUTE(SUBSTITUTE(SUBSTITUTE(UPPER(IFERROR(INDEX('Base de Personas'!$C7:C21,MATCH($A295,'Base de Personas'!$B7:B21,0)),IFERROR(INDEX($B$5:B294,MATCH($A295,$A$5:A294,0)),""))),"Á","A"),"É","E"),"Í","I"),"Ó","O"),"Ú","U"),"Ü","U")))</f>
        <v/>
      </c>
      <c r="C295" s="37" t="str">
        <f aca="false">IF($A295="","",TRIM(SUBSTITUTE(SUBSTITUTE(SUBSTITUTE(SUBSTITUTE(SUBSTITUTE(SUBSTITUTE(UPPER(IFERROR(INDEX('Base de Personas'!$D7:D21,MATCH($A295,'Base de Personas'!$B7:B21,0)),IFERROR(INDEX($C$5:C294,MATCH($A295,$A$5:A294,0)),""))),"Á","A"),"É","E"),"Í","I"),"Ó","O"),"Ú","U"),"Ü","U")))</f>
        <v/>
      </c>
      <c r="D295" s="36" t="str">
        <f aca="false">IF($A295="","",TRIM(SUBSTITUTE(SUBSTITUTE(SUBSTITUTE(SUBSTITUTE(SUBSTITUTE(SUBSTITUTE(UPPER(IFERROR(INDEX('Base de Personas'!$E7:E21,MATCH($A295,'Base de Personas'!$B7:B21,0)),IFERROR(INDEX($D$5:D294,MATCH($A295,$A$5:A294,0)),""))),"Á","A"),"É","E"),"Í","I"),"Ó","O"),"Ú","U"),"Ü","U")))</f>
        <v/>
      </c>
      <c r="E295" s="36" t="str">
        <f aca="false">IF($A295="","",TRIM(SUBSTITUTE(SUBSTITUTE(SUBSTITUTE(SUBSTITUTE(SUBSTITUTE(SUBSTITUTE(UPPER(IFERROR(INDEX('Base de Personas'!$F7:F21,MATCH($A295,'Base de Personas'!$B7:B21,0)),IFERROR(INDEX($E$5:E294,MATCH($A295,$A$5:A294,0)),""))),"Á","A"),"É","E"),"Í","I"),"Ó","O"),"Ú","U"),"Ü","U")))</f>
        <v/>
      </c>
      <c r="F295" s="36" t="str">
        <f aca="false">IF($A295="","",TRIM(SUBSTITUTE(SUBSTITUTE(SUBSTITUTE(SUBSTITUTE(SUBSTITUTE(SUBSTITUTE(UPPER(IFERROR(INDEX('Base de Personas'!$G7:G21,MATCH($A295,'Base de Personas'!$B7:B21,0)),IFERROR(INDEX($F$5:F294,MATCH($A295,$A$5:A294,0)),""))),"Á","A"),"É","E"),"Í","I"),"Ó","O"),"Ú","U"),"Ü","U")))</f>
        <v/>
      </c>
      <c r="G295" s="37" t="str">
        <f aca="false">IF($A295="","",TRIM(SUBSTITUTE(SUBSTITUTE(SUBSTITUTE(SUBSTITUTE(SUBSTITUTE(SUBSTITUTE(UPPER(IFERROR(INDEX('Base de Personas'!$H7:H21,MATCH($A295,'Base de Personas'!$B7:B21,0)),IFERROR(INDEX($G$5:G294,MATCH($A295,$A$5:A294,0)),""))),"Á","A"),"É","E"),"Í","I"),"Ó","O"),"Ú","U"),"Ü","U")))</f>
        <v/>
      </c>
      <c r="H295" s="38" t="str">
        <f aca="false">IF($A295="","",IFERROR(INDEX('Base de Personas'!$I$7:$I$21,MATCH($A295,'Base de Personas'!$B$7:$B$21,0)),IFERROR(INDEX($H$5:H294,MATCH($A295,$A$5:A294,0)),"")))</f>
        <v/>
      </c>
      <c r="I295" s="39"/>
      <c r="J295" s="40"/>
      <c r="K295" s="40"/>
      <c r="L295" s="39"/>
      <c r="M295" s="41" t="str">
        <f aca="false">IF($A295="","",IF(K295=_xlfn.MAXIFS($K$5:$K$304,$A$5:$A$304,$A295),1,0))</f>
        <v/>
      </c>
      <c r="N295" s="41" t="str">
        <f aca="false">IF($A295="","",IF(M295=1,$A295&amp;"-ACT",""))</f>
        <v/>
      </c>
      <c r="O295" s="41" t="str">
        <f aca="false">IF($A295="","",IF(AND(COUNTIF('Base de Personas'!$B$7:$B$21,$A295)=0,COUNTIF($A$5:A295,$A295)=1),1,0))</f>
        <v/>
      </c>
      <c r="P295" s="41" t="str">
        <f aca="false">IF(O295=1,SUM($O$5:O295),"")</f>
        <v/>
      </c>
    </row>
    <row r="296" customFormat="false" ht="15" hidden="false" customHeight="false" outlineLevel="0" collapsed="false">
      <c r="A296" s="35"/>
      <c r="B296" s="36" t="str">
        <f aca="false">IF($A296="","",TRIM(SUBSTITUTE(SUBSTITUTE(SUBSTITUTE(SUBSTITUTE(SUBSTITUTE(SUBSTITUTE(UPPER(IFERROR(INDEX('Base de Personas'!$C7:C21,MATCH($A296,'Base de Personas'!$B7:B21,0)),IFERROR(INDEX($B$5:B295,MATCH($A296,$A$5:A295,0)),""))),"Á","A"),"É","E"),"Í","I"),"Ó","O"),"Ú","U"),"Ü","U")))</f>
        <v/>
      </c>
      <c r="C296" s="37" t="str">
        <f aca="false">IF($A296="","",TRIM(SUBSTITUTE(SUBSTITUTE(SUBSTITUTE(SUBSTITUTE(SUBSTITUTE(SUBSTITUTE(UPPER(IFERROR(INDEX('Base de Personas'!$D7:D21,MATCH($A296,'Base de Personas'!$B7:B21,0)),IFERROR(INDEX($C$5:C295,MATCH($A296,$A$5:A295,0)),""))),"Á","A"),"É","E"),"Í","I"),"Ó","O"),"Ú","U"),"Ü","U")))</f>
        <v/>
      </c>
      <c r="D296" s="36" t="str">
        <f aca="false">IF($A296="","",TRIM(SUBSTITUTE(SUBSTITUTE(SUBSTITUTE(SUBSTITUTE(SUBSTITUTE(SUBSTITUTE(UPPER(IFERROR(INDEX('Base de Personas'!$E7:E21,MATCH($A296,'Base de Personas'!$B7:B21,0)),IFERROR(INDEX($D$5:D295,MATCH($A296,$A$5:A295,0)),""))),"Á","A"),"É","E"),"Í","I"),"Ó","O"),"Ú","U"),"Ü","U")))</f>
        <v/>
      </c>
      <c r="E296" s="36" t="str">
        <f aca="false">IF($A296="","",TRIM(SUBSTITUTE(SUBSTITUTE(SUBSTITUTE(SUBSTITUTE(SUBSTITUTE(SUBSTITUTE(UPPER(IFERROR(INDEX('Base de Personas'!$F7:F21,MATCH($A296,'Base de Personas'!$B7:B21,0)),IFERROR(INDEX($E$5:E295,MATCH($A296,$A$5:A295,0)),""))),"Á","A"),"É","E"),"Í","I"),"Ó","O"),"Ú","U"),"Ü","U")))</f>
        <v/>
      </c>
      <c r="F296" s="36" t="str">
        <f aca="false">IF($A296="","",TRIM(SUBSTITUTE(SUBSTITUTE(SUBSTITUTE(SUBSTITUTE(SUBSTITUTE(SUBSTITUTE(UPPER(IFERROR(INDEX('Base de Personas'!$G7:G21,MATCH($A296,'Base de Personas'!$B7:B21,0)),IFERROR(INDEX($F$5:F295,MATCH($A296,$A$5:A295,0)),""))),"Á","A"),"É","E"),"Í","I"),"Ó","O"),"Ú","U"),"Ü","U")))</f>
        <v/>
      </c>
      <c r="G296" s="37" t="str">
        <f aca="false">IF($A296="","",TRIM(SUBSTITUTE(SUBSTITUTE(SUBSTITUTE(SUBSTITUTE(SUBSTITUTE(SUBSTITUTE(UPPER(IFERROR(INDEX('Base de Personas'!$H7:H21,MATCH($A296,'Base de Personas'!$B7:B21,0)),IFERROR(INDEX($G$5:G295,MATCH($A296,$A$5:A295,0)),""))),"Á","A"),"É","E"),"Í","I"),"Ó","O"),"Ú","U"),"Ü","U")))</f>
        <v/>
      </c>
      <c r="H296" s="38" t="str">
        <f aca="false">IF($A296="","",IFERROR(INDEX('Base de Personas'!$I$7:$I$21,MATCH($A296,'Base de Personas'!$B$7:$B$21,0)),IFERROR(INDEX($H$5:H295,MATCH($A296,$A$5:A295,0)),"")))</f>
        <v/>
      </c>
      <c r="I296" s="39"/>
      <c r="J296" s="40"/>
      <c r="K296" s="40"/>
      <c r="L296" s="39"/>
      <c r="M296" s="41" t="str">
        <f aca="false">IF($A296="","",IF(K296=_xlfn.MAXIFS($K$5:$K$304,$A$5:$A$304,$A296),1,0))</f>
        <v/>
      </c>
      <c r="N296" s="41" t="str">
        <f aca="false">IF($A296="","",IF(M296=1,$A296&amp;"-ACT",""))</f>
        <v/>
      </c>
      <c r="O296" s="41" t="str">
        <f aca="false">IF($A296="","",IF(AND(COUNTIF('Base de Personas'!$B$7:$B$21,$A296)=0,COUNTIF($A$5:A296,$A296)=1),1,0))</f>
        <v/>
      </c>
      <c r="P296" s="41" t="str">
        <f aca="false">IF(O296=1,SUM($O$5:O296),"")</f>
        <v/>
      </c>
    </row>
    <row r="297" customFormat="false" ht="15" hidden="false" customHeight="false" outlineLevel="0" collapsed="false">
      <c r="A297" s="35"/>
      <c r="B297" s="36" t="str">
        <f aca="false">IF($A297="","",TRIM(SUBSTITUTE(SUBSTITUTE(SUBSTITUTE(SUBSTITUTE(SUBSTITUTE(SUBSTITUTE(UPPER(IFERROR(INDEX('Base de Personas'!$C7:C21,MATCH($A297,'Base de Personas'!$B7:B21,0)),IFERROR(INDEX($B$5:B296,MATCH($A297,$A$5:A296,0)),""))),"Á","A"),"É","E"),"Í","I"),"Ó","O"),"Ú","U"),"Ü","U")))</f>
        <v/>
      </c>
      <c r="C297" s="37" t="str">
        <f aca="false">IF($A297="","",TRIM(SUBSTITUTE(SUBSTITUTE(SUBSTITUTE(SUBSTITUTE(SUBSTITUTE(SUBSTITUTE(UPPER(IFERROR(INDEX('Base de Personas'!$D7:D21,MATCH($A297,'Base de Personas'!$B7:B21,0)),IFERROR(INDEX($C$5:C296,MATCH($A297,$A$5:A296,0)),""))),"Á","A"),"É","E"),"Í","I"),"Ó","O"),"Ú","U"),"Ü","U")))</f>
        <v/>
      </c>
      <c r="D297" s="36" t="str">
        <f aca="false">IF($A297="","",TRIM(SUBSTITUTE(SUBSTITUTE(SUBSTITUTE(SUBSTITUTE(SUBSTITUTE(SUBSTITUTE(UPPER(IFERROR(INDEX('Base de Personas'!$E7:E21,MATCH($A297,'Base de Personas'!$B7:B21,0)),IFERROR(INDEX($D$5:D296,MATCH($A297,$A$5:A296,0)),""))),"Á","A"),"É","E"),"Í","I"),"Ó","O"),"Ú","U"),"Ü","U")))</f>
        <v/>
      </c>
      <c r="E297" s="36" t="str">
        <f aca="false">IF($A297="","",TRIM(SUBSTITUTE(SUBSTITUTE(SUBSTITUTE(SUBSTITUTE(SUBSTITUTE(SUBSTITUTE(UPPER(IFERROR(INDEX('Base de Personas'!$F7:F21,MATCH($A297,'Base de Personas'!$B7:B21,0)),IFERROR(INDEX($E$5:E296,MATCH($A297,$A$5:A296,0)),""))),"Á","A"),"É","E"),"Í","I"),"Ó","O"),"Ú","U"),"Ü","U")))</f>
        <v/>
      </c>
      <c r="F297" s="36" t="str">
        <f aca="false">IF($A297="","",TRIM(SUBSTITUTE(SUBSTITUTE(SUBSTITUTE(SUBSTITUTE(SUBSTITUTE(SUBSTITUTE(UPPER(IFERROR(INDEX('Base de Personas'!$G7:G21,MATCH($A297,'Base de Personas'!$B7:B21,0)),IFERROR(INDEX($F$5:F296,MATCH($A297,$A$5:A296,0)),""))),"Á","A"),"É","E"),"Í","I"),"Ó","O"),"Ú","U"),"Ü","U")))</f>
        <v/>
      </c>
      <c r="G297" s="37" t="str">
        <f aca="false">IF($A297="","",TRIM(SUBSTITUTE(SUBSTITUTE(SUBSTITUTE(SUBSTITUTE(SUBSTITUTE(SUBSTITUTE(UPPER(IFERROR(INDEX('Base de Personas'!$H7:H21,MATCH($A297,'Base de Personas'!$B7:B21,0)),IFERROR(INDEX($G$5:G296,MATCH($A297,$A$5:A296,0)),""))),"Á","A"),"É","E"),"Í","I"),"Ó","O"),"Ú","U"),"Ü","U")))</f>
        <v/>
      </c>
      <c r="H297" s="38" t="str">
        <f aca="false">IF($A297="","",IFERROR(INDEX('Base de Personas'!$I$7:$I$21,MATCH($A297,'Base de Personas'!$B$7:$B$21,0)),IFERROR(INDEX($H$5:H296,MATCH($A297,$A$5:A296,0)),"")))</f>
        <v/>
      </c>
      <c r="I297" s="39"/>
      <c r="J297" s="40"/>
      <c r="K297" s="40"/>
      <c r="L297" s="39"/>
      <c r="M297" s="41" t="str">
        <f aca="false">IF($A297="","",IF(K297=_xlfn.MAXIFS($K$5:$K$304,$A$5:$A$304,$A297),1,0))</f>
        <v/>
      </c>
      <c r="N297" s="41" t="str">
        <f aca="false">IF($A297="","",IF(M297=1,$A297&amp;"-ACT",""))</f>
        <v/>
      </c>
      <c r="O297" s="41" t="str">
        <f aca="false">IF($A297="","",IF(AND(COUNTIF('Base de Personas'!$B$7:$B$21,$A297)=0,COUNTIF($A$5:A297,$A297)=1),1,0))</f>
        <v/>
      </c>
      <c r="P297" s="41" t="str">
        <f aca="false">IF(O297=1,SUM($O$5:O297),"")</f>
        <v/>
      </c>
    </row>
    <row r="298" customFormat="false" ht="15" hidden="false" customHeight="false" outlineLevel="0" collapsed="false">
      <c r="A298" s="35"/>
      <c r="B298" s="36" t="str">
        <f aca="false">IF($A298="","",TRIM(SUBSTITUTE(SUBSTITUTE(SUBSTITUTE(SUBSTITUTE(SUBSTITUTE(SUBSTITUTE(UPPER(IFERROR(INDEX('Base de Personas'!$C7:C21,MATCH($A298,'Base de Personas'!$B7:B21,0)),IFERROR(INDEX($B$5:B297,MATCH($A298,$A$5:A297,0)),""))),"Á","A"),"É","E"),"Í","I"),"Ó","O"),"Ú","U"),"Ü","U")))</f>
        <v/>
      </c>
      <c r="C298" s="37" t="str">
        <f aca="false">IF($A298="","",TRIM(SUBSTITUTE(SUBSTITUTE(SUBSTITUTE(SUBSTITUTE(SUBSTITUTE(SUBSTITUTE(UPPER(IFERROR(INDEX('Base de Personas'!$D7:D21,MATCH($A298,'Base de Personas'!$B7:B21,0)),IFERROR(INDEX($C$5:C297,MATCH($A298,$A$5:A297,0)),""))),"Á","A"),"É","E"),"Í","I"),"Ó","O"),"Ú","U"),"Ü","U")))</f>
        <v/>
      </c>
      <c r="D298" s="36" t="str">
        <f aca="false">IF($A298="","",TRIM(SUBSTITUTE(SUBSTITUTE(SUBSTITUTE(SUBSTITUTE(SUBSTITUTE(SUBSTITUTE(UPPER(IFERROR(INDEX('Base de Personas'!$E7:E21,MATCH($A298,'Base de Personas'!$B7:B21,0)),IFERROR(INDEX($D$5:D297,MATCH($A298,$A$5:A297,0)),""))),"Á","A"),"É","E"),"Í","I"),"Ó","O"),"Ú","U"),"Ü","U")))</f>
        <v/>
      </c>
      <c r="E298" s="36" t="str">
        <f aca="false">IF($A298="","",TRIM(SUBSTITUTE(SUBSTITUTE(SUBSTITUTE(SUBSTITUTE(SUBSTITUTE(SUBSTITUTE(UPPER(IFERROR(INDEX('Base de Personas'!$F7:F21,MATCH($A298,'Base de Personas'!$B7:B21,0)),IFERROR(INDEX($E$5:E297,MATCH($A298,$A$5:A297,0)),""))),"Á","A"),"É","E"),"Í","I"),"Ó","O"),"Ú","U"),"Ü","U")))</f>
        <v/>
      </c>
      <c r="F298" s="36" t="str">
        <f aca="false">IF($A298="","",TRIM(SUBSTITUTE(SUBSTITUTE(SUBSTITUTE(SUBSTITUTE(SUBSTITUTE(SUBSTITUTE(UPPER(IFERROR(INDEX('Base de Personas'!$G7:G21,MATCH($A298,'Base de Personas'!$B7:B21,0)),IFERROR(INDEX($F$5:F297,MATCH($A298,$A$5:A297,0)),""))),"Á","A"),"É","E"),"Í","I"),"Ó","O"),"Ú","U"),"Ü","U")))</f>
        <v/>
      </c>
      <c r="G298" s="37" t="str">
        <f aca="false">IF($A298="","",TRIM(SUBSTITUTE(SUBSTITUTE(SUBSTITUTE(SUBSTITUTE(SUBSTITUTE(SUBSTITUTE(UPPER(IFERROR(INDEX('Base de Personas'!$H7:H21,MATCH($A298,'Base de Personas'!$B7:B21,0)),IFERROR(INDEX($G$5:G297,MATCH($A298,$A$5:A297,0)),""))),"Á","A"),"É","E"),"Í","I"),"Ó","O"),"Ú","U"),"Ü","U")))</f>
        <v/>
      </c>
      <c r="H298" s="38" t="str">
        <f aca="false">IF($A298="","",IFERROR(INDEX('Base de Personas'!$I$7:$I$21,MATCH($A298,'Base de Personas'!$B$7:$B$21,0)),IFERROR(INDEX($H$5:H297,MATCH($A298,$A$5:A297,0)),"")))</f>
        <v/>
      </c>
      <c r="I298" s="39"/>
      <c r="J298" s="40"/>
      <c r="K298" s="40"/>
      <c r="L298" s="39"/>
      <c r="M298" s="41" t="str">
        <f aca="false">IF($A298="","",IF(K298=_xlfn.MAXIFS($K$5:$K$304,$A$5:$A$304,$A298),1,0))</f>
        <v/>
      </c>
      <c r="N298" s="41" t="str">
        <f aca="false">IF($A298="","",IF(M298=1,$A298&amp;"-ACT",""))</f>
        <v/>
      </c>
      <c r="O298" s="41" t="str">
        <f aca="false">IF($A298="","",IF(AND(COUNTIF('Base de Personas'!$B$7:$B$21,$A298)=0,COUNTIF($A$5:A298,$A298)=1),1,0))</f>
        <v/>
      </c>
      <c r="P298" s="41" t="str">
        <f aca="false">IF(O298=1,SUM($O$5:O298),"")</f>
        <v/>
      </c>
    </row>
    <row r="299" customFormat="false" ht="15" hidden="false" customHeight="false" outlineLevel="0" collapsed="false">
      <c r="A299" s="35"/>
      <c r="B299" s="36" t="str">
        <f aca="false">IF($A299="","",TRIM(SUBSTITUTE(SUBSTITUTE(SUBSTITUTE(SUBSTITUTE(SUBSTITUTE(SUBSTITUTE(UPPER(IFERROR(INDEX('Base de Personas'!$C7:C21,MATCH($A299,'Base de Personas'!$B7:B21,0)),IFERROR(INDEX($B$5:B298,MATCH($A299,$A$5:A298,0)),""))),"Á","A"),"É","E"),"Í","I"),"Ó","O"),"Ú","U"),"Ü","U")))</f>
        <v/>
      </c>
      <c r="C299" s="37" t="str">
        <f aca="false">IF($A299="","",TRIM(SUBSTITUTE(SUBSTITUTE(SUBSTITUTE(SUBSTITUTE(SUBSTITUTE(SUBSTITUTE(UPPER(IFERROR(INDEX('Base de Personas'!$D7:D21,MATCH($A299,'Base de Personas'!$B7:B21,0)),IFERROR(INDEX($C$5:C298,MATCH($A299,$A$5:A298,0)),""))),"Á","A"),"É","E"),"Í","I"),"Ó","O"),"Ú","U"),"Ü","U")))</f>
        <v/>
      </c>
      <c r="D299" s="36" t="str">
        <f aca="false">IF($A299="","",TRIM(SUBSTITUTE(SUBSTITUTE(SUBSTITUTE(SUBSTITUTE(SUBSTITUTE(SUBSTITUTE(UPPER(IFERROR(INDEX('Base de Personas'!$E7:E21,MATCH($A299,'Base de Personas'!$B7:B21,0)),IFERROR(INDEX($D$5:D298,MATCH($A299,$A$5:A298,0)),""))),"Á","A"),"É","E"),"Í","I"),"Ó","O"),"Ú","U"),"Ü","U")))</f>
        <v/>
      </c>
      <c r="E299" s="36" t="str">
        <f aca="false">IF($A299="","",TRIM(SUBSTITUTE(SUBSTITUTE(SUBSTITUTE(SUBSTITUTE(SUBSTITUTE(SUBSTITUTE(UPPER(IFERROR(INDEX('Base de Personas'!$F7:F21,MATCH($A299,'Base de Personas'!$B7:B21,0)),IFERROR(INDEX($E$5:E298,MATCH($A299,$A$5:A298,0)),""))),"Á","A"),"É","E"),"Í","I"),"Ó","O"),"Ú","U"),"Ü","U")))</f>
        <v/>
      </c>
      <c r="F299" s="36" t="str">
        <f aca="false">IF($A299="","",TRIM(SUBSTITUTE(SUBSTITUTE(SUBSTITUTE(SUBSTITUTE(SUBSTITUTE(SUBSTITUTE(UPPER(IFERROR(INDEX('Base de Personas'!$G7:G21,MATCH($A299,'Base de Personas'!$B7:B21,0)),IFERROR(INDEX($F$5:F298,MATCH($A299,$A$5:A298,0)),""))),"Á","A"),"É","E"),"Í","I"),"Ó","O"),"Ú","U"),"Ü","U")))</f>
        <v/>
      </c>
      <c r="G299" s="37" t="str">
        <f aca="false">IF($A299="","",TRIM(SUBSTITUTE(SUBSTITUTE(SUBSTITUTE(SUBSTITUTE(SUBSTITUTE(SUBSTITUTE(UPPER(IFERROR(INDEX('Base de Personas'!$H7:H21,MATCH($A299,'Base de Personas'!$B7:B21,0)),IFERROR(INDEX($G$5:G298,MATCH($A299,$A$5:A298,0)),""))),"Á","A"),"É","E"),"Í","I"),"Ó","O"),"Ú","U"),"Ü","U")))</f>
        <v/>
      </c>
      <c r="H299" s="38" t="str">
        <f aca="false">IF($A299="","",IFERROR(INDEX('Base de Personas'!$I$7:$I$21,MATCH($A299,'Base de Personas'!$B$7:$B$21,0)),IFERROR(INDEX($H$5:H298,MATCH($A299,$A$5:A298,0)),"")))</f>
        <v/>
      </c>
      <c r="I299" s="39"/>
      <c r="J299" s="40"/>
      <c r="K299" s="40"/>
      <c r="L299" s="39"/>
      <c r="M299" s="41" t="str">
        <f aca="false">IF($A299="","",IF(K299=_xlfn.MAXIFS($K$5:$K$304,$A$5:$A$304,$A299),1,0))</f>
        <v/>
      </c>
      <c r="N299" s="41" t="str">
        <f aca="false">IF($A299="","",IF(M299=1,$A299&amp;"-ACT",""))</f>
        <v/>
      </c>
      <c r="O299" s="41" t="str">
        <f aca="false">IF($A299="","",IF(AND(COUNTIF('Base de Personas'!$B$7:$B$21,$A299)=0,COUNTIF($A$5:A299,$A299)=1),1,0))</f>
        <v/>
      </c>
      <c r="P299" s="41" t="str">
        <f aca="false">IF(O299=1,SUM($O$5:O299),"")</f>
        <v/>
      </c>
    </row>
    <row r="300" customFormat="false" ht="15" hidden="false" customHeight="false" outlineLevel="0" collapsed="false">
      <c r="A300" s="35"/>
      <c r="B300" s="36" t="str">
        <f aca="false">IF($A300="","",TRIM(SUBSTITUTE(SUBSTITUTE(SUBSTITUTE(SUBSTITUTE(SUBSTITUTE(SUBSTITUTE(UPPER(IFERROR(INDEX('Base de Personas'!$C7:C21,MATCH($A300,'Base de Personas'!$B7:B21,0)),IFERROR(INDEX($B$5:B299,MATCH($A300,$A$5:A299,0)),""))),"Á","A"),"É","E"),"Í","I"),"Ó","O"),"Ú","U"),"Ü","U")))</f>
        <v/>
      </c>
      <c r="C300" s="37" t="str">
        <f aca="false">IF($A300="","",TRIM(SUBSTITUTE(SUBSTITUTE(SUBSTITUTE(SUBSTITUTE(SUBSTITUTE(SUBSTITUTE(UPPER(IFERROR(INDEX('Base de Personas'!$D7:D21,MATCH($A300,'Base de Personas'!$B7:B21,0)),IFERROR(INDEX($C$5:C299,MATCH($A300,$A$5:A299,0)),""))),"Á","A"),"É","E"),"Í","I"),"Ó","O"),"Ú","U"),"Ü","U")))</f>
        <v/>
      </c>
      <c r="D300" s="36" t="str">
        <f aca="false">IF($A300="","",TRIM(SUBSTITUTE(SUBSTITUTE(SUBSTITUTE(SUBSTITUTE(SUBSTITUTE(SUBSTITUTE(UPPER(IFERROR(INDEX('Base de Personas'!$E7:E21,MATCH($A300,'Base de Personas'!$B7:B21,0)),IFERROR(INDEX($D$5:D299,MATCH($A300,$A$5:A299,0)),""))),"Á","A"),"É","E"),"Í","I"),"Ó","O"),"Ú","U"),"Ü","U")))</f>
        <v/>
      </c>
      <c r="E300" s="36" t="str">
        <f aca="false">IF($A300="","",TRIM(SUBSTITUTE(SUBSTITUTE(SUBSTITUTE(SUBSTITUTE(SUBSTITUTE(SUBSTITUTE(UPPER(IFERROR(INDEX('Base de Personas'!$F7:F21,MATCH($A300,'Base de Personas'!$B7:B21,0)),IFERROR(INDEX($E$5:E299,MATCH($A300,$A$5:A299,0)),""))),"Á","A"),"É","E"),"Í","I"),"Ó","O"),"Ú","U"),"Ü","U")))</f>
        <v/>
      </c>
      <c r="F300" s="36" t="str">
        <f aca="false">IF($A300="","",TRIM(SUBSTITUTE(SUBSTITUTE(SUBSTITUTE(SUBSTITUTE(SUBSTITUTE(SUBSTITUTE(UPPER(IFERROR(INDEX('Base de Personas'!$G7:G21,MATCH($A300,'Base de Personas'!$B7:B21,0)),IFERROR(INDEX($F$5:F299,MATCH($A300,$A$5:A299,0)),""))),"Á","A"),"É","E"),"Í","I"),"Ó","O"),"Ú","U"),"Ü","U")))</f>
        <v/>
      </c>
      <c r="G300" s="37" t="str">
        <f aca="false">IF($A300="","",TRIM(SUBSTITUTE(SUBSTITUTE(SUBSTITUTE(SUBSTITUTE(SUBSTITUTE(SUBSTITUTE(UPPER(IFERROR(INDEX('Base de Personas'!$H7:H21,MATCH($A300,'Base de Personas'!$B7:B21,0)),IFERROR(INDEX($G$5:G299,MATCH($A300,$A$5:A299,0)),""))),"Á","A"),"É","E"),"Í","I"),"Ó","O"),"Ú","U"),"Ü","U")))</f>
        <v/>
      </c>
      <c r="H300" s="38" t="str">
        <f aca="false">IF($A300="","",IFERROR(INDEX('Base de Personas'!$I$7:$I$21,MATCH($A300,'Base de Personas'!$B$7:$B$21,0)),IFERROR(INDEX($H$5:H299,MATCH($A300,$A$5:A299,0)),"")))</f>
        <v/>
      </c>
      <c r="I300" s="39"/>
      <c r="J300" s="40"/>
      <c r="K300" s="40"/>
      <c r="L300" s="39"/>
      <c r="M300" s="41" t="str">
        <f aca="false">IF($A300="","",IF(K300=_xlfn.MAXIFS($K$5:$K$304,$A$5:$A$304,$A300),1,0))</f>
        <v/>
      </c>
      <c r="N300" s="41" t="str">
        <f aca="false">IF($A300="","",IF(M300=1,$A300&amp;"-ACT",""))</f>
        <v/>
      </c>
      <c r="O300" s="41" t="str">
        <f aca="false">IF($A300="","",IF(AND(COUNTIF('Base de Personas'!$B$7:$B$21,$A300)=0,COUNTIF($A$5:A300,$A300)=1),1,0))</f>
        <v/>
      </c>
      <c r="P300" s="41" t="str">
        <f aca="false">IF(O300=1,SUM($O$5:O300),"")</f>
        <v/>
      </c>
    </row>
    <row r="301" customFormat="false" ht="15" hidden="false" customHeight="false" outlineLevel="0" collapsed="false">
      <c r="A301" s="35"/>
      <c r="B301" s="36" t="str">
        <f aca="false">IF($A301="","",TRIM(SUBSTITUTE(SUBSTITUTE(SUBSTITUTE(SUBSTITUTE(SUBSTITUTE(SUBSTITUTE(UPPER(IFERROR(INDEX('Base de Personas'!$C7:C21,MATCH($A301,'Base de Personas'!$B7:B21,0)),IFERROR(INDEX($B$5:B300,MATCH($A301,$A$5:A300,0)),""))),"Á","A"),"É","E"),"Í","I"),"Ó","O"),"Ú","U"),"Ü","U")))</f>
        <v/>
      </c>
      <c r="C301" s="37" t="str">
        <f aca="false">IF($A301="","",TRIM(SUBSTITUTE(SUBSTITUTE(SUBSTITUTE(SUBSTITUTE(SUBSTITUTE(SUBSTITUTE(UPPER(IFERROR(INDEX('Base de Personas'!$D7:D21,MATCH($A301,'Base de Personas'!$B7:B21,0)),IFERROR(INDEX($C$5:C300,MATCH($A301,$A$5:A300,0)),""))),"Á","A"),"É","E"),"Í","I"),"Ó","O"),"Ú","U"),"Ü","U")))</f>
        <v/>
      </c>
      <c r="D301" s="36" t="str">
        <f aca="false">IF($A301="","",TRIM(SUBSTITUTE(SUBSTITUTE(SUBSTITUTE(SUBSTITUTE(SUBSTITUTE(SUBSTITUTE(UPPER(IFERROR(INDEX('Base de Personas'!$E7:E21,MATCH($A301,'Base de Personas'!$B7:B21,0)),IFERROR(INDEX($D$5:D300,MATCH($A301,$A$5:A300,0)),""))),"Á","A"),"É","E"),"Í","I"),"Ó","O"),"Ú","U"),"Ü","U")))</f>
        <v/>
      </c>
      <c r="E301" s="36" t="str">
        <f aca="false">IF($A301="","",TRIM(SUBSTITUTE(SUBSTITUTE(SUBSTITUTE(SUBSTITUTE(SUBSTITUTE(SUBSTITUTE(UPPER(IFERROR(INDEX('Base de Personas'!$F7:F21,MATCH($A301,'Base de Personas'!$B7:B21,0)),IFERROR(INDEX($E$5:E300,MATCH($A301,$A$5:A300,0)),""))),"Á","A"),"É","E"),"Í","I"),"Ó","O"),"Ú","U"),"Ü","U")))</f>
        <v/>
      </c>
      <c r="F301" s="36" t="str">
        <f aca="false">IF($A301="","",TRIM(SUBSTITUTE(SUBSTITUTE(SUBSTITUTE(SUBSTITUTE(SUBSTITUTE(SUBSTITUTE(UPPER(IFERROR(INDEX('Base de Personas'!$G7:G21,MATCH($A301,'Base de Personas'!$B7:B21,0)),IFERROR(INDEX($F$5:F300,MATCH($A301,$A$5:A300,0)),""))),"Á","A"),"É","E"),"Í","I"),"Ó","O"),"Ú","U"),"Ü","U")))</f>
        <v/>
      </c>
      <c r="G301" s="37" t="str">
        <f aca="false">IF($A301="","",TRIM(SUBSTITUTE(SUBSTITUTE(SUBSTITUTE(SUBSTITUTE(SUBSTITUTE(SUBSTITUTE(UPPER(IFERROR(INDEX('Base de Personas'!$H7:H21,MATCH($A301,'Base de Personas'!$B7:B21,0)),IFERROR(INDEX($G$5:G300,MATCH($A301,$A$5:A300,0)),""))),"Á","A"),"É","E"),"Í","I"),"Ó","O"),"Ú","U"),"Ü","U")))</f>
        <v/>
      </c>
      <c r="H301" s="38" t="str">
        <f aca="false">IF($A301="","",IFERROR(INDEX('Base de Personas'!$I$7:$I$21,MATCH($A301,'Base de Personas'!$B$7:$B$21,0)),IFERROR(INDEX($H$5:H300,MATCH($A301,$A$5:A300,0)),"")))</f>
        <v/>
      </c>
      <c r="I301" s="39"/>
      <c r="J301" s="40"/>
      <c r="K301" s="40"/>
      <c r="L301" s="39"/>
      <c r="M301" s="41" t="str">
        <f aca="false">IF($A301="","",IF(K301=_xlfn.MAXIFS($K$5:$K$304,$A$5:$A$304,$A301),1,0))</f>
        <v/>
      </c>
      <c r="N301" s="41" t="str">
        <f aca="false">IF($A301="","",IF(M301=1,$A301&amp;"-ACT",""))</f>
        <v/>
      </c>
      <c r="O301" s="41" t="str">
        <f aca="false">IF($A301="","",IF(AND(COUNTIF('Base de Personas'!$B$7:$B$21,$A301)=0,COUNTIF($A$5:A301,$A301)=1),1,0))</f>
        <v/>
      </c>
      <c r="P301" s="41" t="str">
        <f aca="false">IF(O301=1,SUM($O$5:O301),"")</f>
        <v/>
      </c>
    </row>
    <row r="302" customFormat="false" ht="15" hidden="false" customHeight="false" outlineLevel="0" collapsed="false">
      <c r="A302" s="35"/>
      <c r="B302" s="36" t="str">
        <f aca="false">IF($A302="","",TRIM(SUBSTITUTE(SUBSTITUTE(SUBSTITUTE(SUBSTITUTE(SUBSTITUTE(SUBSTITUTE(UPPER(IFERROR(INDEX('Base de Personas'!$C7:C21,MATCH($A302,'Base de Personas'!$B7:B21,0)),IFERROR(INDEX($B$5:B301,MATCH($A302,$A$5:A301,0)),""))),"Á","A"),"É","E"),"Í","I"),"Ó","O"),"Ú","U"),"Ü","U")))</f>
        <v/>
      </c>
      <c r="C302" s="37" t="str">
        <f aca="false">IF($A302="","",TRIM(SUBSTITUTE(SUBSTITUTE(SUBSTITUTE(SUBSTITUTE(SUBSTITUTE(SUBSTITUTE(UPPER(IFERROR(INDEX('Base de Personas'!$D7:D21,MATCH($A302,'Base de Personas'!$B7:B21,0)),IFERROR(INDEX($C$5:C301,MATCH($A302,$A$5:A301,0)),""))),"Á","A"),"É","E"),"Í","I"),"Ó","O"),"Ú","U"),"Ü","U")))</f>
        <v/>
      </c>
      <c r="D302" s="36" t="str">
        <f aca="false">IF($A302="","",TRIM(SUBSTITUTE(SUBSTITUTE(SUBSTITUTE(SUBSTITUTE(SUBSTITUTE(SUBSTITUTE(UPPER(IFERROR(INDEX('Base de Personas'!$E7:E21,MATCH($A302,'Base de Personas'!$B7:B21,0)),IFERROR(INDEX($D$5:D301,MATCH($A302,$A$5:A301,0)),""))),"Á","A"),"É","E"),"Í","I"),"Ó","O"),"Ú","U"),"Ü","U")))</f>
        <v/>
      </c>
      <c r="E302" s="36" t="str">
        <f aca="false">IF($A302="","",TRIM(SUBSTITUTE(SUBSTITUTE(SUBSTITUTE(SUBSTITUTE(SUBSTITUTE(SUBSTITUTE(UPPER(IFERROR(INDEX('Base de Personas'!$F7:F21,MATCH($A302,'Base de Personas'!$B7:B21,0)),IFERROR(INDEX($E$5:E301,MATCH($A302,$A$5:A301,0)),""))),"Á","A"),"É","E"),"Í","I"),"Ó","O"),"Ú","U"),"Ü","U")))</f>
        <v/>
      </c>
      <c r="F302" s="36" t="str">
        <f aca="false">IF($A302="","",TRIM(SUBSTITUTE(SUBSTITUTE(SUBSTITUTE(SUBSTITUTE(SUBSTITUTE(SUBSTITUTE(UPPER(IFERROR(INDEX('Base de Personas'!$G7:G21,MATCH($A302,'Base de Personas'!$B7:B21,0)),IFERROR(INDEX($F$5:F301,MATCH($A302,$A$5:A301,0)),""))),"Á","A"),"É","E"),"Í","I"),"Ó","O"),"Ú","U"),"Ü","U")))</f>
        <v/>
      </c>
      <c r="G302" s="37" t="str">
        <f aca="false">IF($A302="","",TRIM(SUBSTITUTE(SUBSTITUTE(SUBSTITUTE(SUBSTITUTE(SUBSTITUTE(SUBSTITUTE(UPPER(IFERROR(INDEX('Base de Personas'!$H7:H21,MATCH($A302,'Base de Personas'!$B7:B21,0)),IFERROR(INDEX($G$5:G301,MATCH($A302,$A$5:A301,0)),""))),"Á","A"),"É","E"),"Í","I"),"Ó","O"),"Ú","U"),"Ü","U")))</f>
        <v/>
      </c>
      <c r="H302" s="38" t="str">
        <f aca="false">IF($A302="","",IFERROR(INDEX('Base de Personas'!$I$7:$I$21,MATCH($A302,'Base de Personas'!$B$7:$B$21,0)),IFERROR(INDEX($H$5:H301,MATCH($A302,$A$5:A301,0)),"")))</f>
        <v/>
      </c>
      <c r="I302" s="39"/>
      <c r="J302" s="40"/>
      <c r="K302" s="40"/>
      <c r="L302" s="39"/>
      <c r="M302" s="41" t="str">
        <f aca="false">IF($A302="","",IF(K302=_xlfn.MAXIFS($K$5:$K$304,$A$5:$A$304,$A302),1,0))</f>
        <v/>
      </c>
      <c r="N302" s="41" t="str">
        <f aca="false">IF($A302="","",IF(M302=1,$A302&amp;"-ACT",""))</f>
        <v/>
      </c>
      <c r="O302" s="41" t="str">
        <f aca="false">IF($A302="","",IF(AND(COUNTIF('Base de Personas'!$B$7:$B$21,$A302)=0,COUNTIF($A$5:A302,$A302)=1),1,0))</f>
        <v/>
      </c>
      <c r="P302" s="41" t="str">
        <f aca="false">IF(O302=1,SUM($O$5:O302),"")</f>
        <v/>
      </c>
    </row>
    <row r="303" customFormat="false" ht="15" hidden="false" customHeight="false" outlineLevel="0" collapsed="false">
      <c r="A303" s="35"/>
      <c r="B303" s="36" t="str">
        <f aca="false">IF($A303="","",TRIM(SUBSTITUTE(SUBSTITUTE(SUBSTITUTE(SUBSTITUTE(SUBSTITUTE(SUBSTITUTE(UPPER(IFERROR(INDEX('Base de Personas'!$C7:C21,MATCH($A303,'Base de Personas'!$B7:B21,0)),IFERROR(INDEX($B$5:B302,MATCH($A303,$A$5:A302,0)),""))),"Á","A"),"É","E"),"Í","I"),"Ó","O"),"Ú","U"),"Ü","U")))</f>
        <v/>
      </c>
      <c r="C303" s="37" t="str">
        <f aca="false">IF($A303="","",TRIM(SUBSTITUTE(SUBSTITUTE(SUBSTITUTE(SUBSTITUTE(SUBSTITUTE(SUBSTITUTE(UPPER(IFERROR(INDEX('Base de Personas'!$D7:D21,MATCH($A303,'Base de Personas'!$B7:B21,0)),IFERROR(INDEX($C$5:C302,MATCH($A303,$A$5:A302,0)),""))),"Á","A"),"É","E"),"Í","I"),"Ó","O"),"Ú","U"),"Ü","U")))</f>
        <v/>
      </c>
      <c r="D303" s="36" t="str">
        <f aca="false">IF($A303="","",TRIM(SUBSTITUTE(SUBSTITUTE(SUBSTITUTE(SUBSTITUTE(SUBSTITUTE(SUBSTITUTE(UPPER(IFERROR(INDEX('Base de Personas'!$E7:E21,MATCH($A303,'Base de Personas'!$B7:B21,0)),IFERROR(INDEX($D$5:D302,MATCH($A303,$A$5:A302,0)),""))),"Á","A"),"É","E"),"Í","I"),"Ó","O"),"Ú","U"),"Ü","U")))</f>
        <v/>
      </c>
      <c r="E303" s="36" t="str">
        <f aca="false">IF($A303="","",TRIM(SUBSTITUTE(SUBSTITUTE(SUBSTITUTE(SUBSTITUTE(SUBSTITUTE(SUBSTITUTE(UPPER(IFERROR(INDEX('Base de Personas'!$F7:F21,MATCH($A303,'Base de Personas'!$B7:B21,0)),IFERROR(INDEX($E$5:E302,MATCH($A303,$A$5:A302,0)),""))),"Á","A"),"É","E"),"Í","I"),"Ó","O"),"Ú","U"),"Ü","U")))</f>
        <v/>
      </c>
      <c r="F303" s="36" t="str">
        <f aca="false">IF($A303="","",TRIM(SUBSTITUTE(SUBSTITUTE(SUBSTITUTE(SUBSTITUTE(SUBSTITUTE(SUBSTITUTE(UPPER(IFERROR(INDEX('Base de Personas'!$G7:G21,MATCH($A303,'Base de Personas'!$B7:B21,0)),IFERROR(INDEX($F$5:F302,MATCH($A303,$A$5:A302,0)),""))),"Á","A"),"É","E"),"Í","I"),"Ó","O"),"Ú","U"),"Ü","U")))</f>
        <v/>
      </c>
      <c r="G303" s="37" t="str">
        <f aca="false">IF($A303="","",TRIM(SUBSTITUTE(SUBSTITUTE(SUBSTITUTE(SUBSTITUTE(SUBSTITUTE(SUBSTITUTE(UPPER(IFERROR(INDEX('Base de Personas'!$H7:H21,MATCH($A303,'Base de Personas'!$B7:B21,0)),IFERROR(INDEX($G$5:G302,MATCH($A303,$A$5:A302,0)),""))),"Á","A"),"É","E"),"Í","I"),"Ó","O"),"Ú","U"),"Ü","U")))</f>
        <v/>
      </c>
      <c r="H303" s="38" t="str">
        <f aca="false">IF($A303="","",IFERROR(INDEX('Base de Personas'!$I$7:$I$21,MATCH($A303,'Base de Personas'!$B$7:$B$21,0)),IFERROR(INDEX($H$5:H302,MATCH($A303,$A$5:A302,0)),"")))</f>
        <v/>
      </c>
      <c r="I303" s="39"/>
      <c r="J303" s="40"/>
      <c r="K303" s="40"/>
      <c r="L303" s="39"/>
      <c r="M303" s="41" t="str">
        <f aca="false">IF($A303="","",IF(K303=_xlfn.MAXIFS($K$5:$K$304,$A$5:$A$304,$A303),1,0))</f>
        <v/>
      </c>
      <c r="N303" s="41" t="str">
        <f aca="false">IF($A303="","",IF(M303=1,$A303&amp;"-ACT",""))</f>
        <v/>
      </c>
      <c r="O303" s="41" t="str">
        <f aca="false">IF($A303="","",IF(AND(COUNTIF('Base de Personas'!$B$7:$B$21,$A303)=0,COUNTIF($A$5:A303,$A303)=1),1,0))</f>
        <v/>
      </c>
      <c r="P303" s="41" t="str">
        <f aca="false">IF(O303=1,SUM($O$5:O303),"")</f>
        <v/>
      </c>
    </row>
    <row r="304" customFormat="false" ht="15" hidden="false" customHeight="false" outlineLevel="0" collapsed="false">
      <c r="A304" s="35"/>
      <c r="B304" s="36" t="str">
        <f aca="false">IF($A304="","",TRIM(SUBSTITUTE(SUBSTITUTE(SUBSTITUTE(SUBSTITUTE(SUBSTITUTE(SUBSTITUTE(UPPER(IFERROR(INDEX('Base de Personas'!$C7:C21,MATCH($A304,'Base de Personas'!$B7:B21,0)),IFERROR(INDEX($B$5:B303,MATCH($A304,$A$5:A303,0)),""))),"Á","A"),"É","E"),"Í","I"),"Ó","O"),"Ú","U"),"Ü","U")))</f>
        <v/>
      </c>
      <c r="C304" s="37" t="str">
        <f aca="false">IF($A304="","",TRIM(SUBSTITUTE(SUBSTITUTE(SUBSTITUTE(SUBSTITUTE(SUBSTITUTE(SUBSTITUTE(UPPER(IFERROR(INDEX('Base de Personas'!$D7:D21,MATCH($A304,'Base de Personas'!$B7:B21,0)),IFERROR(INDEX($C$5:C303,MATCH($A304,$A$5:A303,0)),""))),"Á","A"),"É","E"),"Í","I"),"Ó","O"),"Ú","U"),"Ü","U")))</f>
        <v/>
      </c>
      <c r="D304" s="36" t="str">
        <f aca="false">IF($A304="","",TRIM(SUBSTITUTE(SUBSTITUTE(SUBSTITUTE(SUBSTITUTE(SUBSTITUTE(SUBSTITUTE(UPPER(IFERROR(INDEX('Base de Personas'!$E7:E21,MATCH($A304,'Base de Personas'!$B7:B21,0)),IFERROR(INDEX($D$5:D303,MATCH($A304,$A$5:A303,0)),""))),"Á","A"),"É","E"),"Í","I"),"Ó","O"),"Ú","U"),"Ü","U")))</f>
        <v/>
      </c>
      <c r="E304" s="36" t="str">
        <f aca="false">IF($A304="","",TRIM(SUBSTITUTE(SUBSTITUTE(SUBSTITUTE(SUBSTITUTE(SUBSTITUTE(SUBSTITUTE(UPPER(IFERROR(INDEX('Base de Personas'!$F7:F21,MATCH($A304,'Base de Personas'!$B7:B21,0)),IFERROR(INDEX($E$5:E303,MATCH($A304,$A$5:A303,0)),""))),"Á","A"),"É","E"),"Í","I"),"Ó","O"),"Ú","U"),"Ü","U")))</f>
        <v/>
      </c>
      <c r="F304" s="36" t="str">
        <f aca="false">IF($A304="","",TRIM(SUBSTITUTE(SUBSTITUTE(SUBSTITUTE(SUBSTITUTE(SUBSTITUTE(SUBSTITUTE(UPPER(IFERROR(INDEX('Base de Personas'!$G7:G21,MATCH($A304,'Base de Personas'!$B7:B21,0)),IFERROR(INDEX($F$5:F303,MATCH($A304,$A$5:A303,0)),""))),"Á","A"),"É","E"),"Í","I"),"Ó","O"),"Ú","U"),"Ü","U")))</f>
        <v/>
      </c>
      <c r="G304" s="37" t="str">
        <f aca="false">IF($A304="","",TRIM(SUBSTITUTE(SUBSTITUTE(SUBSTITUTE(SUBSTITUTE(SUBSTITUTE(SUBSTITUTE(UPPER(IFERROR(INDEX('Base de Personas'!$H7:H21,MATCH($A304,'Base de Personas'!$B7:B21,0)),IFERROR(INDEX($G$5:G303,MATCH($A304,$A$5:A303,0)),""))),"Á","A"),"É","E"),"Í","I"),"Ó","O"),"Ú","U"),"Ü","U")))</f>
        <v/>
      </c>
      <c r="H304" s="38" t="str">
        <f aca="false">IF($A304="","",IFERROR(INDEX('Base de Personas'!$I$7:$I$21,MATCH($A304,'Base de Personas'!$B$7:$B$21,0)),IFERROR(INDEX($H$5:H303,MATCH($A304,$A$5:A303,0)),"")))</f>
        <v/>
      </c>
      <c r="I304" s="39"/>
      <c r="J304" s="40"/>
      <c r="K304" s="40"/>
      <c r="L304" s="39"/>
      <c r="M304" s="41" t="str">
        <f aca="false">IF($A304="","",IF(K304=_xlfn.MAXIFS($K$5:$K$304,$A$5:$A$304,$A304),1,0))</f>
        <v/>
      </c>
      <c r="N304" s="41" t="str">
        <f aca="false">IF($A304="","",IF(M304=1,$A304&amp;"-ACT",""))</f>
        <v/>
      </c>
      <c r="O304" s="41" t="str">
        <f aca="false">IF($A304="","",IF(AND(COUNTIF('Base de Personas'!$B$7:$B$21,$A304)=0,COUNTIF($A$5:A304,$A304)=1),1,0))</f>
        <v/>
      </c>
      <c r="P304" s="41" t="str">
        <f aca="false">IF(O304=1,SUM($O$5:O304),"")</f>
        <v/>
      </c>
    </row>
  </sheetData>
  <mergeCells count="3">
    <mergeCell ref="A1:L1"/>
    <mergeCell ref="A2:L2"/>
    <mergeCell ref="A3:L3"/>
  </mergeCells>
  <conditionalFormatting sqref="J5:K304">
    <cfRule type="expression" priority="2" aboveAverage="0" equalAverage="0" bottom="0" percent="0" rank="0" text="" dxfId="9">
      <formula>AND($A5&lt;&gt;"",$K5&lt;$J5)</formula>
    </cfRule>
  </conditionalFormatting>
  <dataValidations count="1">
    <dataValidation allowBlank="true" error="Ingrese una fecha válida (posterior a 01/01/2000)." errorStyle="stop" errorTitle="Fecha inválida" operator="greaterThan" showDropDown="false" showErrorMessage="true" showInputMessage="false" sqref="J5:K304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false"/>
  </sheetPr>
  <dimension ref="A1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8"/>
  </cols>
  <sheetData>
    <row r="1" customFormat="false" ht="27.75" hidden="false" customHeight="true" outlineLevel="0" collapsed="false">
      <c r="A1" s="2" t="s">
        <v>166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167</v>
      </c>
      <c r="B2" s="3"/>
      <c r="C2" s="3"/>
      <c r="D2" s="3"/>
      <c r="E2" s="3"/>
      <c r="F2" s="3"/>
    </row>
    <row r="4" customFormat="false" ht="15.75" hidden="false" customHeight="true" outlineLevel="0" collapsed="false">
      <c r="A4" s="49" t="s">
        <v>168</v>
      </c>
    </row>
    <row r="6" customFormat="false" ht="30" hidden="false" customHeight="true" outlineLevel="0" collapsed="false">
      <c r="A6" s="50" t="s">
        <v>169</v>
      </c>
      <c r="B6" s="51" t="s">
        <v>170</v>
      </c>
      <c r="C6" s="51"/>
      <c r="D6" s="51"/>
      <c r="E6" s="51"/>
      <c r="F6" s="51"/>
    </row>
    <row r="7" customFormat="false" ht="30" hidden="false" customHeight="true" outlineLevel="0" collapsed="false">
      <c r="A7" s="52" t="s">
        <v>171</v>
      </c>
      <c r="B7" s="51" t="s">
        <v>172</v>
      </c>
      <c r="C7" s="51"/>
      <c r="D7" s="51"/>
      <c r="E7" s="51"/>
      <c r="F7" s="51"/>
    </row>
    <row r="8" customFormat="false" ht="30" hidden="false" customHeight="true" outlineLevel="0" collapsed="false">
      <c r="A8" s="53" t="s">
        <v>173</v>
      </c>
      <c r="B8" s="51" t="s">
        <v>174</v>
      </c>
      <c r="C8" s="51"/>
      <c r="D8" s="51"/>
      <c r="E8" s="51"/>
      <c r="F8" s="51"/>
    </row>
    <row r="9" customFormat="false" ht="30" hidden="false" customHeight="true" outlineLevel="0" collapsed="false">
      <c r="A9" s="54" t="s">
        <v>175</v>
      </c>
      <c r="B9" s="51" t="s">
        <v>176</v>
      </c>
      <c r="C9" s="51"/>
      <c r="D9" s="51"/>
      <c r="E9" s="51"/>
      <c r="F9" s="51"/>
    </row>
    <row r="11" customFormat="false" ht="15.75" hidden="false" customHeight="true" outlineLevel="0" collapsed="false">
      <c r="A11" s="49" t="s">
        <v>177</v>
      </c>
    </row>
    <row r="12" customFormat="false" ht="60" hidden="false" customHeight="true" outlineLevel="0" collapsed="false">
      <c r="A12" s="9" t="s">
        <v>178</v>
      </c>
      <c r="B12" s="9"/>
      <c r="C12" s="9"/>
      <c r="D12" s="9"/>
      <c r="E12" s="9"/>
      <c r="F12" s="9"/>
    </row>
    <row r="14" customFormat="false" ht="15" hidden="false" customHeight="true" outlineLevel="0" collapsed="false">
      <c r="A14" s="55" t="s">
        <v>179</v>
      </c>
      <c r="B14" s="55"/>
      <c r="C14" s="55"/>
      <c r="D14" s="55"/>
      <c r="E14" s="55"/>
      <c r="F14" s="55"/>
    </row>
    <row r="15" customFormat="false" ht="15" hidden="false" customHeight="true" outlineLevel="0" collapsed="false">
      <c r="A15" s="55" t="s">
        <v>180</v>
      </c>
      <c r="B15" s="55"/>
      <c r="C15" s="55"/>
      <c r="D15" s="55"/>
      <c r="E15" s="55"/>
      <c r="F15" s="55"/>
    </row>
    <row r="16" customFormat="false" ht="15" hidden="false" customHeight="true" outlineLevel="0" collapsed="false">
      <c r="A16" s="55" t="s">
        <v>181</v>
      </c>
      <c r="B16" s="55"/>
      <c r="C16" s="55"/>
      <c r="D16" s="55"/>
      <c r="E16" s="55"/>
      <c r="F16" s="55"/>
    </row>
    <row r="17" customFormat="false" ht="15" hidden="false" customHeight="true" outlineLevel="0" collapsed="false">
      <c r="A17" s="55" t="s">
        <v>182</v>
      </c>
      <c r="B17" s="55"/>
      <c r="C17" s="55"/>
      <c r="D17" s="55"/>
      <c r="E17" s="55"/>
      <c r="F17" s="55"/>
    </row>
    <row r="18" customFormat="false" ht="15" hidden="false" customHeight="true" outlineLevel="0" collapsed="false">
      <c r="A18" s="55" t="s">
        <v>183</v>
      </c>
      <c r="B18" s="55"/>
      <c r="C18" s="55"/>
      <c r="D18" s="55"/>
      <c r="E18" s="55"/>
      <c r="F18" s="55"/>
    </row>
    <row r="19" customFormat="false" ht="15" hidden="false" customHeight="true" outlineLevel="0" collapsed="false">
      <c r="A19" s="55" t="s">
        <v>184</v>
      </c>
      <c r="B19" s="55"/>
      <c r="C19" s="55"/>
      <c r="D19" s="55"/>
      <c r="E19" s="55"/>
      <c r="F19" s="55"/>
    </row>
    <row r="20" customFormat="false" ht="15" hidden="false" customHeight="true" outlineLevel="0" collapsed="false">
      <c r="A20" s="55" t="s">
        <v>185</v>
      </c>
      <c r="B20" s="55"/>
      <c r="C20" s="55"/>
      <c r="D20" s="55"/>
      <c r="E20" s="55"/>
      <c r="F20" s="55"/>
    </row>
    <row r="21" customFormat="false" ht="15" hidden="false" customHeight="true" outlineLevel="0" collapsed="false">
      <c r="A21" s="55" t="s">
        <v>186</v>
      </c>
      <c r="B21" s="55"/>
      <c r="C21" s="55"/>
      <c r="D21" s="55"/>
      <c r="E21" s="55"/>
      <c r="F21" s="55"/>
    </row>
    <row r="22" customFormat="false" ht="15" hidden="false" customHeight="true" outlineLevel="0" collapsed="false">
      <c r="A22" s="55" t="s">
        <v>187</v>
      </c>
      <c r="B22" s="55"/>
      <c r="C22" s="55"/>
      <c r="D22" s="55"/>
      <c r="E22" s="55"/>
      <c r="F22" s="55"/>
    </row>
    <row r="23" customFormat="false" ht="15" hidden="false" customHeight="true" outlineLevel="0" collapsed="false">
      <c r="A23" s="55" t="s">
        <v>188</v>
      </c>
      <c r="B23" s="55"/>
      <c r="C23" s="55"/>
      <c r="D23" s="55"/>
      <c r="E23" s="55"/>
      <c r="F23" s="55"/>
    </row>
    <row r="24" customFormat="false" ht="15" hidden="false" customHeight="true" outlineLevel="0" collapsed="false">
      <c r="A24" s="55" t="s">
        <v>189</v>
      </c>
      <c r="B24" s="55"/>
      <c r="C24" s="55"/>
      <c r="D24" s="55"/>
      <c r="E24" s="55"/>
      <c r="F24" s="55"/>
    </row>
    <row r="25" customFormat="false" ht="15" hidden="false" customHeight="true" outlineLevel="0" collapsed="false">
      <c r="A25" s="55" t="s">
        <v>190</v>
      </c>
      <c r="B25" s="55"/>
      <c r="C25" s="55"/>
      <c r="D25" s="55"/>
      <c r="E25" s="55"/>
      <c r="F25" s="55"/>
    </row>
    <row r="26" customFormat="false" ht="15" hidden="false" customHeight="true" outlineLevel="0" collapsed="false">
      <c r="A26" s="55" t="s">
        <v>191</v>
      </c>
      <c r="B26" s="55"/>
      <c r="C26" s="55"/>
      <c r="D26" s="55"/>
      <c r="E26" s="55"/>
      <c r="F26" s="55"/>
    </row>
    <row r="27" customFormat="false" ht="15" hidden="false" customHeight="true" outlineLevel="0" collapsed="false">
      <c r="A27" s="55" t="s">
        <v>192</v>
      </c>
      <c r="B27" s="55"/>
      <c r="C27" s="55"/>
      <c r="D27" s="55"/>
      <c r="E27" s="55"/>
      <c r="F27" s="55"/>
    </row>
    <row r="28" customFormat="false" ht="15" hidden="false" customHeight="true" outlineLevel="0" collapsed="false">
      <c r="A28" s="55" t="s">
        <v>193</v>
      </c>
      <c r="B28" s="55"/>
      <c r="C28" s="55"/>
      <c r="D28" s="55"/>
      <c r="E28" s="55"/>
      <c r="F28" s="55"/>
    </row>
    <row r="29" customFormat="false" ht="15" hidden="false" customHeight="true" outlineLevel="0" collapsed="false">
      <c r="A29" s="55" t="s">
        <v>194</v>
      </c>
      <c r="B29" s="55"/>
      <c r="C29" s="55"/>
      <c r="D29" s="55"/>
      <c r="E29" s="55"/>
      <c r="F29" s="55"/>
    </row>
    <row r="30" customFormat="false" ht="15" hidden="false" customHeight="true" outlineLevel="0" collapsed="false">
      <c r="A30" s="55" t="s">
        <v>195</v>
      </c>
      <c r="B30" s="55"/>
      <c r="C30" s="55"/>
      <c r="D30" s="55"/>
      <c r="E30" s="55"/>
      <c r="F30" s="55"/>
    </row>
    <row r="31" customFormat="false" ht="15" hidden="false" customHeight="true" outlineLevel="0" collapsed="false">
      <c r="A31" s="55" t="s">
        <v>196</v>
      </c>
      <c r="B31" s="55"/>
      <c r="C31" s="55"/>
      <c r="D31" s="55"/>
      <c r="E31" s="55"/>
      <c r="F31" s="55"/>
    </row>
    <row r="32" customFormat="false" ht="15" hidden="false" customHeight="true" outlineLevel="0" collapsed="false">
      <c r="A32" s="55" t="s">
        <v>197</v>
      </c>
      <c r="B32" s="55"/>
      <c r="C32" s="55"/>
      <c r="D32" s="55"/>
      <c r="E32" s="55"/>
      <c r="F32" s="55"/>
    </row>
    <row r="33" customFormat="false" ht="15" hidden="false" customHeight="true" outlineLevel="0" collapsed="false">
      <c r="A33" s="55" t="s">
        <v>198</v>
      </c>
      <c r="B33" s="55"/>
      <c r="C33" s="55"/>
      <c r="D33" s="55"/>
      <c r="E33" s="55"/>
      <c r="F33" s="55"/>
    </row>
    <row r="34" customFormat="false" ht="15" hidden="false" customHeight="true" outlineLevel="0" collapsed="false">
      <c r="A34" s="55" t="s">
        <v>199</v>
      </c>
      <c r="B34" s="55"/>
      <c r="C34" s="55"/>
      <c r="D34" s="55"/>
      <c r="E34" s="55"/>
      <c r="F34" s="55"/>
    </row>
    <row r="35" customFormat="false" ht="15" hidden="false" customHeight="true" outlineLevel="0" collapsed="false">
      <c r="A35" s="55" t="s">
        <v>200</v>
      </c>
      <c r="B35" s="55"/>
      <c r="C35" s="55"/>
      <c r="D35" s="55"/>
      <c r="E35" s="55"/>
      <c r="F35" s="55"/>
    </row>
    <row r="36" customFormat="false" ht="15" hidden="false" customHeight="true" outlineLevel="0" collapsed="false">
      <c r="A36" s="55" t="s">
        <v>201</v>
      </c>
      <c r="B36" s="55"/>
      <c r="C36" s="55"/>
      <c r="D36" s="55"/>
      <c r="E36" s="55"/>
      <c r="F36" s="55"/>
    </row>
    <row r="37" customFormat="false" ht="15" hidden="false" customHeight="true" outlineLevel="0" collapsed="false">
      <c r="A37" s="55" t="s">
        <v>202</v>
      </c>
      <c r="B37" s="55"/>
      <c r="C37" s="55"/>
      <c r="D37" s="55"/>
      <c r="E37" s="55"/>
      <c r="F37" s="55"/>
    </row>
    <row r="38" customFormat="false" ht="15" hidden="false" customHeight="true" outlineLevel="0" collapsed="false">
      <c r="A38" s="55" t="s">
        <v>203</v>
      </c>
      <c r="B38" s="55"/>
      <c r="C38" s="55"/>
      <c r="D38" s="55"/>
      <c r="E38" s="55"/>
      <c r="F38" s="55"/>
    </row>
    <row r="39" customFormat="false" ht="15" hidden="false" customHeight="true" outlineLevel="0" collapsed="false">
      <c r="A39" s="55" t="s">
        <v>204</v>
      </c>
      <c r="B39" s="55"/>
      <c r="C39" s="55"/>
      <c r="D39" s="55"/>
      <c r="E39" s="55"/>
      <c r="F39" s="55"/>
    </row>
    <row r="40" customFormat="false" ht="15" hidden="false" customHeight="true" outlineLevel="0" collapsed="false">
      <c r="A40" s="55" t="s">
        <v>205</v>
      </c>
      <c r="B40" s="55"/>
      <c r="C40" s="55"/>
      <c r="D40" s="55"/>
      <c r="E40" s="55"/>
      <c r="F40" s="55"/>
    </row>
    <row r="41" customFormat="false" ht="15" hidden="false" customHeight="true" outlineLevel="0" collapsed="false">
      <c r="A41" s="55" t="s">
        <v>206</v>
      </c>
      <c r="B41" s="55"/>
      <c r="C41" s="55"/>
      <c r="D41" s="55"/>
      <c r="E41" s="55"/>
      <c r="F41" s="55"/>
    </row>
    <row r="42" customFormat="false" ht="15" hidden="false" customHeight="true" outlineLevel="0" collapsed="false">
      <c r="A42" s="55" t="s">
        <v>207</v>
      </c>
      <c r="B42" s="55"/>
      <c r="C42" s="55"/>
      <c r="D42" s="55"/>
      <c r="E42" s="55"/>
      <c r="F42" s="55"/>
    </row>
    <row r="43" customFormat="false" ht="15" hidden="false" customHeight="true" outlineLevel="0" collapsed="false">
      <c r="A43" s="55" t="s">
        <v>208</v>
      </c>
      <c r="B43" s="55"/>
      <c r="C43" s="55"/>
      <c r="D43" s="55"/>
      <c r="E43" s="55"/>
      <c r="F43" s="55"/>
    </row>
    <row r="44" customFormat="false" ht="15" hidden="false" customHeight="true" outlineLevel="0" collapsed="false">
      <c r="A44" s="55" t="s">
        <v>209</v>
      </c>
      <c r="B44" s="55"/>
      <c r="C44" s="55"/>
      <c r="D44" s="55"/>
      <c r="E44" s="55"/>
      <c r="F44" s="55"/>
    </row>
    <row r="45" customFormat="false" ht="15" hidden="false" customHeight="true" outlineLevel="0" collapsed="false">
      <c r="A45" s="55" t="s">
        <v>210</v>
      </c>
      <c r="B45" s="55"/>
      <c r="C45" s="55"/>
      <c r="D45" s="55"/>
      <c r="E45" s="55"/>
      <c r="F45" s="55"/>
    </row>
    <row r="46" customFormat="false" ht="15" hidden="false" customHeight="true" outlineLevel="0" collapsed="false">
      <c r="A46" s="55" t="s">
        <v>211</v>
      </c>
      <c r="B46" s="55"/>
      <c r="C46" s="55"/>
      <c r="D46" s="55"/>
      <c r="E46" s="55"/>
      <c r="F46" s="55"/>
    </row>
    <row r="47" customFormat="false" ht="15" hidden="false" customHeight="true" outlineLevel="0" collapsed="false">
      <c r="A47" s="55" t="s">
        <v>212</v>
      </c>
      <c r="B47" s="55"/>
      <c r="C47" s="55"/>
      <c r="D47" s="55"/>
      <c r="E47" s="55"/>
      <c r="F47" s="55"/>
    </row>
    <row r="48" customFormat="false" ht="15" hidden="false" customHeight="true" outlineLevel="0" collapsed="false">
      <c r="A48" s="55" t="s">
        <v>213</v>
      </c>
      <c r="B48" s="55"/>
      <c r="C48" s="55"/>
      <c r="D48" s="55"/>
      <c r="E48" s="55"/>
      <c r="F48" s="55"/>
    </row>
    <row r="49" customFormat="false" ht="15" hidden="false" customHeight="true" outlineLevel="0" collapsed="false">
      <c r="A49" s="55" t="s">
        <v>214</v>
      </c>
      <c r="B49" s="55"/>
      <c r="C49" s="55"/>
      <c r="D49" s="55"/>
      <c r="E49" s="55"/>
      <c r="F49" s="55"/>
    </row>
    <row r="50" customFormat="false" ht="15" hidden="false" customHeight="true" outlineLevel="0" collapsed="false">
      <c r="A50" s="55" t="s">
        <v>215</v>
      </c>
      <c r="B50" s="55"/>
      <c r="C50" s="55"/>
      <c r="D50" s="55"/>
      <c r="E50" s="55"/>
      <c r="F50" s="55"/>
    </row>
    <row r="51" customFormat="false" ht="15" hidden="false" customHeight="true" outlineLevel="0" collapsed="false">
      <c r="A51" s="55" t="s">
        <v>216</v>
      </c>
      <c r="B51" s="55"/>
      <c r="C51" s="55"/>
      <c r="D51" s="55"/>
      <c r="E51" s="55"/>
      <c r="F51" s="55"/>
    </row>
    <row r="52" customFormat="false" ht="15" hidden="false" customHeight="true" outlineLevel="0" collapsed="false">
      <c r="A52" s="55" t="s">
        <v>217</v>
      </c>
      <c r="B52" s="55"/>
      <c r="C52" s="55"/>
      <c r="D52" s="55"/>
      <c r="E52" s="55"/>
      <c r="F52" s="55"/>
    </row>
    <row r="53" customFormat="false" ht="15" hidden="false" customHeight="true" outlineLevel="0" collapsed="false">
      <c r="A53" s="55" t="s">
        <v>218</v>
      </c>
      <c r="B53" s="55"/>
      <c r="C53" s="55"/>
      <c r="D53" s="55"/>
      <c r="E53" s="55"/>
      <c r="F53" s="55"/>
    </row>
    <row r="54" customFormat="false" ht="15" hidden="false" customHeight="true" outlineLevel="0" collapsed="false">
      <c r="A54" s="55" t="s">
        <v>219</v>
      </c>
      <c r="B54" s="55"/>
      <c r="C54" s="55"/>
      <c r="D54" s="55"/>
      <c r="E54" s="55"/>
      <c r="F54" s="55"/>
    </row>
    <row r="55" customFormat="false" ht="15" hidden="false" customHeight="true" outlineLevel="0" collapsed="false">
      <c r="A55" s="55" t="s">
        <v>220</v>
      </c>
      <c r="B55" s="55"/>
      <c r="C55" s="55"/>
      <c r="D55" s="55"/>
      <c r="E55" s="55"/>
      <c r="F55" s="55"/>
    </row>
    <row r="56" customFormat="false" ht="15" hidden="false" customHeight="true" outlineLevel="0" collapsed="false">
      <c r="A56" s="55" t="s">
        <v>221</v>
      </c>
      <c r="B56" s="55"/>
      <c r="C56" s="55"/>
      <c r="D56" s="55"/>
      <c r="E56" s="55"/>
      <c r="F56" s="55"/>
    </row>
    <row r="57" customFormat="false" ht="15" hidden="false" customHeight="true" outlineLevel="0" collapsed="false">
      <c r="A57" s="55" t="s">
        <v>222</v>
      </c>
      <c r="B57" s="55"/>
      <c r="C57" s="55"/>
      <c r="D57" s="55"/>
      <c r="E57" s="55"/>
      <c r="F57" s="55"/>
    </row>
    <row r="58" customFormat="false" ht="15" hidden="false" customHeight="true" outlineLevel="0" collapsed="false">
      <c r="A58" s="55" t="s">
        <v>190</v>
      </c>
      <c r="B58" s="55"/>
      <c r="C58" s="55"/>
      <c r="D58" s="55"/>
      <c r="E58" s="55"/>
      <c r="F58" s="55"/>
    </row>
    <row r="59" customFormat="false" ht="15" hidden="false" customHeight="true" outlineLevel="0" collapsed="false">
      <c r="A59" s="55" t="s">
        <v>223</v>
      </c>
      <c r="B59" s="55"/>
      <c r="C59" s="55"/>
      <c r="D59" s="55"/>
      <c r="E59" s="55"/>
      <c r="F59" s="55"/>
    </row>
    <row r="60" customFormat="false" ht="15" hidden="false" customHeight="true" outlineLevel="0" collapsed="false">
      <c r="A60" s="55" t="s">
        <v>224</v>
      </c>
      <c r="B60" s="55"/>
      <c r="C60" s="55"/>
      <c r="D60" s="55"/>
      <c r="E60" s="55"/>
      <c r="F60" s="55"/>
    </row>
    <row r="61" customFormat="false" ht="15" hidden="false" customHeight="true" outlineLevel="0" collapsed="false">
      <c r="A61" s="55" t="s">
        <v>225</v>
      </c>
      <c r="B61" s="55"/>
      <c r="C61" s="55"/>
      <c r="D61" s="55"/>
      <c r="E61" s="55"/>
      <c r="F61" s="55"/>
    </row>
    <row r="62" customFormat="false" ht="15" hidden="false" customHeight="true" outlineLevel="0" collapsed="false">
      <c r="A62" s="55" t="s">
        <v>226</v>
      </c>
      <c r="B62" s="55"/>
      <c r="C62" s="55"/>
      <c r="D62" s="55"/>
      <c r="E62" s="55"/>
      <c r="F62" s="55"/>
    </row>
    <row r="63" customFormat="false" ht="15" hidden="false" customHeight="true" outlineLevel="0" collapsed="false">
      <c r="A63" s="55" t="s">
        <v>227</v>
      </c>
      <c r="B63" s="55"/>
      <c r="C63" s="55"/>
      <c r="D63" s="55"/>
      <c r="E63" s="55"/>
      <c r="F63" s="55"/>
    </row>
    <row r="64" customFormat="false" ht="15" hidden="false" customHeight="true" outlineLevel="0" collapsed="false">
      <c r="A64" s="55" t="s">
        <v>228</v>
      </c>
      <c r="B64" s="55"/>
      <c r="C64" s="55"/>
      <c r="D64" s="55"/>
      <c r="E64" s="55"/>
      <c r="F64" s="55"/>
    </row>
    <row r="65" customFormat="false" ht="15" hidden="false" customHeight="true" outlineLevel="0" collapsed="false">
      <c r="A65" s="55" t="s">
        <v>229</v>
      </c>
      <c r="B65" s="55"/>
      <c r="C65" s="55"/>
      <c r="D65" s="55"/>
      <c r="E65" s="55"/>
      <c r="F65" s="55"/>
    </row>
    <row r="66" customFormat="false" ht="15" hidden="false" customHeight="true" outlineLevel="0" collapsed="false">
      <c r="A66" s="55" t="s">
        <v>230</v>
      </c>
      <c r="B66" s="55"/>
      <c r="C66" s="55"/>
      <c r="D66" s="55"/>
      <c r="E66" s="55"/>
      <c r="F66" s="55"/>
    </row>
    <row r="67" customFormat="false" ht="15" hidden="false" customHeight="true" outlineLevel="0" collapsed="false">
      <c r="A67" s="55" t="s">
        <v>231</v>
      </c>
      <c r="B67" s="55"/>
      <c r="C67" s="55"/>
      <c r="D67" s="55"/>
      <c r="E67" s="55"/>
      <c r="F67" s="55"/>
    </row>
    <row r="68" customFormat="false" ht="15" hidden="false" customHeight="true" outlineLevel="0" collapsed="false">
      <c r="A68" s="55" t="s">
        <v>197</v>
      </c>
      <c r="B68" s="55"/>
      <c r="C68" s="55"/>
      <c r="D68" s="55"/>
      <c r="E68" s="55"/>
      <c r="F68" s="55"/>
    </row>
    <row r="69" customFormat="false" ht="15" hidden="false" customHeight="true" outlineLevel="0" collapsed="false">
      <c r="A69" s="55" t="s">
        <v>198</v>
      </c>
      <c r="B69" s="55"/>
      <c r="C69" s="55"/>
      <c r="D69" s="55"/>
      <c r="E69" s="55"/>
      <c r="F69" s="55"/>
    </row>
    <row r="70" customFormat="false" ht="15" hidden="false" customHeight="true" outlineLevel="0" collapsed="false">
      <c r="A70" s="55" t="s">
        <v>232</v>
      </c>
      <c r="B70" s="55"/>
      <c r="C70" s="55"/>
      <c r="D70" s="55"/>
      <c r="E70" s="55"/>
      <c r="F70" s="55"/>
    </row>
    <row r="71" customFormat="false" ht="15" hidden="false" customHeight="true" outlineLevel="0" collapsed="false">
      <c r="A71" s="55" t="s">
        <v>233</v>
      </c>
      <c r="B71" s="55"/>
      <c r="C71" s="55"/>
      <c r="D71" s="55"/>
      <c r="E71" s="55"/>
      <c r="F71" s="55"/>
    </row>
    <row r="72" customFormat="false" ht="15" hidden="false" customHeight="true" outlineLevel="0" collapsed="false">
      <c r="A72" s="55" t="s">
        <v>204</v>
      </c>
      <c r="B72" s="55"/>
      <c r="C72" s="55"/>
      <c r="D72" s="55"/>
      <c r="E72" s="55"/>
      <c r="F72" s="55"/>
    </row>
    <row r="73" customFormat="false" ht="15" hidden="false" customHeight="true" outlineLevel="0" collapsed="false">
      <c r="A73" s="55" t="s">
        <v>205</v>
      </c>
      <c r="B73" s="55"/>
      <c r="C73" s="55"/>
      <c r="D73" s="55"/>
      <c r="E73" s="55"/>
      <c r="F73" s="55"/>
    </row>
    <row r="74" customFormat="false" ht="15" hidden="false" customHeight="true" outlineLevel="0" collapsed="false">
      <c r="A74" s="55" t="s">
        <v>234</v>
      </c>
      <c r="B74" s="55"/>
      <c r="C74" s="55"/>
      <c r="D74" s="55"/>
      <c r="E74" s="55"/>
      <c r="F74" s="55"/>
    </row>
    <row r="75" customFormat="false" ht="15" hidden="false" customHeight="true" outlineLevel="0" collapsed="false">
      <c r="A75" s="55" t="s">
        <v>235</v>
      </c>
      <c r="B75" s="55"/>
      <c r="C75" s="55"/>
      <c r="D75" s="55"/>
      <c r="E75" s="55"/>
      <c r="F75" s="55"/>
    </row>
    <row r="76" customFormat="false" ht="15" hidden="false" customHeight="true" outlineLevel="0" collapsed="false">
      <c r="A76" s="55" t="s">
        <v>236</v>
      </c>
      <c r="B76" s="55"/>
      <c r="C76" s="55"/>
      <c r="D76" s="55"/>
      <c r="E76" s="55"/>
      <c r="F76" s="55"/>
    </row>
    <row r="77" customFormat="false" ht="15" hidden="false" customHeight="true" outlineLevel="0" collapsed="false">
      <c r="A77" s="55" t="s">
        <v>237</v>
      </c>
      <c r="B77" s="55"/>
      <c r="C77" s="55"/>
      <c r="D77" s="55"/>
      <c r="E77" s="55"/>
      <c r="F77" s="55"/>
    </row>
    <row r="78" customFormat="false" ht="15" hidden="false" customHeight="true" outlineLevel="0" collapsed="false">
      <c r="A78" s="55" t="s">
        <v>238</v>
      </c>
      <c r="B78" s="55"/>
      <c r="C78" s="55"/>
      <c r="D78" s="55"/>
      <c r="E78" s="55"/>
      <c r="F78" s="55"/>
    </row>
    <row r="79" customFormat="false" ht="15" hidden="false" customHeight="true" outlineLevel="0" collapsed="false">
      <c r="A79" s="55" t="s">
        <v>204</v>
      </c>
      <c r="B79" s="55"/>
      <c r="C79" s="55"/>
      <c r="D79" s="55"/>
      <c r="E79" s="55"/>
      <c r="F79" s="55"/>
    </row>
    <row r="82" customFormat="false" ht="60" hidden="false" customHeight="true" outlineLevel="0" collapsed="false">
      <c r="A82" s="56" t="s">
        <v>239</v>
      </c>
      <c r="B82" s="56"/>
      <c r="C82" s="56"/>
      <c r="D82" s="56"/>
      <c r="E82" s="56"/>
      <c r="F82" s="56"/>
    </row>
    <row r="85" customFormat="false" ht="16.15" hidden="false" customHeight="false" outlineLevel="0" collapsed="false">
      <c r="A85" s="57" t="s">
        <v>240</v>
      </c>
      <c r="B85" s="57"/>
      <c r="C85" s="57"/>
      <c r="D85" s="57"/>
      <c r="E85" s="57"/>
      <c r="F85" s="57"/>
    </row>
    <row r="86" customFormat="false" ht="99.75" hidden="false" customHeight="true" outlineLevel="0" collapsed="false">
      <c r="A86" s="9" t="s">
        <v>241</v>
      </c>
      <c r="B86" s="9"/>
      <c r="C86" s="9"/>
      <c r="D86" s="9"/>
      <c r="E86" s="9"/>
      <c r="F86" s="9"/>
    </row>
    <row r="88" customFormat="false" ht="15" hidden="false" customHeight="false" outlineLevel="0" collapsed="false">
      <c r="A88" s="55" t="s">
        <v>242</v>
      </c>
      <c r="B88" s="55"/>
      <c r="C88" s="55"/>
      <c r="D88" s="55"/>
      <c r="E88" s="55"/>
      <c r="F88" s="55"/>
    </row>
    <row r="89" customFormat="false" ht="15" hidden="false" customHeight="false" outlineLevel="0" collapsed="false">
      <c r="A89" s="55" t="s">
        <v>243</v>
      </c>
      <c r="B89" s="55"/>
      <c r="C89" s="55"/>
      <c r="D89" s="55"/>
      <c r="E89" s="55"/>
      <c r="F89" s="55"/>
    </row>
    <row r="90" customFormat="false" ht="15" hidden="false" customHeight="false" outlineLevel="0" collapsed="false">
      <c r="A90" s="55" t="s">
        <v>244</v>
      </c>
      <c r="B90" s="55"/>
      <c r="C90" s="55"/>
      <c r="D90" s="55"/>
      <c r="E90" s="55"/>
      <c r="F90" s="55"/>
    </row>
    <row r="91" customFormat="false" ht="15" hidden="false" customHeight="false" outlineLevel="0" collapsed="false">
      <c r="A91" s="55" t="s">
        <v>245</v>
      </c>
      <c r="B91" s="55"/>
      <c r="C91" s="55"/>
      <c r="D91" s="55"/>
      <c r="E91" s="55"/>
      <c r="F91" s="55"/>
    </row>
    <row r="92" customFormat="false" ht="15" hidden="false" customHeight="false" outlineLevel="0" collapsed="false">
      <c r="A92" s="55" t="s">
        <v>246</v>
      </c>
      <c r="B92" s="55"/>
      <c r="C92" s="55"/>
      <c r="D92" s="55"/>
      <c r="E92" s="55"/>
      <c r="F92" s="55"/>
    </row>
    <row r="93" customFormat="false" ht="15" hidden="false" customHeight="false" outlineLevel="0" collapsed="false">
      <c r="A93" s="55" t="s">
        <v>247</v>
      </c>
      <c r="B93" s="55"/>
      <c r="C93" s="55"/>
      <c r="D93" s="55"/>
      <c r="E93" s="55"/>
      <c r="F93" s="55"/>
    </row>
    <row r="94" customFormat="false" ht="15" hidden="false" customHeight="false" outlineLevel="0" collapsed="false">
      <c r="A94" s="55" t="s">
        <v>248</v>
      </c>
      <c r="B94" s="55"/>
      <c r="C94" s="55"/>
      <c r="D94" s="55"/>
      <c r="E94" s="55"/>
      <c r="F94" s="55"/>
    </row>
    <row r="95" customFormat="false" ht="15" hidden="false" customHeight="false" outlineLevel="0" collapsed="false">
      <c r="A95" s="55" t="s">
        <v>249</v>
      </c>
      <c r="B95" s="55"/>
      <c r="C95" s="55"/>
      <c r="D95" s="55"/>
      <c r="E95" s="55"/>
      <c r="F95" s="55"/>
    </row>
    <row r="96" customFormat="false" ht="15" hidden="false" customHeight="false" outlineLevel="0" collapsed="false">
      <c r="A96" s="55" t="s">
        <v>250</v>
      </c>
      <c r="B96" s="55"/>
      <c r="C96" s="55"/>
      <c r="D96" s="55"/>
      <c r="E96" s="55"/>
      <c r="F96" s="55"/>
    </row>
    <row r="97" customFormat="false" ht="15" hidden="false" customHeight="false" outlineLevel="0" collapsed="false">
      <c r="A97" s="55" t="s">
        <v>251</v>
      </c>
      <c r="B97" s="55"/>
      <c r="C97" s="55"/>
      <c r="D97" s="55"/>
      <c r="E97" s="55"/>
      <c r="F97" s="55"/>
    </row>
    <row r="98" customFormat="false" ht="15" hidden="false" customHeight="false" outlineLevel="0" collapsed="false">
      <c r="A98" s="55" t="s">
        <v>252</v>
      </c>
      <c r="B98" s="55"/>
      <c r="C98" s="55"/>
      <c r="D98" s="55"/>
      <c r="E98" s="55"/>
      <c r="F98" s="55"/>
    </row>
    <row r="99" customFormat="false" ht="15" hidden="false" customHeight="false" outlineLevel="0" collapsed="false">
      <c r="A99" s="55" t="s">
        <v>253</v>
      </c>
      <c r="B99" s="55"/>
      <c r="C99" s="55"/>
      <c r="D99" s="55"/>
      <c r="E99" s="55"/>
      <c r="F99" s="55"/>
    </row>
    <row r="100" customFormat="false" ht="15" hidden="false" customHeight="false" outlineLevel="0" collapsed="false">
      <c r="A100" s="55" t="s">
        <v>254</v>
      </c>
      <c r="B100" s="55"/>
      <c r="C100" s="55"/>
      <c r="D100" s="55"/>
      <c r="E100" s="55"/>
      <c r="F100" s="55"/>
    </row>
    <row r="101" customFormat="false" ht="15" hidden="false" customHeight="false" outlineLevel="0" collapsed="false">
      <c r="A101" s="55" t="s">
        <v>255</v>
      </c>
      <c r="B101" s="55"/>
      <c r="C101" s="55"/>
      <c r="D101" s="55"/>
      <c r="E101" s="55"/>
      <c r="F101" s="55"/>
    </row>
    <row r="102" customFormat="false" ht="15" hidden="false" customHeight="false" outlineLevel="0" collapsed="false">
      <c r="A102" s="55" t="s">
        <v>256</v>
      </c>
      <c r="B102" s="55"/>
      <c r="C102" s="55"/>
      <c r="D102" s="55"/>
      <c r="E102" s="55"/>
      <c r="F102" s="55"/>
    </row>
    <row r="103" customFormat="false" ht="15" hidden="false" customHeight="false" outlineLevel="0" collapsed="false">
      <c r="A103" s="55" t="s">
        <v>257</v>
      </c>
      <c r="B103" s="55"/>
      <c r="C103" s="55"/>
      <c r="D103" s="55"/>
      <c r="E103" s="55"/>
      <c r="F103" s="55"/>
    </row>
    <row r="104" customFormat="false" ht="15" hidden="false" customHeight="false" outlineLevel="0" collapsed="false">
      <c r="A104" s="55" t="s">
        <v>258</v>
      </c>
      <c r="B104" s="55"/>
      <c r="C104" s="55"/>
      <c r="D104" s="55"/>
      <c r="E104" s="55"/>
      <c r="F104" s="55"/>
    </row>
    <row r="105" customFormat="false" ht="15" hidden="false" customHeight="false" outlineLevel="0" collapsed="false">
      <c r="A105" s="55" t="s">
        <v>259</v>
      </c>
      <c r="B105" s="55"/>
      <c r="C105" s="55"/>
      <c r="D105" s="55"/>
      <c r="E105" s="55"/>
      <c r="F105" s="55"/>
    </row>
    <row r="106" customFormat="false" ht="15" hidden="false" customHeight="false" outlineLevel="0" collapsed="false">
      <c r="A106" s="55" t="s">
        <v>260</v>
      </c>
      <c r="B106" s="55"/>
      <c r="C106" s="55"/>
      <c r="D106" s="55"/>
      <c r="E106" s="55"/>
      <c r="F106" s="55"/>
    </row>
    <row r="107" customFormat="false" ht="15" hidden="false" customHeight="false" outlineLevel="0" collapsed="false">
      <c r="A107" s="55" t="s">
        <v>261</v>
      </c>
      <c r="B107" s="55"/>
      <c r="C107" s="55"/>
      <c r="D107" s="55"/>
      <c r="E107" s="55"/>
      <c r="F107" s="55"/>
    </row>
    <row r="108" customFormat="false" ht="15" hidden="false" customHeight="false" outlineLevel="0" collapsed="false">
      <c r="A108" s="55" t="s">
        <v>262</v>
      </c>
      <c r="B108" s="55"/>
      <c r="C108" s="55"/>
      <c r="D108" s="55"/>
      <c r="E108" s="55"/>
      <c r="F108" s="55"/>
    </row>
    <row r="109" customFormat="false" ht="15" hidden="false" customHeight="false" outlineLevel="0" collapsed="false">
      <c r="A109" s="55" t="s">
        <v>263</v>
      </c>
      <c r="B109" s="55"/>
      <c r="C109" s="55"/>
      <c r="D109" s="55"/>
      <c r="E109" s="55"/>
      <c r="F109" s="55"/>
    </row>
    <row r="110" customFormat="false" ht="15" hidden="false" customHeight="false" outlineLevel="0" collapsed="false">
      <c r="A110" s="55" t="s">
        <v>264</v>
      </c>
      <c r="B110" s="55"/>
      <c r="C110" s="55"/>
      <c r="D110" s="55"/>
      <c r="E110" s="55"/>
      <c r="F110" s="55"/>
    </row>
    <row r="111" customFormat="false" ht="15" hidden="false" customHeight="false" outlineLevel="0" collapsed="false">
      <c r="A111" s="55" t="s">
        <v>265</v>
      </c>
      <c r="B111" s="55"/>
      <c r="C111" s="55"/>
      <c r="D111" s="55"/>
      <c r="E111" s="55"/>
      <c r="F111" s="55"/>
    </row>
    <row r="112" customFormat="false" ht="15" hidden="false" customHeight="false" outlineLevel="0" collapsed="false">
      <c r="A112" s="55" t="s">
        <v>197</v>
      </c>
      <c r="B112" s="55"/>
      <c r="C112" s="55"/>
      <c r="D112" s="55"/>
      <c r="E112" s="55"/>
      <c r="F112" s="55"/>
    </row>
    <row r="113" customFormat="false" ht="15" hidden="false" customHeight="false" outlineLevel="0" collapsed="false">
      <c r="A113" s="55" t="s">
        <v>266</v>
      </c>
      <c r="B113" s="55"/>
      <c r="C113" s="55"/>
      <c r="D113" s="55"/>
      <c r="E113" s="55"/>
      <c r="F113" s="55"/>
    </row>
    <row r="114" customFormat="false" ht="15" hidden="false" customHeight="false" outlineLevel="0" collapsed="false">
      <c r="A114" s="55" t="s">
        <v>267</v>
      </c>
      <c r="B114" s="55"/>
      <c r="C114" s="55"/>
      <c r="D114" s="55"/>
      <c r="E114" s="55"/>
      <c r="F114" s="55"/>
    </row>
    <row r="115" customFormat="false" ht="15" hidden="false" customHeight="false" outlineLevel="0" collapsed="false">
      <c r="A115" s="55" t="s">
        <v>204</v>
      </c>
      <c r="B115" s="55"/>
      <c r="C115" s="55"/>
      <c r="D115" s="55"/>
      <c r="E115" s="55"/>
      <c r="F115" s="55"/>
    </row>
  </sheetData>
  <mergeCells count="104">
    <mergeCell ref="A1:F1"/>
    <mergeCell ref="A2:F2"/>
    <mergeCell ref="B6:F6"/>
    <mergeCell ref="B7:F7"/>
    <mergeCell ref="B8:F8"/>
    <mergeCell ref="B9:F9"/>
    <mergeCell ref="A12:F12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2:F82"/>
    <mergeCell ref="A85:F85"/>
    <mergeCell ref="A86:F86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2026-09-08T04:20:58Z</dcterms:created>
  <dc:creator>openpyxl</dc:creator>
  <dc:description/>
  <dc:language>en-US</dc:language>
  <cp:lastModifiedBy/>
  <dcterms:modified xsi:type="dcterms:W3CDTF">2026-09-09T21:08:31Z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